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airline_mro\"/>
    </mc:Choice>
  </mc:AlternateContent>
  <xr:revisionPtr revIDLastSave="0" documentId="13_ncr:1_{6A26C01E-0116-4C7C-A8F5-DD8B7B1BAEB7}" xr6:coauthVersionLast="45" xr6:coauthVersionMax="45" xr10:uidLastSave="{00000000-0000-0000-0000-000000000000}"/>
  <bookViews>
    <workbookView xWindow="-120" yWindow="-120" windowWidth="20730" windowHeight="11160" activeTab="3" xr2:uid="{00000000-000D-0000-FFFF-FFFF00000000}"/>
  </bookViews>
  <sheets>
    <sheet name="Raw_Data" sheetId="5" r:id="rId1"/>
    <sheet name="KPI_Dashboard" sheetId="2" r:id="rId2"/>
    <sheet name="Scenario_Model" sheetId="3" r:id="rId3"/>
    <sheet name="Break_Even" sheetId="4" r:id="rId4"/>
  </sheets>
  <definedNames>
    <definedName name="ExternalData_1" localSheetId="0" hidden="1">'Raw_Data'!$A$1:$T$2001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4" l="1"/>
  <c r="E10" i="4"/>
  <c r="E9" i="4"/>
  <c r="E8" i="4"/>
  <c r="E7" i="4"/>
  <c r="E6" i="4"/>
  <c r="E5" i="4"/>
  <c r="D18" i="3"/>
  <c r="C18" i="3"/>
  <c r="B18" i="3"/>
  <c r="D17" i="3"/>
  <c r="C17" i="3"/>
  <c r="B17" i="3"/>
  <c r="D16" i="3"/>
  <c r="C16" i="3"/>
  <c r="B16" i="3"/>
  <c r="E15" i="3"/>
  <c r="E10" i="3"/>
  <c r="E9" i="3"/>
  <c r="E8" i="3"/>
  <c r="E7" i="3"/>
  <c r="E6" i="3"/>
  <c r="E5" i="3"/>
  <c r="B14" i="2" l="1"/>
  <c r="B13" i="2"/>
  <c r="B12" i="2"/>
  <c r="B11" i="2"/>
  <c r="B10" i="2"/>
  <c r="B9" i="2"/>
  <c r="B8" i="2"/>
  <c r="B7" i="2"/>
  <c r="B6" i="2"/>
  <c r="B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4356A8-77B6-44D9-96CC-C56AFA10512D}" keepAlive="1" name="Query - work_orders" description="Connection to the 'work_orders' query in the workbook." type="5" refreshedVersion="6" background="1" saveData="1">
    <dbPr connection="Provider=Microsoft.Mashup.OleDb.1;Data Source=$Workbook$;Location=work_orders;Extended Properties=&quot;&quot;" command="SELECT * FROM [work_orders]"/>
  </connection>
</connections>
</file>

<file path=xl/sharedStrings.xml><?xml version="1.0" encoding="utf-8"?>
<sst xmlns="http://schemas.openxmlformats.org/spreadsheetml/2006/main" count="18082" uniqueCount="6309">
  <si>
    <t>work_order_id</t>
  </si>
  <si>
    <t>aircraft_id</t>
  </si>
  <si>
    <t>primary_part_id</t>
  </si>
  <si>
    <t>lead_technician_id</t>
  </si>
  <si>
    <t>wo_type</t>
  </si>
  <si>
    <t>status</t>
  </si>
  <si>
    <t>Date</t>
  </si>
  <si>
    <t>close_date</t>
  </si>
  <si>
    <t>planned_duration_days</t>
  </si>
  <si>
    <t>actual_duration_days</t>
  </si>
  <si>
    <t>delay_days</t>
  </si>
  <si>
    <t>delay_reason</t>
  </si>
  <si>
    <t>labour_hours</t>
  </si>
  <si>
    <t>labour_cost_inr</t>
  </si>
  <si>
    <t>parts_cost_inr</t>
  </si>
  <si>
    <t>overhead_cost_inr</t>
  </si>
  <si>
    <t>defect_code</t>
  </si>
  <si>
    <t>ata_chapter</t>
  </si>
  <si>
    <t>findings_summary</t>
  </si>
  <si>
    <t>nrc_raised</t>
  </si>
  <si>
    <t>WO000001</t>
  </si>
  <si>
    <t>AC026</t>
  </si>
  <si>
    <t>PT0020</t>
  </si>
  <si>
    <t>TEC026</t>
  </si>
  <si>
    <t>Unscheduled AOG</t>
  </si>
  <si>
    <t>Closed</t>
  </si>
  <si>
    <t>No Delay</t>
  </si>
  <si>
    <t>DFT-15BH</t>
  </si>
  <si>
    <t>Tough go for window gun blood yeah mother third bill street well relationship.</t>
  </si>
  <si>
    <t>WO000002</t>
  </si>
  <si>
    <t>AC032</t>
  </si>
  <si>
    <t>PT0051</t>
  </si>
  <si>
    <t>TEC056</t>
  </si>
  <si>
    <t>Scheduled A-Check</t>
  </si>
  <si>
    <t>Deferred</t>
  </si>
  <si>
    <t>DFT-66JC</t>
  </si>
  <si>
    <t>Move by listen meeting manager adult.</t>
  </si>
  <si>
    <t>WO000003</t>
  </si>
  <si>
    <t>AC027</t>
  </si>
  <si>
    <t>PT0249</t>
  </si>
  <si>
    <t>TEC049</t>
  </si>
  <si>
    <t>Modification SB</t>
  </si>
  <si>
    <t>Manpower Shortage</t>
  </si>
  <si>
    <t>DFT-83GF</t>
  </si>
  <si>
    <t>Four almost visit anyone best put purpose manager run change run Mrs bed.</t>
  </si>
  <si>
    <t>WO000004</t>
  </si>
  <si>
    <t>AC012</t>
  </si>
  <si>
    <t>PT0099</t>
  </si>
  <si>
    <t>TEC057</t>
  </si>
  <si>
    <t>Component Overhaul</t>
  </si>
  <si>
    <t>Cancelled</t>
  </si>
  <si>
    <t>DFT-94BF</t>
  </si>
  <si>
    <t>Enter wait ask special tax recognize training experience.</t>
  </si>
  <si>
    <t>WO000005</t>
  </si>
  <si>
    <t>AC002</t>
  </si>
  <si>
    <t>PT0124</t>
  </si>
  <si>
    <t>TEC024</t>
  </si>
  <si>
    <t>Scheduled C-Check</t>
  </si>
  <si>
    <t>Part AOG</t>
  </si>
  <si>
    <t>DFT-54JG</t>
  </si>
  <si>
    <t>Capital military able house government involve where whether.</t>
  </si>
  <si>
    <t>wo000006</t>
  </si>
  <si>
    <t>AC004</t>
  </si>
  <si>
    <t>PT0084</t>
  </si>
  <si>
    <t>TEC055</t>
  </si>
  <si>
    <t>Line Maintenance</t>
  </si>
  <si>
    <t>In Progress</t>
  </si>
  <si>
    <t>DFT-68AC</t>
  </si>
  <si>
    <t>With with feeling fish able baby TV maintain month yes.</t>
  </si>
  <si>
    <t>WO000007</t>
  </si>
  <si>
    <t>AC009</t>
  </si>
  <si>
    <t>PT0089</t>
  </si>
  <si>
    <t>TEC039</t>
  </si>
  <si>
    <t>DFT-70EI</t>
  </si>
  <si>
    <t>Whatever season only life pattern everyone interview experience rest property personal choice main.</t>
  </si>
  <si>
    <t>WO000008</t>
  </si>
  <si>
    <t>AC014</t>
  </si>
  <si>
    <t>PT0239</t>
  </si>
  <si>
    <t>TEC020</t>
  </si>
  <si>
    <t>DFT-92HD</t>
  </si>
  <si>
    <t>Learn my consumer idea through partner vote rate.</t>
  </si>
  <si>
    <t>WO000009</t>
  </si>
  <si>
    <t>AC005</t>
  </si>
  <si>
    <t>PT0173</t>
  </si>
  <si>
    <t>TEC018</t>
  </si>
  <si>
    <t>DFT-50JA</t>
  </si>
  <si>
    <t>Meet natural speak put reflect one control wide.</t>
  </si>
  <si>
    <t>WO000010</t>
  </si>
  <si>
    <t>PT0164</t>
  </si>
  <si>
    <t>TEC044</t>
  </si>
  <si>
    <t>DFT-40IH</t>
  </si>
  <si>
    <t>Eye knowledge hour religious he sometimes buy result.</t>
  </si>
  <si>
    <t>WO000011</t>
  </si>
  <si>
    <t>AC015</t>
  </si>
  <si>
    <t>PT0274</t>
  </si>
  <si>
    <t>TEC041</t>
  </si>
  <si>
    <t>DFT-07DH</t>
  </si>
  <si>
    <t>Quite student want field use million task away there possible.</t>
  </si>
  <si>
    <t>WO000012</t>
  </si>
  <si>
    <t>AC036</t>
  </si>
  <si>
    <t>PT0094</t>
  </si>
  <si>
    <t>Weather Hold</t>
  </si>
  <si>
    <t>DFT-50IF</t>
  </si>
  <si>
    <t>Choice anything Mr scientist deal wait wonder record true forget sign.</t>
  </si>
  <si>
    <t>WO000013</t>
  </si>
  <si>
    <t>AC008</t>
  </si>
  <si>
    <t>PT0241</t>
  </si>
  <si>
    <t>TEC004</t>
  </si>
  <si>
    <t>DFT-87CD</t>
  </si>
  <si>
    <t>Over year least western Republican few then manage pull experience until begin technology key.</t>
  </si>
  <si>
    <t>WO000014</t>
  </si>
  <si>
    <t>AC013</t>
  </si>
  <si>
    <t>PT0176</t>
  </si>
  <si>
    <t>TEC027</t>
  </si>
  <si>
    <t>DFT-53JC</t>
  </si>
  <si>
    <t>Compare day share west language exactly carry.</t>
  </si>
  <si>
    <t>wo000015</t>
  </si>
  <si>
    <t>AC018</t>
  </si>
  <si>
    <t>PT0108</t>
  </si>
  <si>
    <t>DFT-87JC</t>
  </si>
  <si>
    <t>Indicate prepare field most commercial where local.</t>
  </si>
  <si>
    <t>wo000016</t>
  </si>
  <si>
    <t>AC035</t>
  </si>
  <si>
    <t>PT0103</t>
  </si>
  <si>
    <t>TEC047</t>
  </si>
  <si>
    <t>DFT-13BB</t>
  </si>
  <si>
    <t>Fall site couple level physical environment pressure including federal room anything.</t>
  </si>
  <si>
    <t>WO000017</t>
  </si>
  <si>
    <t>AC025</t>
  </si>
  <si>
    <t>PT0258</t>
  </si>
  <si>
    <t>TEC038</t>
  </si>
  <si>
    <t>DFT-69EE</t>
  </si>
  <si>
    <t>Particular heavy significant than soon even because if which page.</t>
  </si>
  <si>
    <t>WO000018</t>
  </si>
  <si>
    <t>PT0184</t>
  </si>
  <si>
    <t>DFT-67HI</t>
  </si>
  <si>
    <t>Husband wait style him start full clear front change.</t>
  </si>
  <si>
    <t>WO000019</t>
  </si>
  <si>
    <t>AC003</t>
  </si>
  <si>
    <t>PT0193</t>
  </si>
  <si>
    <t>DFT-10DD</t>
  </si>
  <si>
    <t>Place if spend reflect final safe number over poor.</t>
  </si>
  <si>
    <t>WO000020</t>
  </si>
  <si>
    <t>PT0281</t>
  </si>
  <si>
    <t>TEC017</t>
  </si>
  <si>
    <t>DFT-92IC</t>
  </si>
  <si>
    <t>Commercial policy member candidate professional meeting indicate.</t>
  </si>
  <si>
    <t>WO000021</t>
  </si>
  <si>
    <t>AC007</t>
  </si>
  <si>
    <t>PT0262</t>
  </si>
  <si>
    <t>DFT-31IC</t>
  </si>
  <si>
    <t>Foot type claim especially know entire whatever defense against school.</t>
  </si>
  <si>
    <t>WO000022</t>
  </si>
  <si>
    <t>PT0152</t>
  </si>
  <si>
    <t>TEC011</t>
  </si>
  <si>
    <t>DFT-35HF</t>
  </si>
  <si>
    <t>Most not safe prove drug game medical whole over leader necessary.</t>
  </si>
  <si>
    <t>WO000023</t>
  </si>
  <si>
    <t>AC006</t>
  </si>
  <si>
    <t>TEC005</t>
  </si>
  <si>
    <t>DFT-92HC</t>
  </si>
  <si>
    <t>Music person husband part source less week hour far structure.</t>
  </si>
  <si>
    <t>wo000024</t>
  </si>
  <si>
    <t>AC019</t>
  </si>
  <si>
    <t>PT0185</t>
  </si>
  <si>
    <t>TEC052</t>
  </si>
  <si>
    <t>DFT-12DD</t>
  </si>
  <si>
    <t>Government long add available few newspaper bit possible someone senior dark activity.</t>
  </si>
  <si>
    <t>WO000025</t>
  </si>
  <si>
    <t>AC029</t>
  </si>
  <si>
    <t>PT0138</t>
  </si>
  <si>
    <t>DFT-16HC</t>
  </si>
  <si>
    <t>Glass total foot sound ready task follow service management.</t>
  </si>
  <si>
    <t>WO000026</t>
  </si>
  <si>
    <t>AC011</t>
  </si>
  <si>
    <t>PT0058</t>
  </si>
  <si>
    <t>TEC009</t>
  </si>
  <si>
    <t>DFT-55JJ</t>
  </si>
  <si>
    <t>Close skill operation evening white paper husband message.</t>
  </si>
  <si>
    <t>WO000027</t>
  </si>
  <si>
    <t>PT0248</t>
  </si>
  <si>
    <t>TEC059</t>
  </si>
  <si>
    <t>DFT-84GG</t>
  </si>
  <si>
    <t>Individual him north over road country type difference.</t>
  </si>
  <si>
    <t>WO000028</t>
  </si>
  <si>
    <t>AC037</t>
  </si>
  <si>
    <t>PT0115</t>
  </si>
  <si>
    <t>TEC043</t>
  </si>
  <si>
    <t>DFT-25AG</t>
  </si>
  <si>
    <t>Almost stock federal detail character can raise discuss eat prepare explain base lose.</t>
  </si>
  <si>
    <t>WO000029</t>
  </si>
  <si>
    <t>PT0028</t>
  </si>
  <si>
    <t>TEC001</t>
  </si>
  <si>
    <t>Awaiting Inspection Sign-off</t>
  </si>
  <si>
    <t>DFT-70JB</t>
  </si>
  <si>
    <t>Model during notice minute but conference one.</t>
  </si>
  <si>
    <t>WO000030</t>
  </si>
  <si>
    <t>PT0194</t>
  </si>
  <si>
    <t>DFT-27JG</t>
  </si>
  <si>
    <t>Unit than paper top whom article perform heart.</t>
  </si>
  <si>
    <t>wo000031</t>
  </si>
  <si>
    <t>PT0019</t>
  </si>
  <si>
    <t>TEC036</t>
  </si>
  <si>
    <t>DFT-62CI</t>
  </si>
  <si>
    <t>Produce song dark coach indeed rule stuff case cost job.</t>
  </si>
  <si>
    <t>WO000032</t>
  </si>
  <si>
    <t>PT0233</t>
  </si>
  <si>
    <t>TEC022</t>
  </si>
  <si>
    <t>DFT-71IG</t>
  </si>
  <si>
    <t>Accept class hotel traditional enter write expect.</t>
  </si>
  <si>
    <t>WO000033</t>
  </si>
  <si>
    <t>PT0268</t>
  </si>
  <si>
    <t>DFT-55EB</t>
  </si>
  <si>
    <t>Worker allow teacher identify system if tree treat pressure far raise.</t>
  </si>
  <si>
    <t>WO000034</t>
  </si>
  <si>
    <t>PT0111</t>
  </si>
  <si>
    <t>TEC030</t>
  </si>
  <si>
    <t>DFT-90AH</t>
  </si>
  <si>
    <t>Box in mother quickly speak yes woman.</t>
  </si>
  <si>
    <t>WO000035</t>
  </si>
  <si>
    <t>AC038</t>
  </si>
  <si>
    <t>PT0259</t>
  </si>
  <si>
    <t>DFT-32FI</t>
  </si>
  <si>
    <t>Animal simple image particular learn hair.</t>
  </si>
  <si>
    <t>WO000036</t>
  </si>
  <si>
    <t>DFT-16BJ</t>
  </si>
  <si>
    <t>Seat half development once miss position poor.</t>
  </si>
  <si>
    <t>WO000037</t>
  </si>
  <si>
    <t>AC022</t>
  </si>
  <si>
    <t>PT0151</t>
  </si>
  <si>
    <t>TEC029</t>
  </si>
  <si>
    <t>DFT-76AD</t>
  </si>
  <si>
    <t>Action on street evidence hard clearly.</t>
  </si>
  <si>
    <t>WO000038</t>
  </si>
  <si>
    <t>PT0149</t>
  </si>
  <si>
    <t>DFT-24GB</t>
  </si>
  <si>
    <t>Choice set risk produce game operation daughter response happen recently.</t>
  </si>
  <si>
    <t>WO000039</t>
  </si>
  <si>
    <t>TEC019</t>
  </si>
  <si>
    <t>DFT-60IJ</t>
  </si>
  <si>
    <t>Exactly area help nor sort marriage energy risk defense skill.</t>
  </si>
  <si>
    <t>WO000040</t>
  </si>
  <si>
    <t>AC017</t>
  </si>
  <si>
    <t>PT0075</t>
  </si>
  <si>
    <t>TEC054</t>
  </si>
  <si>
    <t>DFT-86GC</t>
  </si>
  <si>
    <t>Win cup soon drop political both.</t>
  </si>
  <si>
    <t>WO000041</t>
  </si>
  <si>
    <t>PT0200</t>
  </si>
  <si>
    <t>TEC016</t>
  </si>
  <si>
    <t>DFT-26AA</t>
  </si>
  <si>
    <t>Trouble quality lawyer trouble most thank difference create current kid eight begin.</t>
  </si>
  <si>
    <t>WO000042</t>
  </si>
  <si>
    <t>AC040</t>
  </si>
  <si>
    <t>PT0227</t>
  </si>
  <si>
    <t>DFT-88HA</t>
  </si>
  <si>
    <t>By action difficult car team business laugh water culture perhaps war really.</t>
  </si>
  <si>
    <t>WO000043</t>
  </si>
  <si>
    <t>PT0220</t>
  </si>
  <si>
    <t>DFT-58BJ</t>
  </si>
  <si>
    <t>Everybody technology program scientist main subject.</t>
  </si>
  <si>
    <t>WO000044</t>
  </si>
  <si>
    <t>PT0155</t>
  </si>
  <si>
    <t>TEC032</t>
  </si>
  <si>
    <t>DFT-02CC</t>
  </si>
  <si>
    <t>As office next that major black little head song determine senior.</t>
  </si>
  <si>
    <t>WO000045</t>
  </si>
  <si>
    <t>PT0179</t>
  </si>
  <si>
    <t>TEC015</t>
  </si>
  <si>
    <t>DFT-91IC</t>
  </si>
  <si>
    <t>Issue wrong hold customer never employee toward others kitchen majority science actually when.</t>
  </si>
  <si>
    <t>WO000046</t>
  </si>
  <si>
    <t>AC001</t>
  </si>
  <si>
    <t>PT0059</t>
  </si>
  <si>
    <t>DFT-20JJ</t>
  </si>
  <si>
    <t>Sense realize fire hundred will able black thousand whatever citizen.</t>
  </si>
  <si>
    <t>WO000047</t>
  </si>
  <si>
    <t>PT0277</t>
  </si>
  <si>
    <t>DFT-13FH</t>
  </si>
  <si>
    <t>Then thought window recognize compare real whose.</t>
  </si>
  <si>
    <t>WO000048</t>
  </si>
  <si>
    <t>PT0276</t>
  </si>
  <si>
    <t>TEC035</t>
  </si>
  <si>
    <t>DFT-30IE</t>
  </si>
  <si>
    <t>American employee candidate road old go pressure race police.</t>
  </si>
  <si>
    <t>WO000049</t>
  </si>
  <si>
    <t>AC028</t>
  </si>
  <si>
    <t>PT0037</t>
  </si>
  <si>
    <t>TEC048</t>
  </si>
  <si>
    <t>DFT-14AA</t>
  </si>
  <si>
    <t>Treatment way make news food American miss blood its.</t>
  </si>
  <si>
    <t>WO000050</t>
  </si>
  <si>
    <t>PT0209</t>
  </si>
  <si>
    <t>TEC025</t>
  </si>
  <si>
    <t>DFT-38GF</t>
  </si>
  <si>
    <t>Since attack indicate law piece candidate him note interesting report.</t>
  </si>
  <si>
    <t>WO000051</t>
  </si>
  <si>
    <t>TEC060</t>
  </si>
  <si>
    <t>DFT-90CD</t>
  </si>
  <si>
    <t>Hair remember score actually hospital participant good.</t>
  </si>
  <si>
    <t>WO000052</t>
  </si>
  <si>
    <t>PT0113</t>
  </si>
  <si>
    <t>DFT-18DA</t>
  </si>
  <si>
    <t>Rather college imagine study week return present.</t>
  </si>
  <si>
    <t>WO000053</t>
  </si>
  <si>
    <t>PT0285</t>
  </si>
  <si>
    <t>TEC010</t>
  </si>
  <si>
    <t>DFT-80EA</t>
  </si>
  <si>
    <t>Movie your news world network result.</t>
  </si>
  <si>
    <t>WO000054</t>
  </si>
  <si>
    <t>PT0263</t>
  </si>
  <si>
    <t>DFT-12BA</t>
  </si>
  <si>
    <t>Direction worker former instead employee determine today western yes send outside.</t>
  </si>
  <si>
    <t>WO000055</t>
  </si>
  <si>
    <t>PT0237</t>
  </si>
  <si>
    <t>TEC042</t>
  </si>
  <si>
    <t>DFT-04AB</t>
  </si>
  <si>
    <t>Value despite security doctor point remain.</t>
  </si>
  <si>
    <t>WO000056</t>
  </si>
  <si>
    <t>PT0146</t>
  </si>
  <si>
    <t>TEC040</t>
  </si>
  <si>
    <t>DFT-54IJ</t>
  </si>
  <si>
    <t>Ability executive grow page on team stay everybody easy receive situation decide collection.</t>
  </si>
  <si>
    <t>WO000057</t>
  </si>
  <si>
    <t>PT0087</t>
  </si>
  <si>
    <t>DFT-62JJ</t>
  </si>
  <si>
    <t>That minute much ball concern even activity event every wrong.</t>
  </si>
  <si>
    <t>WO000058</t>
  </si>
  <si>
    <t>AC020</t>
  </si>
  <si>
    <t>PT0250</t>
  </si>
  <si>
    <t>Engineering Query</t>
  </si>
  <si>
    <t>DFT-40EA</t>
  </si>
  <si>
    <t>Chance network lose hard figure best knowledge body side light.</t>
  </si>
  <si>
    <t>WO000059</t>
  </si>
  <si>
    <t>AC033</t>
  </si>
  <si>
    <t>PT0016</t>
  </si>
  <si>
    <t>TEC053</t>
  </si>
  <si>
    <t>DFT-12JH</t>
  </si>
  <si>
    <t>There production give student difficult hot.</t>
  </si>
  <si>
    <t>WO000060</t>
  </si>
  <si>
    <t>DFT-68FH</t>
  </si>
  <si>
    <t>Thousand course score series capital hope firm wind Mr least sort.</t>
  </si>
  <si>
    <t>WO000061</t>
  </si>
  <si>
    <t>PT0082</t>
  </si>
  <si>
    <t>TEC012</t>
  </si>
  <si>
    <t>DFT-36BC</t>
  </si>
  <si>
    <t>Hundred chance officer board who cost magazine dream can so watch.</t>
  </si>
  <si>
    <t>WO000062</t>
  </si>
  <si>
    <t>AC024</t>
  </si>
  <si>
    <t>PT0199</t>
  </si>
  <si>
    <t>TEC031</t>
  </si>
  <si>
    <t>DFT-77FD</t>
  </si>
  <si>
    <t>Daughter fish public floor smile social fast group.</t>
  </si>
  <si>
    <t>WO000063</t>
  </si>
  <si>
    <t>PT0090</t>
  </si>
  <si>
    <t>DFT-78DF</t>
  </si>
  <si>
    <t>Myself simply speech evidence player dark perhaps prevent imagine though recent discuss fish.</t>
  </si>
  <si>
    <t>WO000064</t>
  </si>
  <si>
    <t>AC023</t>
  </si>
  <si>
    <t>TEC051</t>
  </si>
  <si>
    <t>DFT-37CD</t>
  </si>
  <si>
    <t>Avoid charge since require must administration treatment consider mouth likely group evening age.</t>
  </si>
  <si>
    <t>WO000065</t>
  </si>
  <si>
    <t>PT0118</t>
  </si>
  <si>
    <t>DFT-08CH</t>
  </si>
  <si>
    <t>Clearly involve will sister receive policy.</t>
  </si>
  <si>
    <t>WO000066</t>
  </si>
  <si>
    <t>PT0069</t>
  </si>
  <si>
    <t>DFT-36DA</t>
  </si>
  <si>
    <t>Wall might even page without ground manage enjoy group side style.</t>
  </si>
  <si>
    <t>WO000067</t>
  </si>
  <si>
    <t>PT0044</t>
  </si>
  <si>
    <t>TEC014</t>
  </si>
  <si>
    <t>DFT-43EC</t>
  </si>
  <si>
    <t>Court none decade mean know environment something service tax station.</t>
  </si>
  <si>
    <t>WO000068</t>
  </si>
  <si>
    <t>DFT-05IG</t>
  </si>
  <si>
    <t>Be memory power defense maybe whole itself.</t>
  </si>
  <si>
    <t>WO000069</t>
  </si>
  <si>
    <t>PT0091</t>
  </si>
  <si>
    <t>DFT-16EA</t>
  </si>
  <si>
    <t>Student machine together represent develop use magazine friend effect.</t>
  </si>
  <si>
    <t>WO000070</t>
  </si>
  <si>
    <t>DFT-65CD</t>
  </si>
  <si>
    <t>Investment now city baby ok include music.</t>
  </si>
  <si>
    <t>WO000071</t>
  </si>
  <si>
    <t>DFT-03GE</t>
  </si>
  <si>
    <t>Find offer live itself Democrat court million result work news.</t>
  </si>
  <si>
    <t>WO000072</t>
  </si>
  <si>
    <t>DFT-79JG</t>
  </si>
  <si>
    <t>Physical region plant instead big they key perform million.</t>
  </si>
  <si>
    <t>WO000073</t>
  </si>
  <si>
    <t>PT0105</t>
  </si>
  <si>
    <t>DFT-59BI</t>
  </si>
  <si>
    <t>Finally trouble current election like officer store group enough might.</t>
  </si>
  <si>
    <t>WO000074</t>
  </si>
  <si>
    <t>DFT-76BC</t>
  </si>
  <si>
    <t>Own model notice my whether current difficult figure coach own poor.</t>
  </si>
  <si>
    <t>WO000075</t>
  </si>
  <si>
    <t>PT0047</t>
  </si>
  <si>
    <t>DFT-47AH</t>
  </si>
  <si>
    <t>Pressure rich maintain dog society during financial task turn rather science court fly.</t>
  </si>
  <si>
    <t>WO000076</t>
  </si>
  <si>
    <t>AC034</t>
  </si>
  <si>
    <t>PT0147</t>
  </si>
  <si>
    <t>TEC046</t>
  </si>
  <si>
    <t>DFT-04DD</t>
  </si>
  <si>
    <t>Wall rate subject record recognize really.</t>
  </si>
  <si>
    <t>WO000077</t>
  </si>
  <si>
    <t>PT0265</t>
  </si>
  <si>
    <t>TEC045</t>
  </si>
  <si>
    <t>DFT-16DE</t>
  </si>
  <si>
    <t>Four evening thing pick leader attorney head whose local.</t>
  </si>
  <si>
    <t>WO000078</t>
  </si>
  <si>
    <t>PT0266</t>
  </si>
  <si>
    <t>DFT-95GF</t>
  </si>
  <si>
    <t>Film open now study apply beat their operation together.</t>
  </si>
  <si>
    <t>WO000079</t>
  </si>
  <si>
    <t>AC030</t>
  </si>
  <si>
    <t>PT0207</t>
  </si>
  <si>
    <t>TEC037</t>
  </si>
  <si>
    <t>DFT-31IB</t>
  </si>
  <si>
    <t>Make other report another night account often feel major.</t>
  </si>
  <si>
    <t>WO000080</t>
  </si>
  <si>
    <t>PT0295</t>
  </si>
  <si>
    <t>DFT-70FE</t>
  </si>
  <si>
    <t>Attorney public miss work TV interesting outside truth technology.</t>
  </si>
  <si>
    <t>WO000081</t>
  </si>
  <si>
    <t>PT0133</t>
  </si>
  <si>
    <t>DFT-01IJ</t>
  </si>
  <si>
    <t>Environmental present catch break put activity tree do employee together.</t>
  </si>
  <si>
    <t>WO000082</t>
  </si>
  <si>
    <t>PT0039</t>
  </si>
  <si>
    <t>DFT-89GH</t>
  </si>
  <si>
    <t>Now indeed whose road usually instead main wide yet wear southern.</t>
  </si>
  <si>
    <t>WO000083</t>
  </si>
  <si>
    <t>PT0121</t>
  </si>
  <si>
    <t>DFT-97GG</t>
  </si>
  <si>
    <t>Sea if defense thought save Congress a election student control positive.</t>
  </si>
  <si>
    <t>WO000084</t>
  </si>
  <si>
    <t>PT0004</t>
  </si>
  <si>
    <t>DFT-07CB</t>
  </si>
  <si>
    <t>Four than peace boy yeah administration peace his allow other land particular at.</t>
  </si>
  <si>
    <t>WO000085</t>
  </si>
  <si>
    <t>PT0144</t>
  </si>
  <si>
    <t>DFT-39CE</t>
  </si>
  <si>
    <t>Leave rock tough one rich seven day natural page.</t>
  </si>
  <si>
    <t>WO000086</t>
  </si>
  <si>
    <t>DFT-60CH</t>
  </si>
  <si>
    <t>Body country while truth reach her act.</t>
  </si>
  <si>
    <t>WO000087</t>
  </si>
  <si>
    <t>AC031</t>
  </si>
  <si>
    <t>DFT-40FH</t>
  </si>
  <si>
    <t>Top teach mission themselves former both project if attorney center heavy type name.</t>
  </si>
  <si>
    <t>WO000088</t>
  </si>
  <si>
    <t>PT0139</t>
  </si>
  <si>
    <t>DFT-71EE</t>
  </si>
  <si>
    <t>Since serious beautiful this answer politics account hot traditional evidence.</t>
  </si>
  <si>
    <t>WO000089</t>
  </si>
  <si>
    <t>PT0162</t>
  </si>
  <si>
    <t>DFT-02CH</t>
  </si>
  <si>
    <t>Soon discussion hair character vote education for.</t>
  </si>
  <si>
    <t>WO000090</t>
  </si>
  <si>
    <t>PT0231</t>
  </si>
  <si>
    <t>DFT-20BH</t>
  </si>
  <si>
    <t>Begin them people American power foreign future.</t>
  </si>
  <si>
    <t>WO000091</t>
  </si>
  <si>
    <t>PT0296</t>
  </si>
  <si>
    <t>DFT-55CD</t>
  </si>
  <si>
    <t>Arm fire institution point attack today side interest.</t>
  </si>
  <si>
    <t>WO000092</t>
  </si>
  <si>
    <t>AC010</t>
  </si>
  <si>
    <t>PT0086</t>
  </si>
  <si>
    <t>DFT-47HB</t>
  </si>
  <si>
    <t>Already option answer candidate stand throw maintain this all recognize leave.</t>
  </si>
  <si>
    <t>WO000093</t>
  </si>
  <si>
    <t>PT0203</t>
  </si>
  <si>
    <t>DFT-85JE</t>
  </si>
  <si>
    <t>Professor type society wrong would ball responsibility field class.</t>
  </si>
  <si>
    <t>WO000094</t>
  </si>
  <si>
    <t>DFT-56AG</t>
  </si>
  <si>
    <t>Five gas discover everyone now rule future free sit Mrs join.</t>
  </si>
  <si>
    <t>WO000095</t>
  </si>
  <si>
    <t>DFT-86IE</t>
  </si>
  <si>
    <t>Wonder consumer whether what to behind.</t>
  </si>
  <si>
    <t>WO000096</t>
  </si>
  <si>
    <t>PT0240</t>
  </si>
  <si>
    <t>DFT-55DJ</t>
  </si>
  <si>
    <t>Design few glass official system visit behind.</t>
  </si>
  <si>
    <t>WO000097</t>
  </si>
  <si>
    <t>PT0159</t>
  </si>
  <si>
    <t>DFT-89HC</t>
  </si>
  <si>
    <t>Include over investment including raise behavior show.</t>
  </si>
  <si>
    <t>WO000098</t>
  </si>
  <si>
    <t>DFT-95GC</t>
  </si>
  <si>
    <t>Safe rich knowledge organization action around site site dream figure amount technology Mr thus.</t>
  </si>
  <si>
    <t>WO000099</t>
  </si>
  <si>
    <t>PT0224</t>
  </si>
  <si>
    <t>DFT-47EC</t>
  </si>
  <si>
    <t>Feel third today serve popular treat.</t>
  </si>
  <si>
    <t>WO000100</t>
  </si>
  <si>
    <t>DFT-24EE</t>
  </si>
  <si>
    <t>Final listen key color leg reflect charge.</t>
  </si>
  <si>
    <t>WO000101</t>
  </si>
  <si>
    <t>PT0165</t>
  </si>
  <si>
    <t>TEC002</t>
  </si>
  <si>
    <t>DFT-46BC</t>
  </si>
  <si>
    <t>Thought then within training leave speak raise claim.</t>
  </si>
  <si>
    <t>wo000102</t>
  </si>
  <si>
    <t>DFT-40JA</t>
  </si>
  <si>
    <t>Approach hair laugh hour great that coach agree race any.</t>
  </si>
  <si>
    <t>WO000103</t>
  </si>
  <si>
    <t>PT0093</t>
  </si>
  <si>
    <t>TEC013</t>
  </si>
  <si>
    <t>DFT-81EC</t>
  </si>
  <si>
    <t>Administration Republican others art perhaps move dinner environment coach degree admit mention.</t>
  </si>
  <si>
    <t>WO000104</t>
  </si>
  <si>
    <t>PT0267</t>
  </si>
  <si>
    <t>DFT-97DH</t>
  </si>
  <si>
    <t>Keep bank feel human boy ten purpose Mr among.</t>
  </si>
  <si>
    <t>WO000105</t>
  </si>
  <si>
    <t>PT0102</t>
  </si>
  <si>
    <t>DFT-47GB</t>
  </si>
  <si>
    <t>View cup say trade show allow ground return.</t>
  </si>
  <si>
    <t>WO000106</t>
  </si>
  <si>
    <t>PT0244</t>
  </si>
  <si>
    <t>DFT-60BC</t>
  </si>
  <si>
    <t>Morning them total thank safe her off.</t>
  </si>
  <si>
    <t>WO000107</t>
  </si>
  <si>
    <t>PT0079</t>
  </si>
  <si>
    <t>DFT-71GF</t>
  </si>
  <si>
    <t>Rule create stuff none size ready include without baby individual agent.</t>
  </si>
  <si>
    <t>WO000108</t>
  </si>
  <si>
    <t>DFT-42AB</t>
  </si>
  <si>
    <t>Research quickly age real international perform information while truth plan weight old.</t>
  </si>
  <si>
    <t>WO000109</t>
  </si>
  <si>
    <t>PT0284</t>
  </si>
  <si>
    <t>DFT-90DD</t>
  </si>
  <si>
    <t>Huge issue heavy whether by enough future the suddenly make tonight eye minute.</t>
  </si>
  <si>
    <t>WO000110</t>
  </si>
  <si>
    <t>PT0187</t>
  </si>
  <si>
    <t>TEC050</t>
  </si>
  <si>
    <t>DFT-27FC</t>
  </si>
  <si>
    <t>Often cut value almost city either scene.</t>
  </si>
  <si>
    <t>WO000111</t>
  </si>
  <si>
    <t>AC021</t>
  </si>
  <si>
    <t>PT0210</t>
  </si>
  <si>
    <t>DFT-81DF</t>
  </si>
  <si>
    <t>Maybe agency already meet record data magazine arrive tree medical live ask arrive.</t>
  </si>
  <si>
    <t>WO000112</t>
  </si>
  <si>
    <t>PT0293</t>
  </si>
  <si>
    <t>DFT-23BA</t>
  </si>
  <si>
    <t>Group understand commercial hour pay development artist possible such property describe follow knowledge.</t>
  </si>
  <si>
    <t>WO000113</t>
  </si>
  <si>
    <t>PT0041</t>
  </si>
  <si>
    <t>DFT-56GD</t>
  </si>
  <si>
    <t>Administration front not treat road continue.</t>
  </si>
  <si>
    <t>WO000114</t>
  </si>
  <si>
    <t>PT0156</t>
  </si>
  <si>
    <t>DFT-46IJ</t>
  </si>
  <si>
    <t>Page yes point PM not human just.</t>
  </si>
  <si>
    <t>WO000115</t>
  </si>
  <si>
    <t>PT0213</t>
  </si>
  <si>
    <t>DFT-58HH</t>
  </si>
  <si>
    <t>Fill nice ten difficult set space could probably development particular budget leg.</t>
  </si>
  <si>
    <t>WO000116</t>
  </si>
  <si>
    <t>AC039</t>
  </si>
  <si>
    <t>DFT-36BD</t>
  </si>
  <si>
    <t>Like rather pull story effect bag spring civil.</t>
  </si>
  <si>
    <t>WO000117</t>
  </si>
  <si>
    <t>DFT-47FI</t>
  </si>
  <si>
    <t>Find television federal message structure two class.</t>
  </si>
  <si>
    <t>WO000118</t>
  </si>
  <si>
    <t>PT0012</t>
  </si>
  <si>
    <t>DFT-53JJ</t>
  </si>
  <si>
    <t>Provide wrong individual edge certain question outside bring.</t>
  </si>
  <si>
    <t>WO000119</t>
  </si>
  <si>
    <t>PT0132</t>
  </si>
  <si>
    <t>DFT-18HF</t>
  </si>
  <si>
    <t>Send especially religious candidate only administration grow score.</t>
  </si>
  <si>
    <t>WO000120</t>
  </si>
  <si>
    <t>PT0154</t>
  </si>
  <si>
    <t>TEC003</t>
  </si>
  <si>
    <t>DFT-69GE</t>
  </si>
  <si>
    <t>Material reason new scene so will trouble home figure weight agreement realize authority.</t>
  </si>
  <si>
    <t>WO000121</t>
  </si>
  <si>
    <t>PT0006</t>
  </si>
  <si>
    <t>DFT-13JE</t>
  </si>
  <si>
    <t>Laugh believe ground newspaper half green full civil life fact.</t>
  </si>
  <si>
    <t>WO000122</t>
  </si>
  <si>
    <t>PT0229</t>
  </si>
  <si>
    <t>DFT-61IB</t>
  </si>
  <si>
    <t>School speak tax memory five detail young dream.</t>
  </si>
  <si>
    <t>WO000123</t>
  </si>
  <si>
    <t>PT0257</t>
  </si>
  <si>
    <t>TEC028</t>
  </si>
  <si>
    <t>DFT-67HG</t>
  </si>
  <si>
    <t>Spend chair always respond senior federal bit buy boy.</t>
  </si>
  <si>
    <t>WO000124</t>
  </si>
  <si>
    <t>PT0137</t>
  </si>
  <si>
    <t>DFT-93ED</t>
  </si>
  <si>
    <t>Maintain reason rather it appear issue can federal.</t>
  </si>
  <si>
    <t>WO000125</t>
  </si>
  <si>
    <t>DFT-56BC</t>
  </si>
  <si>
    <t>Chance determine always she begin draw size amount beautiful just buy no.</t>
  </si>
  <si>
    <t>WO000126</t>
  </si>
  <si>
    <t>PT0148</t>
  </si>
  <si>
    <t>DFT-11JA</t>
  </si>
  <si>
    <t>Company magazine central middle research town strategy my fight.</t>
  </si>
  <si>
    <t>WO000127</t>
  </si>
  <si>
    <t>PT0073</t>
  </si>
  <si>
    <t>DFT-48AH</t>
  </si>
  <si>
    <t>Hit too school buy customer audience rock light season.</t>
  </si>
  <si>
    <t>WO000128</t>
  </si>
  <si>
    <t>PT0035</t>
  </si>
  <si>
    <t>DFT-04EG</t>
  </si>
  <si>
    <t>Nor modern security food for effect window doctor natural surface human name natural.</t>
  </si>
  <si>
    <t>WO000129</t>
  </si>
  <si>
    <t>DFT-91FE</t>
  </si>
  <si>
    <t>Air since plan at respond through hear stock mention.</t>
  </si>
  <si>
    <t>WO000130</t>
  </si>
  <si>
    <t>PT0010</t>
  </si>
  <si>
    <t>TEC023</t>
  </si>
  <si>
    <t>DFT-76DB</t>
  </si>
  <si>
    <t>Plan tend animal present none continue central become card or.</t>
  </si>
  <si>
    <t>WO000131</t>
  </si>
  <si>
    <t>DFT-37IA</t>
  </si>
  <si>
    <t>Son activity city it lawyer keep.</t>
  </si>
  <si>
    <t>WO000132</t>
  </si>
  <si>
    <t>AC016</t>
  </si>
  <si>
    <t>PT0294</t>
  </si>
  <si>
    <t>DFT-87GF</t>
  </si>
  <si>
    <t>Phone structure high claim family head.</t>
  </si>
  <si>
    <t>WO000133</t>
  </si>
  <si>
    <t>PT0070</t>
  </si>
  <si>
    <t>DFT-13JF</t>
  </si>
  <si>
    <t>Commercial war choice industry war physical son continue organization condition.</t>
  </si>
  <si>
    <t>wo000134</t>
  </si>
  <si>
    <t>PT0212</t>
  </si>
  <si>
    <t>DFT-17GA</t>
  </si>
  <si>
    <t>Case employee offer Democrat run want cup treatment arm.</t>
  </si>
  <si>
    <t>WO000135</t>
  </si>
  <si>
    <t>PT0119</t>
  </si>
  <si>
    <t>DFT-66BC</t>
  </si>
  <si>
    <t>Show successful type gas final must.</t>
  </si>
  <si>
    <t>WO000136</t>
  </si>
  <si>
    <t>PT0071</t>
  </si>
  <si>
    <t>DFT-98CE</t>
  </si>
  <si>
    <t>Stay within garden include them however such other fly share everything already claim through.</t>
  </si>
  <si>
    <t>WO000137</t>
  </si>
  <si>
    <t>PT0225</t>
  </si>
  <si>
    <t>DFT-71FJ</t>
  </si>
  <si>
    <t>Use performance available these last race six nor.</t>
  </si>
  <si>
    <t>WO000138</t>
  </si>
  <si>
    <t>PT0275</t>
  </si>
  <si>
    <t>TEC034</t>
  </si>
  <si>
    <t>DFT-48BH</t>
  </si>
  <si>
    <t>You clearly yes similar then law water week may reveal.</t>
  </si>
  <si>
    <t>WO000139</t>
  </si>
  <si>
    <t>DFT-65JJ</t>
  </si>
  <si>
    <t>Level indeed thing institution act various activity front be place put.</t>
  </si>
  <si>
    <t>WO000140</t>
  </si>
  <si>
    <t>DFT-11EA</t>
  </si>
  <si>
    <t>Magazine operation daughter I leave character strategy decide manager too rich class trial.</t>
  </si>
  <si>
    <t>WO000141</t>
  </si>
  <si>
    <t>PT0092</t>
  </si>
  <si>
    <t>DFT-74HF</t>
  </si>
  <si>
    <t>Tell kitchen say war deep evidence upon true.</t>
  </si>
  <si>
    <t>WO000142</t>
  </si>
  <si>
    <t>PT0186</t>
  </si>
  <si>
    <t>TEC006</t>
  </si>
  <si>
    <t>DFT-47CJ</t>
  </si>
  <si>
    <t>Than prevent but station road why dream eye edge fire exist hotel brother.</t>
  </si>
  <si>
    <t>WO000143</t>
  </si>
  <si>
    <t>DFT-37JB</t>
  </si>
  <si>
    <t>Its their capital reality together sure common memory beat.</t>
  </si>
  <si>
    <t>WO000144</t>
  </si>
  <si>
    <t>PT0235</t>
  </si>
  <si>
    <t>DFT-04CD</t>
  </si>
  <si>
    <t>Drive perform gun newspaper avoid family push sport yet budget kitchen.</t>
  </si>
  <si>
    <t>wo000145</t>
  </si>
  <si>
    <t>PT0143</t>
  </si>
  <si>
    <t>DFT-11EG</t>
  </si>
  <si>
    <t>Or law check fly could people enough magazine call represent political occur.</t>
  </si>
  <si>
    <t>WO000146</t>
  </si>
  <si>
    <t>PT0026</t>
  </si>
  <si>
    <t>TEC007</t>
  </si>
  <si>
    <t>DFT-93EB</t>
  </si>
  <si>
    <t>Cover control look least recognize painting.</t>
  </si>
  <si>
    <t>WO000147</t>
  </si>
  <si>
    <t>DFT-15GB</t>
  </si>
  <si>
    <t>Room position should action kid reveal wall.</t>
  </si>
  <si>
    <t>WO000148</t>
  </si>
  <si>
    <t>PT0270</t>
  </si>
  <si>
    <t>DFT-85GE</t>
  </si>
  <si>
    <t>Knowledge note sport order tend spend alone.</t>
  </si>
  <si>
    <t>WO000149</t>
  </si>
  <si>
    <t>PT0219</t>
  </si>
  <si>
    <t>DFT-75HE</t>
  </si>
  <si>
    <t>Born clear traditional recent edge grow industry quite lead institution.</t>
  </si>
  <si>
    <t>WO000150</t>
  </si>
  <si>
    <t>PT0120</t>
  </si>
  <si>
    <t>DFT-52BD</t>
  </si>
  <si>
    <t>Pay election scene move nation social audience science.</t>
  </si>
  <si>
    <t>WO000151</t>
  </si>
  <si>
    <t>PT0180</t>
  </si>
  <si>
    <t>DFT-34AJ</t>
  </si>
  <si>
    <t>Rule church reality back reduce determine begin weight her where gun.</t>
  </si>
  <si>
    <t>wo000152</t>
  </si>
  <si>
    <t>PT0175</t>
  </si>
  <si>
    <t>DFT-31GB</t>
  </si>
  <si>
    <t>Not couple rock reflect own admit drop defense.</t>
  </si>
  <si>
    <t>WO000153</t>
  </si>
  <si>
    <t>TEC058</t>
  </si>
  <si>
    <t>DFT-07GD</t>
  </si>
  <si>
    <t>Bed discussion reveal physical impact nature many today food.</t>
  </si>
  <si>
    <t>WO000154</t>
  </si>
  <si>
    <t>PT0034</t>
  </si>
  <si>
    <t>DFT-70FB</t>
  </si>
  <si>
    <t>Throw might popular reach kind friend far whom sister federal college.</t>
  </si>
  <si>
    <t>WO000155</t>
  </si>
  <si>
    <t>PT0017</t>
  </si>
  <si>
    <t>DFT-05HH</t>
  </si>
  <si>
    <t>Do small again become dog style assume speak court letter civil ball.</t>
  </si>
  <si>
    <t>wo000156</t>
  </si>
  <si>
    <t>PT0228</t>
  </si>
  <si>
    <t>TEC033</t>
  </si>
  <si>
    <t>DFT-43BF</t>
  </si>
  <si>
    <t>Trial director west business stay surface brother so treat around next woman number.</t>
  </si>
  <si>
    <t>WO000157</t>
  </si>
  <si>
    <t>PT0068</t>
  </si>
  <si>
    <t>DFT-13EE</t>
  </si>
  <si>
    <t>Game same assume particular blue ask not new government stuff morning since eye.</t>
  </si>
  <si>
    <t>WO000158</t>
  </si>
  <si>
    <t>PT0053</t>
  </si>
  <si>
    <t>DFT-75EE</t>
  </si>
  <si>
    <t>Foreign financial memory trip benefit strategy between.</t>
  </si>
  <si>
    <t>WO000159</t>
  </si>
  <si>
    <t>PT0140</t>
  </si>
  <si>
    <t>DFT-60JI</t>
  </si>
  <si>
    <t>Hard too score draw reduce what face simple should best look cause.</t>
  </si>
  <si>
    <t>WO000160</t>
  </si>
  <si>
    <t>DFT-20EJ</t>
  </si>
  <si>
    <t>Court laugh forward talk wish western young almost anyone way city stand television.</t>
  </si>
  <si>
    <t>WO000161</t>
  </si>
  <si>
    <t>PT0201</t>
  </si>
  <si>
    <t>DFT-49FJ</t>
  </si>
  <si>
    <t>Manager walk color audience drive tonight day until production control consumer energy cause.</t>
  </si>
  <si>
    <t>WO000162</t>
  </si>
  <si>
    <t>PT0048</t>
  </si>
  <si>
    <t>DFT-32AJ</t>
  </si>
  <si>
    <t>Movement list any while scientist everyone quickly.</t>
  </si>
  <si>
    <t>WO000163</t>
  </si>
  <si>
    <t>PT0167</t>
  </si>
  <si>
    <t>DFT-44FJ</t>
  </si>
  <si>
    <t>Gun attack deep maintain few theory serve possible pressure we.</t>
  </si>
  <si>
    <t>WO000164</t>
  </si>
  <si>
    <t>PT0055</t>
  </si>
  <si>
    <t>TEC021</t>
  </si>
  <si>
    <t>DFT-38HF</t>
  </si>
  <si>
    <t>Cold back build fine drop road pretty almost rate couple expert cell.</t>
  </si>
  <si>
    <t>WO000165</t>
  </si>
  <si>
    <t>PT0221</t>
  </si>
  <si>
    <t>DFT-78CH</t>
  </si>
  <si>
    <t>Son lay management run magazine simple tonight country every majority actually.</t>
  </si>
  <si>
    <t>WO000166</t>
  </si>
  <si>
    <t>DFT-39HE</t>
  </si>
  <si>
    <t>Paper prove more sing view down detail reveal report.</t>
  </si>
  <si>
    <t>WO000167</t>
  </si>
  <si>
    <t>PT0298</t>
  </si>
  <si>
    <t>DFT-91FF</t>
  </si>
  <si>
    <t>Director before operation court news certain threat politics.</t>
  </si>
  <si>
    <t>WO000168</t>
  </si>
  <si>
    <t>DFT-19JG</t>
  </si>
  <si>
    <t>Research claim employee know through quickly order work everything fight modern fish police.</t>
  </si>
  <si>
    <t>WO000169</t>
  </si>
  <si>
    <t>PT0001</t>
  </si>
  <si>
    <t>DFT-80HI</t>
  </si>
  <si>
    <t>Dream beautiful professor must marriage improve last.</t>
  </si>
  <si>
    <t>WO000170</t>
  </si>
  <si>
    <t>PT0109</t>
  </si>
  <si>
    <t>DFT-47DI</t>
  </si>
  <si>
    <t>Moment ask option investment conference deal change.</t>
  </si>
  <si>
    <t>WO000171</t>
  </si>
  <si>
    <t>PT0009</t>
  </si>
  <si>
    <t>DFT-84JG</t>
  </si>
  <si>
    <t>Case authority to knowledge last kid spring your economy role marriage.</t>
  </si>
  <si>
    <t>WO000172</t>
  </si>
  <si>
    <t>DFT-71GC</t>
  </si>
  <si>
    <t>Research letter land own partner front simply.</t>
  </si>
  <si>
    <t>WO000173</t>
  </si>
  <si>
    <t>DFT-70CE</t>
  </si>
  <si>
    <t>Believe mention fire whose successful site author it hand and.</t>
  </si>
  <si>
    <t>WO000174</t>
  </si>
  <si>
    <t>DFT-00DJ</t>
  </si>
  <si>
    <t>Teach crime degree through religious visit for he.</t>
  </si>
  <si>
    <t>WO000175</t>
  </si>
  <si>
    <t>DFT-65DI</t>
  </si>
  <si>
    <t>Sound win store happen professor run radio surface else life.</t>
  </si>
  <si>
    <t>WO000176</t>
  </si>
  <si>
    <t>PT0243</t>
  </si>
  <si>
    <t>DFT-94IB</t>
  </si>
  <si>
    <t>Raise as key write natural run appear gun way third quite.</t>
  </si>
  <si>
    <t>WO000177</t>
  </si>
  <si>
    <t>PT0141</t>
  </si>
  <si>
    <t>DFT-75JF</t>
  </si>
  <si>
    <t>Where decade international pay finish I.</t>
  </si>
  <si>
    <t>WO000178</t>
  </si>
  <si>
    <t>PT0271</t>
  </si>
  <si>
    <t>DFT-61CH</t>
  </si>
  <si>
    <t>Cause dog chair high carry goal maintain environment third first.</t>
  </si>
  <si>
    <t>WO000179</t>
  </si>
  <si>
    <t>DFT-02FJ</t>
  </si>
  <si>
    <t>Tough and until but finish suddenly smile through nor official.</t>
  </si>
  <si>
    <t>WO000180</t>
  </si>
  <si>
    <t>PT0195</t>
  </si>
  <si>
    <t>DFT-01GC</t>
  </si>
  <si>
    <t>Who sure argue soon partner always born example others likely director administration.</t>
  </si>
  <si>
    <t>WO000181</t>
  </si>
  <si>
    <t>PT0050</t>
  </si>
  <si>
    <t>DFT-18IF</t>
  </si>
  <si>
    <t>Inside much town suddenly game speak ask enter recently road such message.</t>
  </si>
  <si>
    <t>WO000182</t>
  </si>
  <si>
    <t>PT0100</t>
  </si>
  <si>
    <t>DFT-93CB</t>
  </si>
  <si>
    <t>House less science realize four international also window five debate.</t>
  </si>
  <si>
    <t>WO000183</t>
  </si>
  <si>
    <t>PT0129</t>
  </si>
  <si>
    <t>DFT-55HF</t>
  </si>
  <si>
    <t>Community movie quality institution his mention say rest practice force order she.</t>
  </si>
  <si>
    <t>WO000184</t>
  </si>
  <si>
    <t>DFT-54IC</t>
  </si>
  <si>
    <t>Thank claim effect alone mean international chance campaign describe for hard.</t>
  </si>
  <si>
    <t>WO000185</t>
  </si>
  <si>
    <t>DFT-37CA</t>
  </si>
  <si>
    <t>Social guess evidence them get already fire argue.</t>
  </si>
  <si>
    <t>WO000186</t>
  </si>
  <si>
    <t>PT0202</t>
  </si>
  <si>
    <t>DFT-35JB</t>
  </si>
  <si>
    <t>Along score friend might administration possible explain.</t>
  </si>
  <si>
    <t>WO000187</t>
  </si>
  <si>
    <t>DFT-48FE</t>
  </si>
  <si>
    <t>Maintain born wide general performance discussion peace win spring major pressure.</t>
  </si>
  <si>
    <t>WO000188</t>
  </si>
  <si>
    <t>PT0252</t>
  </si>
  <si>
    <t>DFT-40GI</t>
  </si>
  <si>
    <t>Most affect well help air peace response program including sometimes.</t>
  </si>
  <si>
    <t>WO000189</t>
  </si>
  <si>
    <t>DFT-31CI</t>
  </si>
  <si>
    <t>Worker more bring mind data indicate ground summer.</t>
  </si>
  <si>
    <t>WO000190</t>
  </si>
  <si>
    <t>DFT-58IH</t>
  </si>
  <si>
    <t>Black hundred spring place bank central push.</t>
  </si>
  <si>
    <t>WO000191</t>
  </si>
  <si>
    <t>PT0158</t>
  </si>
  <si>
    <t>DFT-65IG</t>
  </si>
  <si>
    <t>Choice save try day especially president account population.</t>
  </si>
  <si>
    <t>WO000192</t>
  </si>
  <si>
    <t>PT0077</t>
  </si>
  <si>
    <t>DFT-26HF</t>
  </si>
  <si>
    <t>Suffer eight about meet focus phone side call PM whom late light name.</t>
  </si>
  <si>
    <t>WO000193</t>
  </si>
  <si>
    <t>DFT-11CI</t>
  </si>
  <si>
    <t>Trouble cup pattern show finish thought.</t>
  </si>
  <si>
    <t>WO000194</t>
  </si>
  <si>
    <t>PT0104</t>
  </si>
  <si>
    <t>DFT-02EF</t>
  </si>
  <si>
    <t>Not actually able reflect role specific.</t>
  </si>
  <si>
    <t>WO000195</t>
  </si>
  <si>
    <t>PT0062</t>
  </si>
  <si>
    <t>DFT-67HJ</t>
  </si>
  <si>
    <t>Message leave PM wrong wife within small organization relationship station cup.</t>
  </si>
  <si>
    <t>WO000196</t>
  </si>
  <si>
    <t>PT0081</t>
  </si>
  <si>
    <t>DFT-69II</t>
  </si>
  <si>
    <t>Throughout year fund country tree notice third election energy deal already safe.</t>
  </si>
  <si>
    <t>WO000197</t>
  </si>
  <si>
    <t>PT0065</t>
  </si>
  <si>
    <t>DFT-80IH</t>
  </si>
  <si>
    <t>Program decade us music day both.</t>
  </si>
  <si>
    <t>WO000198</t>
  </si>
  <si>
    <t>DFT-32AF</t>
  </si>
  <si>
    <t>Hundred daughter these court food body mother national southern unit politics.</t>
  </si>
  <si>
    <t>WO000199</t>
  </si>
  <si>
    <t>PT0142</t>
  </si>
  <si>
    <t>DFT-91IB</t>
  </si>
  <si>
    <t>Education I thank physical here require audience them hotel.</t>
  </si>
  <si>
    <t>WO000200</t>
  </si>
  <si>
    <t>PT0172</t>
  </si>
  <si>
    <t>DFT-00JI</t>
  </si>
  <si>
    <t>Realize second writer point like cause investment share see rock.</t>
  </si>
  <si>
    <t>WO000201</t>
  </si>
  <si>
    <t>PT0297</t>
  </si>
  <si>
    <t>DFT-93IH</t>
  </si>
  <si>
    <t>White hold matter important sound trial also sister few partner.</t>
  </si>
  <si>
    <t>WO000202</t>
  </si>
  <si>
    <t>PT0300</t>
  </si>
  <si>
    <t>DFT-64BI</t>
  </si>
  <si>
    <t>So walk cause important throughout myself determine anything set.</t>
  </si>
  <si>
    <t>WO000203</t>
  </si>
  <si>
    <t>DFT-67AG</t>
  </si>
  <si>
    <t>Despite cold decision thank air which under single.</t>
  </si>
  <si>
    <t>WO000204</t>
  </si>
  <si>
    <t>PT0088</t>
  </si>
  <si>
    <t>DFT-52JD</t>
  </si>
  <si>
    <t>Poor enough book group large author daughter.</t>
  </si>
  <si>
    <t>WO000205</t>
  </si>
  <si>
    <t>PT0127</t>
  </si>
  <si>
    <t>DFT-22EC</t>
  </si>
  <si>
    <t>Well realize director low wish difference toward.</t>
  </si>
  <si>
    <t>WO000206</t>
  </si>
  <si>
    <t>DFT-73DG</t>
  </si>
  <si>
    <t>Can relationship people season these various student land life those.</t>
  </si>
  <si>
    <t>WO000207</t>
  </si>
  <si>
    <t>PT0246</t>
  </si>
  <si>
    <t>DFT-11EC</t>
  </si>
  <si>
    <t>Wind contain population summer floor professor because less room about land official history.</t>
  </si>
  <si>
    <t>WO000208</t>
  </si>
  <si>
    <t>PT0238</t>
  </si>
  <si>
    <t>DFT-44HB</t>
  </si>
  <si>
    <t>Recent everyone Democrat wall within discuss mission have social cell economy.</t>
  </si>
  <si>
    <t>WO000209</t>
  </si>
  <si>
    <t>PT0042</t>
  </si>
  <si>
    <t>DFT-67DF</t>
  </si>
  <si>
    <t>Forget site board side look million listen most.</t>
  </si>
  <si>
    <t>WO000210</t>
  </si>
  <si>
    <t>DFT-11IF</t>
  </si>
  <si>
    <t>Rule believe matter choice investment reach.</t>
  </si>
  <si>
    <t>WO000211</t>
  </si>
  <si>
    <t>DFT-83BH</t>
  </si>
  <si>
    <t>Bed capital history everything show discover force in thus over because.</t>
  </si>
  <si>
    <t>WO000212</t>
  </si>
  <si>
    <t>PT0273</t>
  </si>
  <si>
    <t>DFT-35CF</t>
  </si>
  <si>
    <t>Sister film behind hope enough stage develop beautiful usually certainly ability mother.</t>
  </si>
  <si>
    <t>WO000213</t>
  </si>
  <si>
    <t>PT0040</t>
  </si>
  <si>
    <t>DFT-47FB</t>
  </si>
  <si>
    <t>Skin suggest build whatever debate high night environment.</t>
  </si>
  <si>
    <t>WO000214</t>
  </si>
  <si>
    <t>DFT-32BI</t>
  </si>
  <si>
    <t>Middle consumer yet everyone high in short create make such.</t>
  </si>
  <si>
    <t>WO000215</t>
  </si>
  <si>
    <t>DFT-71BG</t>
  </si>
  <si>
    <t>Financial know save turn dog degree drug international.</t>
  </si>
  <si>
    <t>WO000216</t>
  </si>
  <si>
    <t>PT0076</t>
  </si>
  <si>
    <t>DFT-12GJ</t>
  </si>
  <si>
    <t>Morning head pass green response hold.</t>
  </si>
  <si>
    <t>WO000217</t>
  </si>
  <si>
    <t>PT0060</t>
  </si>
  <si>
    <t>DFT-89BG</t>
  </si>
  <si>
    <t>Tonight yeah across remain future build issue often federal back reveal.</t>
  </si>
  <si>
    <t>WO000218</t>
  </si>
  <si>
    <t>DFT-55CF</t>
  </si>
  <si>
    <t>End wrong operation yes analysis out.</t>
  </si>
  <si>
    <t>WO000219</t>
  </si>
  <si>
    <t>DFT-95HB</t>
  </si>
  <si>
    <t>Seat kitchen land member speak soon impact around.</t>
  </si>
  <si>
    <t>WO000220</t>
  </si>
  <si>
    <t>DFT-40HF</t>
  </si>
  <si>
    <t>Word contain hot stage Mr tend.</t>
  </si>
  <si>
    <t>WO000221</t>
  </si>
  <si>
    <t>PT0045</t>
  </si>
  <si>
    <t>One him reach foreign subject claim moment laugh whole hand.</t>
  </si>
  <si>
    <t>WO000222</t>
  </si>
  <si>
    <t>PT0191</t>
  </si>
  <si>
    <t>DFT-11AE</t>
  </si>
  <si>
    <t>Cultural partner against cold show of expect.</t>
  </si>
  <si>
    <t>WO000223</t>
  </si>
  <si>
    <t>DFT-49EH</t>
  </si>
  <si>
    <t>President seem start production thank response if fill whole begin score relate collection.</t>
  </si>
  <si>
    <t>WO000224</t>
  </si>
  <si>
    <t>DFT-19GD</t>
  </si>
  <si>
    <t>Prepare issue detail raise bank without region.</t>
  </si>
  <si>
    <t>WO000225</t>
  </si>
  <si>
    <t>DFT-19CC</t>
  </si>
  <si>
    <t>Fund blood chair rate building develop.</t>
  </si>
  <si>
    <t>WO000226</t>
  </si>
  <si>
    <t>DFT-36AE</t>
  </si>
  <si>
    <t>Cup could call focus though how very garden.</t>
  </si>
  <si>
    <t>WO000227</t>
  </si>
  <si>
    <t>PT0192</t>
  </si>
  <si>
    <t>DFT-12IJ</t>
  </si>
  <si>
    <t>Energy than reach someone full hotel artist.</t>
  </si>
  <si>
    <t>WO000228</t>
  </si>
  <si>
    <t>PT0025</t>
  </si>
  <si>
    <t>DFT-92EH</t>
  </si>
  <si>
    <t>Sit camera together team step computer almost learn hear.</t>
  </si>
  <si>
    <t>WO000229</t>
  </si>
  <si>
    <t>DFT-79JH</t>
  </si>
  <si>
    <t>Nation involve determine up entire pressure dog three newspaper various away.</t>
  </si>
  <si>
    <t>WO000230</t>
  </si>
  <si>
    <t>DFT-39AB</t>
  </si>
  <si>
    <t>Mr start little second right guess suffer customer theory Republican property.</t>
  </si>
  <si>
    <t>WO000231</t>
  </si>
  <si>
    <t>DFT-44JE</t>
  </si>
  <si>
    <t>Somebody toward indeed model again baby significant few often parent north enter civil.</t>
  </si>
  <si>
    <t>WO000232</t>
  </si>
  <si>
    <t>PT0015</t>
  </si>
  <si>
    <t>DFT-32FB</t>
  </si>
  <si>
    <t>Chair part general executive whose especially our remember field.</t>
  </si>
  <si>
    <t>WO000233</t>
  </si>
  <si>
    <t>DFT-61JE</t>
  </si>
  <si>
    <t>Its treatment increase store perhaps surface hope per leader relate decision.</t>
  </si>
  <si>
    <t>wo000234</t>
  </si>
  <si>
    <t>DFT-52GB</t>
  </si>
  <si>
    <t>Social he leave position school box blue pattern attack material cold.</t>
  </si>
  <si>
    <t>WO000235</t>
  </si>
  <si>
    <t>PT0083</t>
  </si>
  <si>
    <t>DFT-55DE</t>
  </si>
  <si>
    <t>Much do over stay clearly nothing their quality one citizen hear bar possible.</t>
  </si>
  <si>
    <t>WO000236</t>
  </si>
  <si>
    <t>PT0003</t>
  </si>
  <si>
    <t>DFT-55AF</t>
  </si>
  <si>
    <t>Across method while among world million west.</t>
  </si>
  <si>
    <t>WO000237</t>
  </si>
  <si>
    <t>PT0110</t>
  </si>
  <si>
    <t>DFT-37GD</t>
  </si>
  <si>
    <t>Mission take nearly another during that feel plan full night stuff perform.</t>
  </si>
  <si>
    <t>wo000238</t>
  </si>
  <si>
    <t>PT0253</t>
  </si>
  <si>
    <t>TEC008</t>
  </si>
  <si>
    <t>DFT-00JA</t>
  </si>
  <si>
    <t>Decision trip institution simple friend firm reality follow key drive compare.</t>
  </si>
  <si>
    <t>WO000239</t>
  </si>
  <si>
    <t>DFT-59BJ</t>
  </si>
  <si>
    <t>White character good explain how interest garden radio either better sport.</t>
  </si>
  <si>
    <t>WO000240</t>
  </si>
  <si>
    <t>DFT-43II</t>
  </si>
  <si>
    <t>Rich sort start catch letter like forget reduce forward alone.</t>
  </si>
  <si>
    <t>WO000241</t>
  </si>
  <si>
    <t>PT0183</t>
  </si>
  <si>
    <t>DFT-66AH</t>
  </si>
  <si>
    <t>Team individual under address off thing him size series.</t>
  </si>
  <si>
    <t>WO000242</t>
  </si>
  <si>
    <t>DFT-59AA</t>
  </si>
  <si>
    <t>Local little management likely thing need parent result avoid world.</t>
  </si>
  <si>
    <t>WO000243</t>
  </si>
  <si>
    <t>DFT-98DJ</t>
  </si>
  <si>
    <t>Price expect attention southern far beat decade stock nature tonight clear.</t>
  </si>
  <si>
    <t>WO000244</t>
  </si>
  <si>
    <t>PT0197</t>
  </si>
  <si>
    <t>DFT-63EJ</t>
  </si>
  <si>
    <t>Safe care friend subject give sister.</t>
  </si>
  <si>
    <t>WO000245</t>
  </si>
  <si>
    <t>DFT-03EE</t>
  </si>
  <si>
    <t>Bed hit down technology tend behavior mind like increase increase serve market floor.</t>
  </si>
  <si>
    <t>WO000246</t>
  </si>
  <si>
    <t>PT0181</t>
  </si>
  <si>
    <t>DFT-31CD</t>
  </si>
  <si>
    <t>Voice available walk fill always but happen join management.</t>
  </si>
  <si>
    <t>WO000247</t>
  </si>
  <si>
    <t>DFT-35FG</t>
  </si>
  <si>
    <t>Space data though price work significant mission purpose reflect.</t>
  </si>
  <si>
    <t>WO000248</t>
  </si>
  <si>
    <t>DFT-69DE</t>
  </si>
  <si>
    <t>Painting customer respond nice there democratic address wait blood fine.</t>
  </si>
  <si>
    <t>WO000249</t>
  </si>
  <si>
    <t>DFT-17GE</t>
  </si>
  <si>
    <t>Agent there choice support according great PM offer himself city.</t>
  </si>
  <si>
    <t>WO000250</t>
  </si>
  <si>
    <t>PT0255</t>
  </si>
  <si>
    <t>DFT-10HH</t>
  </si>
  <si>
    <t>Woman establish far suggest summer issue lot person once.</t>
  </si>
  <si>
    <t>WO000251</t>
  </si>
  <si>
    <t>PT0049</t>
  </si>
  <si>
    <t>DFT-97AF</t>
  </si>
  <si>
    <t>Student happen much clearly society business.</t>
  </si>
  <si>
    <t>WO000252</t>
  </si>
  <si>
    <t>Represent yet sign relate beyond real member information.</t>
  </si>
  <si>
    <t>WO000253</t>
  </si>
  <si>
    <t>PT0256</t>
  </si>
  <si>
    <t>DFT-38II</t>
  </si>
  <si>
    <t>Method apply need should force employee according owner herself.</t>
  </si>
  <si>
    <t>WO000254</t>
  </si>
  <si>
    <t>DFT-57HD</t>
  </si>
  <si>
    <t>Against stuff blood good either fire figure time challenge turn enjoy.</t>
  </si>
  <si>
    <t>WO000255</t>
  </si>
  <si>
    <t>PT0208</t>
  </si>
  <si>
    <t>DFT-86DF</t>
  </si>
  <si>
    <t>Year control them create effect idea almost sport six save.</t>
  </si>
  <si>
    <t>wo000256</t>
  </si>
  <si>
    <t>DFT-34AA</t>
  </si>
  <si>
    <t>Together general politics Republican chair every onto task market according weight school will.</t>
  </si>
  <si>
    <t>WO000257</t>
  </si>
  <si>
    <t>DFT-73AD</t>
  </si>
  <si>
    <t>Player weight short across show cut.</t>
  </si>
  <si>
    <t>WO000258</t>
  </si>
  <si>
    <t>DFT-79CC</t>
  </si>
  <si>
    <t>Hear among himself per argue answer.</t>
  </si>
  <si>
    <t>WO000259</t>
  </si>
  <si>
    <t>PT0074</t>
  </si>
  <si>
    <t>DFT-10EC</t>
  </si>
  <si>
    <t>Its degree cover water conference miss senior me drop.</t>
  </si>
  <si>
    <t>WO000260</t>
  </si>
  <si>
    <t>DFT-54FJ</t>
  </si>
  <si>
    <t>Particular beat truth mission movie should.</t>
  </si>
  <si>
    <t>WO000261</t>
  </si>
  <si>
    <t>PT0123</t>
  </si>
  <si>
    <t>DFT-73AI</t>
  </si>
  <si>
    <t>Put think not certain truth approach foot.</t>
  </si>
  <si>
    <t>wo000262</t>
  </si>
  <si>
    <t>PT0131</t>
  </si>
  <si>
    <t>DFT-09GE</t>
  </si>
  <si>
    <t>Responsibility fund defense allow control later production film.</t>
  </si>
  <si>
    <t>wo000263</t>
  </si>
  <si>
    <t>DFT-53GH</t>
  </si>
  <si>
    <t>Discuss everybody phone present news few hotel successful chance person measure.</t>
  </si>
  <si>
    <t>WO000264</t>
  </si>
  <si>
    <t>DFT-07IB</t>
  </si>
  <si>
    <t>Teach within read increase house cold.</t>
  </si>
  <si>
    <t>WO000265</t>
  </si>
  <si>
    <t>PT0067</t>
  </si>
  <si>
    <t>DFT-94IJ</t>
  </si>
  <si>
    <t>Myself social investment garden very make realize.</t>
  </si>
  <si>
    <t>WO000266</t>
  </si>
  <si>
    <t>DFT-02HD</t>
  </si>
  <si>
    <t>Improve concern half either she thus present kitchen full staff wish early candidate.</t>
  </si>
  <si>
    <t>WO000267</t>
  </si>
  <si>
    <t>DFT-41JG</t>
  </si>
  <si>
    <t>Involve mother experience box necessary teach history defense.</t>
  </si>
  <si>
    <t>WO000268</t>
  </si>
  <si>
    <t>DFT-10AC</t>
  </si>
  <si>
    <t>Performance quality defense follow design strategy information here hard.</t>
  </si>
  <si>
    <t>WO000269</t>
  </si>
  <si>
    <t>PT0215</t>
  </si>
  <si>
    <t>DFT-62AJ</t>
  </si>
  <si>
    <t>Policy mind religious world space something police base head into thought.</t>
  </si>
  <si>
    <t>wo000270</t>
  </si>
  <si>
    <t>PT0166</t>
  </si>
  <si>
    <t>DFT-53JD</t>
  </si>
  <si>
    <t>Kid little color policy these task as matter three visit.</t>
  </si>
  <si>
    <t>WO000271</t>
  </si>
  <si>
    <t>PT0024</t>
  </si>
  <si>
    <t>DFT-15JE</t>
  </si>
  <si>
    <t>Top quite better tough mention civil respond chair debate nice perhaps weight memory.</t>
  </si>
  <si>
    <t>WO000272</t>
  </si>
  <si>
    <t>DFT-75CJ</t>
  </si>
  <si>
    <t>Conference to entire increase per story nor develop.</t>
  </si>
  <si>
    <t>WO000273</t>
  </si>
  <si>
    <t>PT0145</t>
  </si>
  <si>
    <t>DFT-47BJ</t>
  </si>
  <si>
    <t>Rate actually decade ago leave plant board should catch event travel deep.</t>
  </si>
  <si>
    <t>WO000274</t>
  </si>
  <si>
    <t>DFT-20IF</t>
  </si>
  <si>
    <t>Head chair respond other bit property end.</t>
  </si>
  <si>
    <t>wo000275</t>
  </si>
  <si>
    <t>DFT-09FJ</t>
  </si>
  <si>
    <t>System within state watch unit training away theory big.</t>
  </si>
  <si>
    <t>WO000276</t>
  </si>
  <si>
    <t>DFT-97GE</t>
  </si>
  <si>
    <t>Benefit military end appear end tonight generation director arrive own.</t>
  </si>
  <si>
    <t>WO000277</t>
  </si>
  <si>
    <t>DFT-90AE</t>
  </si>
  <si>
    <t>Since process kitchen shoulder teach back well particularly provide body yourself manage.</t>
  </si>
  <si>
    <t>WO000278</t>
  </si>
  <si>
    <t>PT0232</t>
  </si>
  <si>
    <t>DFT-34DD</t>
  </si>
  <si>
    <t>Property yet prove start fear them.</t>
  </si>
  <si>
    <t>WO000279</t>
  </si>
  <si>
    <t>DFT-16ID</t>
  </si>
  <si>
    <t>Those media church measure control save about.</t>
  </si>
  <si>
    <t>WO000280</t>
  </si>
  <si>
    <t>PT0222</t>
  </si>
  <si>
    <t>DFT-04BG</t>
  </si>
  <si>
    <t>Get city news language blood from.</t>
  </si>
  <si>
    <t>WO000281</t>
  </si>
  <si>
    <t>DFT-56DB</t>
  </si>
  <si>
    <t>Relate member follow well tonight back bit.</t>
  </si>
  <si>
    <t>WO000282</t>
  </si>
  <si>
    <t>Camera wonder product find appear threat south.</t>
  </si>
  <si>
    <t>WO000283</t>
  </si>
  <si>
    <t>DFT-09AI</t>
  </si>
  <si>
    <t>Learn certainly organization sea owner play green hold phone.</t>
  </si>
  <si>
    <t>WO000284</t>
  </si>
  <si>
    <t>DFT-09CC</t>
  </si>
  <si>
    <t>Office thousand other moment I security decade huge question.</t>
  </si>
  <si>
    <t>WO000285</t>
  </si>
  <si>
    <t>DFT-22HD</t>
  </si>
  <si>
    <t>Have really official middle speech land the discussion rather.</t>
  </si>
  <si>
    <t>WO000286</t>
  </si>
  <si>
    <t>DFT-05AJ</t>
  </si>
  <si>
    <t>Summer learn nothing list include clearly of.</t>
  </si>
  <si>
    <t>WO000287</t>
  </si>
  <si>
    <t>DFT-04EH</t>
  </si>
  <si>
    <t>Skill practice woman enter just such amount action should he always around partner.</t>
  </si>
  <si>
    <t>WO000288</t>
  </si>
  <si>
    <t>DFT-46GA</t>
  </si>
  <si>
    <t>Nearly way trial really garden main.</t>
  </si>
  <si>
    <t>WO000289</t>
  </si>
  <si>
    <t>PT0242</t>
  </si>
  <si>
    <t>DFT-31JC</t>
  </si>
  <si>
    <t>Drug how edge nature debate positive ahead.</t>
  </si>
  <si>
    <t>WO000290</t>
  </si>
  <si>
    <t>DFT-26GB</t>
  </si>
  <si>
    <t>Especially defense that do toward rather popular show.</t>
  </si>
  <si>
    <t>WO000291</t>
  </si>
  <si>
    <t>DFT-30HE</t>
  </si>
  <si>
    <t>School imagine would large four guess sign station pick suggest drug bar.</t>
  </si>
  <si>
    <t>WO000292</t>
  </si>
  <si>
    <t>DFT-03HH</t>
  </si>
  <si>
    <t>Reveal interesting help nature difference low step line page election.</t>
  </si>
  <si>
    <t>WO000293</t>
  </si>
  <si>
    <t>DFT-61CD</t>
  </si>
  <si>
    <t>Tonight law expert special sense production party head drive nor.</t>
  </si>
  <si>
    <t>WO000294</t>
  </si>
  <si>
    <t>DFT-63GJ</t>
  </si>
  <si>
    <t>Score product sit because expect subject student soldier treat above accept road.</t>
  </si>
  <si>
    <t>WO000295</t>
  </si>
  <si>
    <t>Receive to fight two firm anything interest ready account good safe.</t>
  </si>
  <si>
    <t>WO000296</t>
  </si>
  <si>
    <t>PT0264</t>
  </si>
  <si>
    <t>DFT-32IF</t>
  </si>
  <si>
    <t>Investment pressure able moment necessary public again than such up measure result.</t>
  </si>
  <si>
    <t>WO000297</t>
  </si>
  <si>
    <t>PT0022</t>
  </si>
  <si>
    <t>DFT-29HG</t>
  </si>
  <si>
    <t>Front trouble every or character put line fight good appear data bar.</t>
  </si>
  <si>
    <t>WO000298</t>
  </si>
  <si>
    <t>DFT-03GI</t>
  </si>
  <si>
    <t>Short suddenly loss bring follow feel ahead.</t>
  </si>
  <si>
    <t>WO000299</t>
  </si>
  <si>
    <t>DFT-90JI</t>
  </si>
  <si>
    <t>Second own administration life discussion old avoid career firm nor leg quite idea.</t>
  </si>
  <si>
    <t>WO000300</t>
  </si>
  <si>
    <t>DFT-57FE</t>
  </si>
  <si>
    <t>Despite toward national suggest difficult mind ask.</t>
  </si>
  <si>
    <t>WO000301</t>
  </si>
  <si>
    <t>DFT-80JG</t>
  </si>
  <si>
    <t>Big water thing away last work particularly section laugh season.</t>
  </si>
  <si>
    <t>WO000302</t>
  </si>
  <si>
    <t>DFT-46HI</t>
  </si>
  <si>
    <t>Important democratic buy author end support new thus particularly among star.</t>
  </si>
  <si>
    <t>WO000303</t>
  </si>
  <si>
    <t>DFT-96JH</t>
  </si>
  <si>
    <t>Politics go live onto however here sort seven kind send.</t>
  </si>
  <si>
    <t>WO000304</t>
  </si>
  <si>
    <t>DFT-99BJ</t>
  </si>
  <si>
    <t>Between identify phone vote become education manage measure you material enough establish real.</t>
  </si>
  <si>
    <t>WO000305</t>
  </si>
  <si>
    <t>PT0174</t>
  </si>
  <si>
    <t>DFT-29JD</t>
  </si>
  <si>
    <t>Off detail true old top president player stuff.</t>
  </si>
  <si>
    <t>WO000306</t>
  </si>
  <si>
    <t>DFT-17FH</t>
  </si>
  <si>
    <t>Require current cold road capital most.</t>
  </si>
  <si>
    <t>WO000307</t>
  </si>
  <si>
    <t>DFT-24CE</t>
  </si>
  <si>
    <t>City majority note hold shoulder pressure.</t>
  </si>
  <si>
    <t>WO000308</t>
  </si>
  <si>
    <t>DFT-44BJ</t>
  </si>
  <si>
    <t>Simply interesting suffer physical happen generation need view during find but.</t>
  </si>
  <si>
    <t>WO000309</t>
  </si>
  <si>
    <t>PT0190</t>
  </si>
  <si>
    <t>DFT-62CH</t>
  </si>
  <si>
    <t>Soon others glass wall commercial fly huge example major.</t>
  </si>
  <si>
    <t>WO000310</t>
  </si>
  <si>
    <t>DFT-16AI</t>
  </si>
  <si>
    <t>Fear stuff offer administration approach voice science civil in improve kitchen.</t>
  </si>
  <si>
    <t>WO000311</t>
  </si>
  <si>
    <t>DFT-01II</t>
  </si>
  <si>
    <t>Suffer push remain man a tree attack play fall property.</t>
  </si>
  <si>
    <t>WO000312</t>
  </si>
  <si>
    <t>DFT-70GC</t>
  </si>
  <si>
    <t>North spend simply suddenly computer certain police population son money.</t>
  </si>
  <si>
    <t>wo000313</t>
  </si>
  <si>
    <t>PT0288</t>
  </si>
  <si>
    <t>DFT-56CH</t>
  </si>
  <si>
    <t>Dream feel teacher society other company day scene character new best bag might.</t>
  </si>
  <si>
    <t>wo000314</t>
  </si>
  <si>
    <t>DFT-00EA</t>
  </si>
  <si>
    <t>Could join per them often civil.</t>
  </si>
  <si>
    <t>WO000315</t>
  </si>
  <si>
    <t>DFT-72CI</t>
  </si>
  <si>
    <t>Party top defense measure determine follow state minute agreement star chair boy field.</t>
  </si>
  <si>
    <t>WO000316</t>
  </si>
  <si>
    <t>DFT-97BA</t>
  </si>
  <si>
    <t>Network action event everybody past standard role hope term course.</t>
  </si>
  <si>
    <t>WO000317</t>
  </si>
  <si>
    <t>DFT-10JB</t>
  </si>
  <si>
    <t>Range agency no morning might so employee any message green TV.</t>
  </si>
  <si>
    <t>WO000318</t>
  </si>
  <si>
    <t>DFT-48GE</t>
  </si>
  <si>
    <t>Arm protect strategy measure woman police glass lot tree baby.</t>
  </si>
  <si>
    <t>WO000319</t>
  </si>
  <si>
    <t>PT0291</t>
  </si>
  <si>
    <t>DFT-59HF</t>
  </si>
  <si>
    <t>Mother point much degree teach join remain player energy board author natural.</t>
  </si>
  <si>
    <t>WO000320</t>
  </si>
  <si>
    <t>DFT-47DJ</t>
  </si>
  <si>
    <t>Any part continue conference growth international main ask spring parent social.</t>
  </si>
  <si>
    <t>WO000321</t>
  </si>
  <si>
    <t>DFT-21JI</t>
  </si>
  <si>
    <t>Ever head himself shake time write something guy.</t>
  </si>
  <si>
    <t>WO000322</t>
  </si>
  <si>
    <t>DFT-35HA</t>
  </si>
  <si>
    <t>Realize him garden operation explain subject probably owner.</t>
  </si>
  <si>
    <t>WO000323</t>
  </si>
  <si>
    <t>DFT-48JG</t>
  </si>
  <si>
    <t>Federal wife election defense describe arrive feeling finally.</t>
  </si>
  <si>
    <t>WO000324</t>
  </si>
  <si>
    <t>DFT-21DH</t>
  </si>
  <si>
    <t>Magazine rate media benefit old wind strong.</t>
  </si>
  <si>
    <t>wo000325</t>
  </si>
  <si>
    <t>DFT-43GG</t>
  </si>
  <si>
    <t>Boy high capital family maybe maybe last suddenly agreement democratic consumer ask.</t>
  </si>
  <si>
    <t>WO000326</t>
  </si>
  <si>
    <t>DFT-42CD</t>
  </si>
  <si>
    <t>Rule dream beyond room degree might wall training eat watch.</t>
  </si>
  <si>
    <t>WO000327</t>
  </si>
  <si>
    <t>PT0283</t>
  </si>
  <si>
    <t>DFT-90AJ</t>
  </si>
  <si>
    <t>Against visit leave security benefit policy agent sell today receive section.</t>
  </si>
  <si>
    <t>WO000328</t>
  </si>
  <si>
    <t>DFT-46BE</t>
  </si>
  <si>
    <t>Kind include one sell civil specific more realize I task.</t>
  </si>
  <si>
    <t>WO000329</t>
  </si>
  <si>
    <t>DFT-34CC</t>
  </si>
  <si>
    <t>Operation fear father above buy find campaign.</t>
  </si>
  <si>
    <t>WO000330</t>
  </si>
  <si>
    <t>PT0217</t>
  </si>
  <si>
    <t>DFT-83AA</t>
  </si>
  <si>
    <t>Nature right degree read off name minute bed though present subject sort bed.</t>
  </si>
  <si>
    <t>WO000331</t>
  </si>
  <si>
    <t>DFT-22GG</t>
  </si>
  <si>
    <t>Between fear child coach behavior maybe mind.</t>
  </si>
  <si>
    <t>WO000332</t>
  </si>
  <si>
    <t>DFT-02EC</t>
  </si>
  <si>
    <t>Letter near account message where protect good soon early economy pass.</t>
  </si>
  <si>
    <t>WO000333</t>
  </si>
  <si>
    <t>DFT-38GG</t>
  </si>
  <si>
    <t>Me direction live song talk evidence statement top yet develop.</t>
  </si>
  <si>
    <t>WO000334</t>
  </si>
  <si>
    <t>DFT-36AF</t>
  </si>
  <si>
    <t>Yourself seem green Democrat that husband.</t>
  </si>
  <si>
    <t>WO000335</t>
  </si>
  <si>
    <t>DFT-82HF</t>
  </si>
  <si>
    <t>Value big resource one majority structure speak position institution choose parent fine.</t>
  </si>
  <si>
    <t>WO000336</t>
  </si>
  <si>
    <t>PT0160</t>
  </si>
  <si>
    <t>DFT-81IH</t>
  </si>
  <si>
    <t>Today produce relationship investment glass of since throughout.</t>
  </si>
  <si>
    <t>WO000337</t>
  </si>
  <si>
    <t>DFT-89HF</t>
  </si>
  <si>
    <t>Us they traditional share color affect identify small enjoy although serve degree fund under.</t>
  </si>
  <si>
    <t>WO000338</t>
  </si>
  <si>
    <t>PT0290</t>
  </si>
  <si>
    <t>DFT-66EG</t>
  </si>
  <si>
    <t>Personal write mention arm clear town.</t>
  </si>
  <si>
    <t>WO000339</t>
  </si>
  <si>
    <t>DFT-61BB</t>
  </si>
  <si>
    <t>Discussion human identify notice bad young mother record nature recognize close increase.</t>
  </si>
  <si>
    <t>wo000340</t>
  </si>
  <si>
    <t>DFT-08BI</t>
  </si>
  <si>
    <t>Number from concern every brother able few pull hospital leave left perhaps.</t>
  </si>
  <si>
    <t>WO000341</t>
  </si>
  <si>
    <t>DFT-91AF</t>
  </si>
  <si>
    <t>Something institution major job difference commercial stuff instead whom officer.</t>
  </si>
  <si>
    <t>WO000342</t>
  </si>
  <si>
    <t>PT0157</t>
  </si>
  <si>
    <t>DFT-41DG</t>
  </si>
  <si>
    <t>Source ground play activity business cold.</t>
  </si>
  <si>
    <t>WO000343</t>
  </si>
  <si>
    <t>PT0098</t>
  </si>
  <si>
    <t>DFT-04CF</t>
  </si>
  <si>
    <t>Including effect reflect hair game land carry soldier.</t>
  </si>
  <si>
    <t>WO000344</t>
  </si>
  <si>
    <t>PT0168</t>
  </si>
  <si>
    <t>DFT-16CB</t>
  </si>
  <si>
    <t>Start per hold tax property story modern degree among sister door.</t>
  </si>
  <si>
    <t>WO000345</t>
  </si>
  <si>
    <t>DFT-44HI</t>
  </si>
  <si>
    <t>Voice outside less attack draw along daughter.</t>
  </si>
  <si>
    <t>WO000346</t>
  </si>
  <si>
    <t>DFT-24CH</t>
  </si>
  <si>
    <t>Statement summer hard sister network blood statement news outside.</t>
  </si>
  <si>
    <t>WO000347</t>
  </si>
  <si>
    <t>DFT-97DD</t>
  </si>
  <si>
    <t>Amount what hundred interview ask watch.</t>
  </si>
  <si>
    <t>WO000348</t>
  </si>
  <si>
    <t>PT0196</t>
  </si>
  <si>
    <t>DFT-65IA</t>
  </si>
  <si>
    <t>Seem do policy instead investment eat.</t>
  </si>
  <si>
    <t>WO000349</t>
  </si>
  <si>
    <t>DFT-53GB</t>
  </si>
  <si>
    <t>Thus religious federal do goal organization approach director explain great.</t>
  </si>
  <si>
    <t>WO000350</t>
  </si>
  <si>
    <t>DFT-60BA</t>
  </si>
  <si>
    <t>Expect note table throw one others smile eight outside.</t>
  </si>
  <si>
    <t>WO000351</t>
  </si>
  <si>
    <t>DFT-60AE</t>
  </si>
  <si>
    <t>Thousand building cost heart sister anyone magazine.</t>
  </si>
  <si>
    <t>WO000352</t>
  </si>
  <si>
    <t>PT0161</t>
  </si>
  <si>
    <t>DFT-35HJ</t>
  </si>
  <si>
    <t>Number each election camera seem again first.</t>
  </si>
  <si>
    <t>WO000353</t>
  </si>
  <si>
    <t>DFT-82HD</t>
  </si>
  <si>
    <t>Audience couple single candidate one wife you deal listen.</t>
  </si>
  <si>
    <t>WO000354</t>
  </si>
  <si>
    <t>DFT-84HE</t>
  </si>
  <si>
    <t>You fire report professor act interview.</t>
  </si>
  <si>
    <t>WO000355</t>
  </si>
  <si>
    <t>DFT-87AH</t>
  </si>
  <si>
    <t>Series house step focus speak fill event unit.</t>
  </si>
  <si>
    <t>WO000356</t>
  </si>
  <si>
    <t>PT0036</t>
  </si>
  <si>
    <t>DFT-60GI</t>
  </si>
  <si>
    <t>Four there yeah back dinner process.</t>
  </si>
  <si>
    <t>WO000357</t>
  </si>
  <si>
    <t>DFT-47CA</t>
  </si>
  <si>
    <t>Idea finish camera fund religious respond save institution.</t>
  </si>
  <si>
    <t>WO000358</t>
  </si>
  <si>
    <t>DFT-36IC</t>
  </si>
  <si>
    <t>Two leader action him sing nor a while upon statement you produce.</t>
  </si>
  <si>
    <t>WO000359</t>
  </si>
  <si>
    <t>DFT-97AH</t>
  </si>
  <si>
    <t>Ability yet job fast positive myself lot.</t>
  </si>
  <si>
    <t>WO000360</t>
  </si>
  <si>
    <t>DFT-75GH</t>
  </si>
  <si>
    <t>Time debate majority build main loss far easy should school.</t>
  </si>
  <si>
    <t>WO000361</t>
  </si>
  <si>
    <t>DFT-18AG</t>
  </si>
  <si>
    <t>Nor spend six point option really.</t>
  </si>
  <si>
    <t>wo000362</t>
  </si>
  <si>
    <t>PT0038</t>
  </si>
  <si>
    <t>DFT-98DE</t>
  </si>
  <si>
    <t>Trip decision sport or information surface close place.</t>
  </si>
  <si>
    <t>WO000363</t>
  </si>
  <si>
    <t>DFT-26FA</t>
  </si>
  <si>
    <t>Us detail bank say he carry Democrat describe nothing stock.</t>
  </si>
  <si>
    <t>WO000364</t>
  </si>
  <si>
    <t>DFT-72HH</t>
  </si>
  <si>
    <t>Article major leader arrive unit two eye himself head study race.</t>
  </si>
  <si>
    <t>WO000365</t>
  </si>
  <si>
    <t>DFT-93GB</t>
  </si>
  <si>
    <t>Music likely relationship hear issue name difference think bad some heavy.</t>
  </si>
  <si>
    <t>WO000366</t>
  </si>
  <si>
    <t>DFT-12CG</t>
  </si>
  <si>
    <t>Might couple at traditional expert road audience possible he also everybody.</t>
  </si>
  <si>
    <t>WO000367</t>
  </si>
  <si>
    <t>PT0023</t>
  </si>
  <si>
    <t>DFT-68EH</t>
  </si>
  <si>
    <t>Process east cup job anything low animal.</t>
  </si>
  <si>
    <t>WO000368</t>
  </si>
  <si>
    <t>DFT-47CD</t>
  </si>
  <si>
    <t>Effect out degree technology give although model.</t>
  </si>
  <si>
    <t>WO000369</t>
  </si>
  <si>
    <t>DFT-23HD</t>
  </si>
  <si>
    <t>Away agent later young fill price mean support reach.</t>
  </si>
  <si>
    <t>WO000370</t>
  </si>
  <si>
    <t>PT0247</t>
  </si>
  <si>
    <t>DFT-24IJ</t>
  </si>
  <si>
    <t>Often consider network recently large senior military performance north attack science finally thank.</t>
  </si>
  <si>
    <t>WO000371</t>
  </si>
  <si>
    <t>DFT-81IA</t>
  </si>
  <si>
    <t>Usually southern discussion floor above site as summer describe indeed treat quality question raise.</t>
  </si>
  <si>
    <t>WO000372</t>
  </si>
  <si>
    <t>DFT-82IJ</t>
  </si>
  <si>
    <t>Safe Mr street song whose those shoulder.</t>
  </si>
  <si>
    <t>WO000373</t>
  </si>
  <si>
    <t>PT0114</t>
  </si>
  <si>
    <t>DFT-64DA</t>
  </si>
  <si>
    <t>Politics administration east bed edge take less wide difficult someone summer.</t>
  </si>
  <si>
    <t>WO000374</t>
  </si>
  <si>
    <t>DFT-95FC</t>
  </si>
  <si>
    <t>Animal television eat stage energy speech party born.</t>
  </si>
  <si>
    <t>WO000375</t>
  </si>
  <si>
    <t>DFT-01IB</t>
  </si>
  <si>
    <t>Tough save force many suddenly election go she population give hotel.</t>
  </si>
  <si>
    <t>WO000376</t>
  </si>
  <si>
    <t>PT0011</t>
  </si>
  <si>
    <t>DFT-38HC</t>
  </si>
  <si>
    <t>Education time site office window day.</t>
  </si>
  <si>
    <t>WO000377</t>
  </si>
  <si>
    <t>DFT-71EH</t>
  </si>
  <si>
    <t>Scene play film note he student.</t>
  </si>
  <si>
    <t>WO000378</t>
  </si>
  <si>
    <t>DFT-56EA</t>
  </si>
  <si>
    <t>Close mission against now long read thought possible oil various democratic only candidate.</t>
  </si>
  <si>
    <t>WO000379</t>
  </si>
  <si>
    <t>PT0261</t>
  </si>
  <si>
    <t>DFT-99FC</t>
  </si>
  <si>
    <t>Close test environmental key right buy that yeah.</t>
  </si>
  <si>
    <t>WO000380</t>
  </si>
  <si>
    <t>PT0134</t>
  </si>
  <si>
    <t>DFT-74HB</t>
  </si>
  <si>
    <t>Build reduce bag six class work.</t>
  </si>
  <si>
    <t>WO000381</t>
  </si>
  <si>
    <t>DFT-80IG</t>
  </si>
  <si>
    <t>Travel from almost race military create mother hold.</t>
  </si>
  <si>
    <t>WO000382</t>
  </si>
  <si>
    <t>PT0056</t>
  </si>
  <si>
    <t>DFT-72FC</t>
  </si>
  <si>
    <t>Board suggest she against loss use parent offer.</t>
  </si>
  <si>
    <t>wo000383</t>
  </si>
  <si>
    <t>PT0214</t>
  </si>
  <si>
    <t>DFT-29AB</t>
  </si>
  <si>
    <t>Education edge partner can find movie benefit citizen itself.</t>
  </si>
  <si>
    <t>WO000384</t>
  </si>
  <si>
    <t>PT0096</t>
  </si>
  <si>
    <t>DFT-14HG</t>
  </si>
  <si>
    <t>Least idea often hope stay finally form into three edge good station.</t>
  </si>
  <si>
    <t>WO000385</t>
  </si>
  <si>
    <t>DFT-59GE</t>
  </si>
  <si>
    <t>Everyone large short certain smile trial glass Congress suggest step.</t>
  </si>
  <si>
    <t>wo000386</t>
  </si>
  <si>
    <t>DFT-74FJ</t>
  </si>
  <si>
    <t>Charge sing land star listen effort debate determine large few western people role field.</t>
  </si>
  <si>
    <t>WO000387</t>
  </si>
  <si>
    <t>DFT-76AC</t>
  </si>
  <si>
    <t>Maybe visit a threat rise spring note several.</t>
  </si>
  <si>
    <t>WO000388</t>
  </si>
  <si>
    <t>PT0063</t>
  </si>
  <si>
    <t>DFT-15IE</t>
  </si>
  <si>
    <t>Leader reduce kid push soldier couple simply alone fast.</t>
  </si>
  <si>
    <t>WO000389</t>
  </si>
  <si>
    <t>DFT-82CI</t>
  </si>
  <si>
    <t>Why big throughout scene quality catch street soon have.</t>
  </si>
  <si>
    <t>WO000390</t>
  </si>
  <si>
    <t>PT0052</t>
  </si>
  <si>
    <t>DFT-91AC</t>
  </si>
  <si>
    <t>Finish music coach president dinner or.</t>
  </si>
  <si>
    <t>WO000391</t>
  </si>
  <si>
    <t>DFT-01CH</t>
  </si>
  <si>
    <t>Keep hand soon behind above simply year stock beat.</t>
  </si>
  <si>
    <t>WO000392</t>
  </si>
  <si>
    <t>DFT-20EC</t>
  </si>
  <si>
    <t>Scientist lot west save game think system say only.</t>
  </si>
  <si>
    <t>WO000393</t>
  </si>
  <si>
    <t>DFT-94FF</t>
  </si>
  <si>
    <t>Air reduce sign recent worry per discover he clearly people week.</t>
  </si>
  <si>
    <t>WO000394</t>
  </si>
  <si>
    <t>DFT-35FF</t>
  </si>
  <si>
    <t>Bed present official ten itself describe.</t>
  </si>
  <si>
    <t>WO000395</t>
  </si>
  <si>
    <t>DFT-45JB</t>
  </si>
  <si>
    <t>Drop industry model wind world act especially compare heart behavior.</t>
  </si>
  <si>
    <t>WO000396</t>
  </si>
  <si>
    <t>Dream study show many image city beyond deep.</t>
  </si>
  <si>
    <t>WO000397</t>
  </si>
  <si>
    <t>PT0018</t>
  </si>
  <si>
    <t>DFT-14GF</t>
  </si>
  <si>
    <t>Member method bad produce modern listen west city.</t>
  </si>
  <si>
    <t>WO000398</t>
  </si>
  <si>
    <t>PT0031</t>
  </si>
  <si>
    <t>DFT-64JC</t>
  </si>
  <si>
    <t>Side good data hundred information case court people wait citizen surface manager anyone.</t>
  </si>
  <si>
    <t>WO000399</t>
  </si>
  <si>
    <t>DFT-16CD</t>
  </si>
  <si>
    <t>Hear on degree story build story benefit election beautiful or side individual.</t>
  </si>
  <si>
    <t>WO000400</t>
  </si>
  <si>
    <t>DFT-97IC</t>
  </si>
  <si>
    <t>Form speech herself music fire scientist several public.</t>
  </si>
  <si>
    <t>WO000401</t>
  </si>
  <si>
    <t>PT0005</t>
  </si>
  <si>
    <t>DFT-32IC</t>
  </si>
  <si>
    <t>Begin town decision something source purpose.</t>
  </si>
  <si>
    <t>WO000402</t>
  </si>
  <si>
    <t>PT0223</t>
  </si>
  <si>
    <t>DFT-70IJ</t>
  </si>
  <si>
    <t>Condition try outside see strong expect property question series.</t>
  </si>
  <si>
    <t>WO000403</t>
  </si>
  <si>
    <t>DFT-68ID</t>
  </si>
  <si>
    <t>Air television tough nature answer trade too keep story consumer sort Democrat.</t>
  </si>
  <si>
    <t>WO000404</t>
  </si>
  <si>
    <t>DFT-14BH</t>
  </si>
  <si>
    <t>Single middle court important already age capital.</t>
  </si>
  <si>
    <t>WO000405</t>
  </si>
  <si>
    <t>PT0095</t>
  </si>
  <si>
    <t>DFT-81AC</t>
  </si>
  <si>
    <t>Rich box song sing article much girl by light around.</t>
  </si>
  <si>
    <t>WO000406</t>
  </si>
  <si>
    <t>PT0107</t>
  </si>
  <si>
    <t>DFT-32EA</t>
  </si>
  <si>
    <t>Value reality take whatever race exist system over capital.</t>
  </si>
  <si>
    <t>WO000407</t>
  </si>
  <si>
    <t>DFT-69DJ</t>
  </si>
  <si>
    <t>Experience pull easy reality edge past international drop bank service arrive involve human.</t>
  </si>
  <si>
    <t>WO000408</t>
  </si>
  <si>
    <t>DFT-27EG</t>
  </si>
  <si>
    <t>How base ok manager will hair five.</t>
  </si>
  <si>
    <t>WO000409</t>
  </si>
  <si>
    <t>PT0122</t>
  </si>
  <si>
    <t>DFT-19IH</t>
  </si>
  <si>
    <t>Land close box early officer education catch middle those.</t>
  </si>
  <si>
    <t>WO000410</t>
  </si>
  <si>
    <t>DFT-12BE</t>
  </si>
  <si>
    <t>Million camera act personal money thus letter somebody PM central me.</t>
  </si>
  <si>
    <t>WO000411</t>
  </si>
  <si>
    <t>PT0289</t>
  </si>
  <si>
    <t>DFT-93HH</t>
  </si>
  <si>
    <t>Laugh church professor court season state standard suggest hour join analysis draw.</t>
  </si>
  <si>
    <t>WO000412</t>
  </si>
  <si>
    <t>PT0169</t>
  </si>
  <si>
    <t>DFT-39DH</t>
  </si>
  <si>
    <t>Dark personal have southern former learn design fact.</t>
  </si>
  <si>
    <t>WO000413</t>
  </si>
  <si>
    <t>DFT-95HD</t>
  </si>
  <si>
    <t>Remain direction type join wish put leader protect kitchen the kind.</t>
  </si>
  <si>
    <t>WO000414</t>
  </si>
  <si>
    <t>DFT-93AF</t>
  </si>
  <si>
    <t>Kind down item foreign story several pretty officer agree.</t>
  </si>
  <si>
    <t>WO000415</t>
  </si>
  <si>
    <t>DFT-51DE</t>
  </si>
  <si>
    <t>Believe again sure inside under unit option remember guess door off.</t>
  </si>
  <si>
    <t>WO000416</t>
  </si>
  <si>
    <t>DFT-95GD</t>
  </si>
  <si>
    <t>Wait maybe friend send make ball without how stop window type throughout.</t>
  </si>
  <si>
    <t>WO000417</t>
  </si>
  <si>
    <t>DFT-62EH</t>
  </si>
  <si>
    <t>Great worry discussion reason force air official old purpose such draw break direction.</t>
  </si>
  <si>
    <t>WO000418</t>
  </si>
  <si>
    <t>DFT-50AC</t>
  </si>
  <si>
    <t>Citizen others Congress this little door build during pressure.</t>
  </si>
  <si>
    <t>WO000419</t>
  </si>
  <si>
    <t>DFT-18JH</t>
  </si>
  <si>
    <t>According everything question similar general affect which seat increase.</t>
  </si>
  <si>
    <t>WO000420</t>
  </si>
  <si>
    <t>DFT-88EJ</t>
  </si>
  <si>
    <t>Black less expect scene air deal to big.</t>
  </si>
  <si>
    <t>WO000421</t>
  </si>
  <si>
    <t>DFT-15FA</t>
  </si>
  <si>
    <t>Eye order range help letter reach international pressure number around note.</t>
  </si>
  <si>
    <t>WO000422</t>
  </si>
  <si>
    <t>DFT-13EH</t>
  </si>
  <si>
    <t>May a three tell outside stay although.</t>
  </si>
  <si>
    <t>WO000423</t>
  </si>
  <si>
    <t>DFT-17EG</t>
  </si>
  <si>
    <t>Only citizen seat rich television hotel.</t>
  </si>
  <si>
    <t>WO000424</t>
  </si>
  <si>
    <t>DFT-05CD</t>
  </si>
  <si>
    <t>Say within figure available wish theory option model compare.</t>
  </si>
  <si>
    <t>WO000425</t>
  </si>
  <si>
    <t>PT0251</t>
  </si>
  <si>
    <t>DFT-39DE</t>
  </si>
  <si>
    <t>Daughter nearly upon college pass stay scientist this approach join officer will.</t>
  </si>
  <si>
    <t>wo000426</t>
  </si>
  <si>
    <t>PT0027</t>
  </si>
  <si>
    <t>DFT-92CH</t>
  </si>
  <si>
    <t>Decide resource around and system food benefit move player trial paper example.</t>
  </si>
  <si>
    <t>WO000427</t>
  </si>
  <si>
    <t>DFT-06IG</t>
  </si>
  <si>
    <t>Different when billion think meet peace nearly partner building expect.</t>
  </si>
  <si>
    <t>WO000428</t>
  </si>
  <si>
    <t>DFT-33HA</t>
  </si>
  <si>
    <t>Picture cold court quickly agency rock.</t>
  </si>
  <si>
    <t>WO000429</t>
  </si>
  <si>
    <t>DFT-81FH</t>
  </si>
  <si>
    <t>Be go thank need direction husband again very knowledge.</t>
  </si>
  <si>
    <t>WO000430</t>
  </si>
  <si>
    <t>DFT-35EF</t>
  </si>
  <si>
    <t>More Mrs them study far remember never.</t>
  </si>
  <si>
    <t>WO000431</t>
  </si>
  <si>
    <t>DFT-06FD</t>
  </si>
  <si>
    <t>Three discussion will shake none nice current authority list you actually.</t>
  </si>
  <si>
    <t>WO000432</t>
  </si>
  <si>
    <t>DFT-80HA</t>
  </si>
  <si>
    <t>Soon military respond event security pick.</t>
  </si>
  <si>
    <t>WO000433</t>
  </si>
  <si>
    <t>DFT-15GE</t>
  </si>
  <si>
    <t>Force skill always sing site local business north.</t>
  </si>
  <si>
    <t>WO000434</t>
  </si>
  <si>
    <t>PT0178</t>
  </si>
  <si>
    <t>DFT-74JE</t>
  </si>
  <si>
    <t>Senior TV popular parent positive put heart right few improve heavy.</t>
  </si>
  <si>
    <t>WO000435</t>
  </si>
  <si>
    <t>DFT-81HH</t>
  </si>
  <si>
    <t>Around financial hard clear feeling mind middle strong.</t>
  </si>
  <si>
    <t>WO000436</t>
  </si>
  <si>
    <t>PT0002</t>
  </si>
  <si>
    <t>DFT-18JA</t>
  </si>
  <si>
    <t>Decade soldier him close mouth like special Republican bad no entire event.</t>
  </si>
  <si>
    <t>WO000437</t>
  </si>
  <si>
    <t>DFT-00DG</t>
  </si>
  <si>
    <t>Deal professional note popular within TV green system land range.</t>
  </si>
  <si>
    <t>WO000438</t>
  </si>
  <si>
    <t>DFT-00HD</t>
  </si>
  <si>
    <t>Born type join top court read consumer within.</t>
  </si>
  <si>
    <t>WO000439</t>
  </si>
  <si>
    <t>DFT-01DA</t>
  </si>
  <si>
    <t>Let they provide rest term job game allow.</t>
  </si>
  <si>
    <t>WO000440</t>
  </si>
  <si>
    <t>DFT-87AF</t>
  </si>
  <si>
    <t>Material morning read wrong family break.</t>
  </si>
  <si>
    <t>WO000441</t>
  </si>
  <si>
    <t>DFT-27AE</t>
  </si>
  <si>
    <t>Give often put recent affect ground place health property her.</t>
  </si>
  <si>
    <t>WO000442</t>
  </si>
  <si>
    <t>DFT-45HB</t>
  </si>
  <si>
    <t>Chance whom forward serious him between later strategy peace according office huge.</t>
  </si>
  <si>
    <t>WO000443</t>
  </si>
  <si>
    <t>DFT-26BA</t>
  </si>
  <si>
    <t>Film everything candidate foreign energy media material natural despite language art never.</t>
  </si>
  <si>
    <t>WO000444</t>
  </si>
  <si>
    <t>DFT-12EH</t>
  </si>
  <si>
    <t>Last approach movement worker kind conference share three.</t>
  </si>
  <si>
    <t>WO000445</t>
  </si>
  <si>
    <t>PT0279</t>
  </si>
  <si>
    <t>DFT-65ED</t>
  </si>
  <si>
    <t>Could product official maybe beautiful take fact hit should wait toward blue.</t>
  </si>
  <si>
    <t>WO000446</t>
  </si>
  <si>
    <t>DFT-55BB</t>
  </si>
  <si>
    <t>Wall factor majority away change wish tell camera enough collection happen.</t>
  </si>
  <si>
    <t>WO000447</t>
  </si>
  <si>
    <t>PT0061</t>
  </si>
  <si>
    <t>DFT-33DI</t>
  </si>
  <si>
    <t>News business but yeah gun dog present record.</t>
  </si>
  <si>
    <t>WO000448</t>
  </si>
  <si>
    <t>DFT-86HD</t>
  </si>
  <si>
    <t>Clear notice star away perform stay sell local leader.</t>
  </si>
  <si>
    <t>WO000449</t>
  </si>
  <si>
    <t>DFT-49DF</t>
  </si>
  <si>
    <t>Country determine safe material appear show particularly brother.</t>
  </si>
  <si>
    <t>WO000450</t>
  </si>
  <si>
    <t>DFT-55ED</t>
  </si>
  <si>
    <t>Impact usually tax travel line either sort seven garden service operation field low sometimes.</t>
  </si>
  <si>
    <t>WO000451</t>
  </si>
  <si>
    <t>DFT-35BG</t>
  </si>
  <si>
    <t>Mean heavy can fish though agree.</t>
  </si>
  <si>
    <t>WO000452</t>
  </si>
  <si>
    <t>DFT-42BB</t>
  </si>
  <si>
    <t>Same real role add save country follow seat something down environmental leave seek.</t>
  </si>
  <si>
    <t>WO000453</t>
  </si>
  <si>
    <t>DFT-04AC</t>
  </si>
  <si>
    <t>Section blue professor oil world collection color do Mr collection.</t>
  </si>
  <si>
    <t>wo000454</t>
  </si>
  <si>
    <t>DFT-55EA</t>
  </si>
  <si>
    <t>Right kid process despite arm could room teach term soon music southern.</t>
  </si>
  <si>
    <t>WO000455</t>
  </si>
  <si>
    <t>DFT-30BD</t>
  </si>
  <si>
    <t>Tend talk respond painting long book race attack gun.</t>
  </si>
  <si>
    <t>WO000456</t>
  </si>
  <si>
    <t>DFT-13CA</t>
  </si>
  <si>
    <t>Even choose opportunity away finally home research product least not try partner eight.</t>
  </si>
  <si>
    <t>WO000457</t>
  </si>
  <si>
    <t>DFT-26AF</t>
  </si>
  <si>
    <t>They student that smile claim only then worker budget health structure.</t>
  </si>
  <si>
    <t>WO000458</t>
  </si>
  <si>
    <t>PT0245</t>
  </si>
  <si>
    <t>DFT-82BA</t>
  </si>
  <si>
    <t>Anyone impact top century reduce support great ask add house party they.</t>
  </si>
  <si>
    <t>WO000459</t>
  </si>
  <si>
    <t>DFT-68CI</t>
  </si>
  <si>
    <t>Team small room maintain blue election hair local team pressure laugh.</t>
  </si>
  <si>
    <t>WO000460</t>
  </si>
  <si>
    <t>DFT-20DH</t>
  </si>
  <si>
    <t>Decide court military charge stop smile citizen.</t>
  </si>
  <si>
    <t>WO000461</t>
  </si>
  <si>
    <t>DFT-66GJ</t>
  </si>
  <si>
    <t>Walk box resource where soldier control effect six magazine create natural.</t>
  </si>
  <si>
    <t>WO000462</t>
  </si>
  <si>
    <t>DFT-05EE</t>
  </si>
  <si>
    <t>Note participant everybody single physical good.</t>
  </si>
  <si>
    <t>WO000463</t>
  </si>
  <si>
    <t>DFT-30IC</t>
  </si>
  <si>
    <t>Poor mean hit plant where expect case describe need course.</t>
  </si>
  <si>
    <t>WO000464</t>
  </si>
  <si>
    <t>DFT-00AG</t>
  </si>
  <si>
    <t>Minute anything meet man audience section fund between school still down painting.</t>
  </si>
  <si>
    <t>WO000465</t>
  </si>
  <si>
    <t>DFT-75FF</t>
  </si>
  <si>
    <t>Cultural place politics into low figure decide senior move perform theory experience join.</t>
  </si>
  <si>
    <t>WO000466</t>
  </si>
  <si>
    <t>PT0064</t>
  </si>
  <si>
    <t>DFT-12DE</t>
  </si>
  <si>
    <t>Present majority run officer special fire five so politics three owner participant.</t>
  </si>
  <si>
    <t>WO000467</t>
  </si>
  <si>
    <t>PT0043</t>
  </si>
  <si>
    <t>DFT-78IE</t>
  </si>
  <si>
    <t>Never cold across offer clearly action.</t>
  </si>
  <si>
    <t>WO000468</t>
  </si>
  <si>
    <t>DFT-50BB</t>
  </si>
  <si>
    <t>Property under work interest measure foot final threat away most.</t>
  </si>
  <si>
    <t>WO000469</t>
  </si>
  <si>
    <t>PT0204</t>
  </si>
  <si>
    <t>DFT-24IG</t>
  </si>
  <si>
    <t>Foreign leg affect everyone include he road first around audience other.</t>
  </si>
  <si>
    <t>WO000470</t>
  </si>
  <si>
    <t>PT0080</t>
  </si>
  <si>
    <t>DFT-27DF</t>
  </si>
  <si>
    <t>There with treat involve network attack me never gas rich though.</t>
  </si>
  <si>
    <t>WO000471</t>
  </si>
  <si>
    <t>DFT-28DI</t>
  </si>
  <si>
    <t>Herself season garden contain place stand may deep line kind human everybody.</t>
  </si>
  <si>
    <t>WO000472</t>
  </si>
  <si>
    <t>DFT-14EE</t>
  </si>
  <si>
    <t>Stage up later natural dinner gas.</t>
  </si>
  <si>
    <t>WO000473</t>
  </si>
  <si>
    <t>PT0182</t>
  </si>
  <si>
    <t>DFT-22JH</t>
  </si>
  <si>
    <t>Down all still dark sign program over the quality care development serve gun.</t>
  </si>
  <si>
    <t>WO000474</t>
  </si>
  <si>
    <t>PT0008</t>
  </si>
  <si>
    <t>DFT-53FD</t>
  </si>
  <si>
    <t>Myself prove cup catch part describe walk visit have international six skin.</t>
  </si>
  <si>
    <t>WO000475</t>
  </si>
  <si>
    <t>DFT-94JG</t>
  </si>
  <si>
    <t>Most trip memory employee student collection seat surface reflect of speech pull despite.</t>
  </si>
  <si>
    <t>WO000476</t>
  </si>
  <si>
    <t>Environmental best pull whose way edge share add practice step agent story fall.</t>
  </si>
  <si>
    <t>WO000477</t>
  </si>
  <si>
    <t>DFT-81JF</t>
  </si>
  <si>
    <t>Change over single of just military main good before.</t>
  </si>
  <si>
    <t>WO000478</t>
  </si>
  <si>
    <t>DFT-44CD</t>
  </si>
  <si>
    <t>Once form save buy guy Democrat hot.</t>
  </si>
  <si>
    <t>WO000479</t>
  </si>
  <si>
    <t>DFT-67GA</t>
  </si>
  <si>
    <t>Necessary ground agreement good part who understand.</t>
  </si>
  <si>
    <t>WO000480</t>
  </si>
  <si>
    <t>DFT-24DF</t>
  </si>
  <si>
    <t>Decision blood last election night whom issue.</t>
  </si>
  <si>
    <t>WO000481</t>
  </si>
  <si>
    <t>DFT-39HD</t>
  </si>
  <si>
    <t>Political be even protect article person stage wrong majority bad wall within political.</t>
  </si>
  <si>
    <t>WO000482</t>
  </si>
  <si>
    <t>DFT-46JG</t>
  </si>
  <si>
    <t>Training where third network half music wait check.</t>
  </si>
  <si>
    <t>WO000483</t>
  </si>
  <si>
    <t>DFT-56EI</t>
  </si>
  <si>
    <t>Own policy war peace middle personal.</t>
  </si>
  <si>
    <t>WO000484</t>
  </si>
  <si>
    <t>DFT-91CD</t>
  </si>
  <si>
    <t>Over value color computer huge school market ok pressure how provide.</t>
  </si>
  <si>
    <t>WO000485</t>
  </si>
  <si>
    <t>PT0013</t>
  </si>
  <si>
    <t>DFT-67FI</t>
  </si>
  <si>
    <t>Store key generation parent ready finish your mother from safe.</t>
  </si>
  <si>
    <t>WO000486</t>
  </si>
  <si>
    <t>DFT-65HF</t>
  </si>
  <si>
    <t>Radio drug minute other population generation worry opportunity likely few.</t>
  </si>
  <si>
    <t>WO000487</t>
  </si>
  <si>
    <t>PT0135</t>
  </si>
  <si>
    <t>DFT-42FD</t>
  </si>
  <si>
    <t>Front green born common professor ask look.</t>
  </si>
  <si>
    <t>WO000488</t>
  </si>
  <si>
    <t>DFT-89JC</t>
  </si>
  <si>
    <t>Chance suggest he east market land live new true.</t>
  </si>
  <si>
    <t>WO000489</t>
  </si>
  <si>
    <t>DFT-08IF</t>
  </si>
  <si>
    <t>But us meet response add be.</t>
  </si>
  <si>
    <t>WO000490</t>
  </si>
  <si>
    <t>DFT-76HH</t>
  </si>
  <si>
    <t>Bank camera lay people whether red pressure matter assume.</t>
  </si>
  <si>
    <t>WO000491</t>
  </si>
  <si>
    <t>DFT-24ID</t>
  </si>
  <si>
    <t>Piece recognize describe coach real nothing woman every prove military analysis.</t>
  </si>
  <si>
    <t>WO000492</t>
  </si>
  <si>
    <t>DFT-29JA</t>
  </si>
  <si>
    <t>Positive happy final spend various add prove decide.</t>
  </si>
  <si>
    <t>WO000493</t>
  </si>
  <si>
    <t>DFT-99EG</t>
  </si>
  <si>
    <t>Across identify attack wide difficult production rate can series.</t>
  </si>
  <si>
    <t>WO000494</t>
  </si>
  <si>
    <t>DFT-57IH</t>
  </si>
  <si>
    <t>Recently theory foreign watch large born hot choose reason find however.</t>
  </si>
  <si>
    <t>WO000495</t>
  </si>
  <si>
    <t>DFT-23IB</t>
  </si>
  <si>
    <t>Production per up memory professor total computer cut plant management family day.</t>
  </si>
  <si>
    <t>WO000496</t>
  </si>
  <si>
    <t>DFT-86JJ</t>
  </si>
  <si>
    <t>Probably wall threat help talk risk drive our.</t>
  </si>
  <si>
    <t>WO000497</t>
  </si>
  <si>
    <t>Husband set far soon work evidence game myself they we line any factor.</t>
  </si>
  <si>
    <t>WO000498</t>
  </si>
  <si>
    <t>DFT-65JA</t>
  </si>
  <si>
    <t>Who official despite everything subject campaign benefit Republican manage according.</t>
  </si>
  <si>
    <t>WO000499</t>
  </si>
  <si>
    <t>DFT-36ID</t>
  </si>
  <si>
    <t>Community cause role authority wide much ball situation.</t>
  </si>
  <si>
    <t>WO000500</t>
  </si>
  <si>
    <t>DFT-94FH</t>
  </si>
  <si>
    <t>City most bag computer responsibility board matter.</t>
  </si>
  <si>
    <t>WO000501</t>
  </si>
  <si>
    <t>DFT-60FG</t>
  </si>
  <si>
    <t>Consider student amount owner less feel democratic manager own husband recently.</t>
  </si>
  <si>
    <t>WO000502</t>
  </si>
  <si>
    <t>PT0236</t>
  </si>
  <si>
    <t>DFT-33BE</t>
  </si>
  <si>
    <t>Would shoulder color chance interview risk how level world several perhaps one.</t>
  </si>
  <si>
    <t>WO000503</t>
  </si>
  <si>
    <t>DFT-64HF</t>
  </si>
  <si>
    <t>Similar heavy nothing yourself never laugh lawyer federal southern share opportunity reality.</t>
  </si>
  <si>
    <t>WO000504</t>
  </si>
  <si>
    <t>DFT-19GH</t>
  </si>
  <si>
    <t>Economy clearly court again six run.</t>
  </si>
  <si>
    <t>WO000505</t>
  </si>
  <si>
    <t>Author yes recently wait population between too upon.</t>
  </si>
  <si>
    <t>WO000506</t>
  </si>
  <si>
    <t>DFT-00BI</t>
  </si>
  <si>
    <t>Help state continue price by I manage knowledge their party hard.</t>
  </si>
  <si>
    <t>WO000507</t>
  </si>
  <si>
    <t>DFT-27FB</t>
  </si>
  <si>
    <t>Back go student born difficult day part natural billion one employee task.</t>
  </si>
  <si>
    <t>wo000508</t>
  </si>
  <si>
    <t>DFT-98IB</t>
  </si>
  <si>
    <t>Doctor make short risk suffer or necessary.</t>
  </si>
  <si>
    <t>WO000509</t>
  </si>
  <si>
    <t>DFT-85AH</t>
  </si>
  <si>
    <t>Himself parent theory some claim standard relate return design appear.</t>
  </si>
  <si>
    <t>WO000510</t>
  </si>
  <si>
    <t>PT0254</t>
  </si>
  <si>
    <t>DFT-60BD</t>
  </si>
  <si>
    <t>Recently current after they discover benefit close prove from second foot other responsibility.</t>
  </si>
  <si>
    <t>WO000511</t>
  </si>
  <si>
    <t>New population whole three community white number television.</t>
  </si>
  <si>
    <t>WO000512</t>
  </si>
  <si>
    <t>DFT-65BG</t>
  </si>
  <si>
    <t>Wide everybody wear girl for film wish page benefit.</t>
  </si>
  <si>
    <t>WO000513</t>
  </si>
  <si>
    <t>DFT-10BB</t>
  </si>
  <si>
    <t>By your establish difference key whatever ever they.</t>
  </si>
  <si>
    <t>WO000514</t>
  </si>
  <si>
    <t>DFT-90BH</t>
  </si>
  <si>
    <t>Part return beautiful authority these find.</t>
  </si>
  <si>
    <t>WO000515</t>
  </si>
  <si>
    <t>DFT-11DJ</t>
  </si>
  <si>
    <t>Radio to traditional rise nor pull.</t>
  </si>
  <si>
    <t>WO000516</t>
  </si>
  <si>
    <t>DFT-13GC</t>
  </si>
  <si>
    <t>Evening test into always citizen I summer western what senior interview.</t>
  </si>
  <si>
    <t>WO000517</t>
  </si>
  <si>
    <t>DFT-90BC</t>
  </si>
  <si>
    <t>Culture field bar military free owner time black part.</t>
  </si>
  <si>
    <t>WO000518</t>
  </si>
  <si>
    <t>DFT-64AC</t>
  </si>
  <si>
    <t>Like many its perform unit experience dark kitchen certain wish vote nation war.</t>
  </si>
  <si>
    <t>WO000519</t>
  </si>
  <si>
    <t>DFT-92GD</t>
  </si>
  <si>
    <t>Floor position several sign deep area medical finish feel determine.</t>
  </si>
  <si>
    <t>WO000520</t>
  </si>
  <si>
    <t>DFT-32GE</t>
  </si>
  <si>
    <t>Natural significant year available heart require since training great adult phone enter.</t>
  </si>
  <si>
    <t>WO000521</t>
  </si>
  <si>
    <t>DFT-15GH</t>
  </si>
  <si>
    <t>Poor reason late husband tell science plan wonder cold down edge answer receive.</t>
  </si>
  <si>
    <t>WO000522</t>
  </si>
  <si>
    <t>PT0280</t>
  </si>
  <si>
    <t>DFT-46FC</t>
  </si>
  <si>
    <t>Environmental respond decision bad grow mention great item big coach week read policy.</t>
  </si>
  <si>
    <t>WO000523</t>
  </si>
  <si>
    <t>DFT-56AI</t>
  </si>
  <si>
    <t>Minute social degree blood bill machine sign step inside.</t>
  </si>
  <si>
    <t>WO000524</t>
  </si>
  <si>
    <t>DFT-43HB</t>
  </si>
  <si>
    <t>Indeed step course white detail realize.</t>
  </si>
  <si>
    <t>WO000525</t>
  </si>
  <si>
    <t>PT0171</t>
  </si>
  <si>
    <t>DFT-52II</t>
  </si>
  <si>
    <t>Teacher note easy loss home bank indicate PM administration test sea.</t>
  </si>
  <si>
    <t>WO000526</t>
  </si>
  <si>
    <t>DFT-34HF</t>
  </si>
  <si>
    <t>Like join answer option bag teach draw information rest long.</t>
  </si>
  <si>
    <t>wo000527</t>
  </si>
  <si>
    <t>DFT-82CG</t>
  </si>
  <si>
    <t>Three party morning let reason study.</t>
  </si>
  <si>
    <t>WO000528</t>
  </si>
  <si>
    <t>DFT-17JI</t>
  </si>
  <si>
    <t>Information floor trade nor plant subject hand vote.</t>
  </si>
  <si>
    <t>WO000529</t>
  </si>
  <si>
    <t>DFT-51HF</t>
  </si>
  <si>
    <t>Issue leader source member capital here conference bag likely memory mind plant use.</t>
  </si>
  <si>
    <t>wo000530</t>
  </si>
  <si>
    <t>DFT-38HB</t>
  </si>
  <si>
    <t>Act weight data loss rest might after top.</t>
  </si>
  <si>
    <t>WO000531</t>
  </si>
  <si>
    <t>DFT-51JA</t>
  </si>
  <si>
    <t>Third research raise their majority on success road crime maintain late nature.</t>
  </si>
  <si>
    <t>WO000532</t>
  </si>
  <si>
    <t>DFT-01BA</t>
  </si>
  <si>
    <t>Past agent evidence fine drug fill necessary picture store.</t>
  </si>
  <si>
    <t>WO000533</t>
  </si>
  <si>
    <t>DFT-88JF</t>
  </si>
  <si>
    <t>Pick avoid address experience interesting stock eat store building.</t>
  </si>
  <si>
    <t>WO000534</t>
  </si>
  <si>
    <t>DFT-64CB</t>
  </si>
  <si>
    <t>Suffer season six good though music claim play already politics.</t>
  </si>
  <si>
    <t>WO000535</t>
  </si>
  <si>
    <t>DFT-30BI</t>
  </si>
  <si>
    <t>Ever own necessary hit school cold everybody.</t>
  </si>
  <si>
    <t>WO000536</t>
  </si>
  <si>
    <t>PT0116</t>
  </si>
  <si>
    <t>DFT-70DH</t>
  </si>
  <si>
    <t>Work medical letter kind college strategy field mouth year.</t>
  </si>
  <si>
    <t>WO000537</t>
  </si>
  <si>
    <t>DFT-01BI</t>
  </si>
  <si>
    <t>Part campaign sign must keep base get conference.</t>
  </si>
  <si>
    <t>WO000538</t>
  </si>
  <si>
    <t>DFT-16AE</t>
  </si>
  <si>
    <t>Market perform feeling TV long trade call sell.</t>
  </si>
  <si>
    <t>WO000539</t>
  </si>
  <si>
    <t>DFT-60ID</t>
  </si>
  <si>
    <t>Some debate yeah until wind challenge ground song open.</t>
  </si>
  <si>
    <t>WO000540</t>
  </si>
  <si>
    <t>DFT-58BE</t>
  </si>
  <si>
    <t>World stop range wind four thought discover arrive address level manage possible.</t>
  </si>
  <si>
    <t>WO000541</t>
  </si>
  <si>
    <t>PT0072</t>
  </si>
  <si>
    <t>DFT-09CG</t>
  </si>
  <si>
    <t>Natural reveal way do interest source.</t>
  </si>
  <si>
    <t>WO000542</t>
  </si>
  <si>
    <t>DFT-88IB</t>
  </si>
  <si>
    <t>Hospital six building one prove expect staff high watch sometimes tend.</t>
  </si>
  <si>
    <t>WO000543</t>
  </si>
  <si>
    <t>DFT-10FG</t>
  </si>
  <si>
    <t>Old use together thought budget hand also oil performance fish.</t>
  </si>
  <si>
    <t>WO000544</t>
  </si>
  <si>
    <t>DFT-76CI</t>
  </si>
  <si>
    <t>Stock outside kid mother some you find quickly.</t>
  </si>
  <si>
    <t>wo000545</t>
  </si>
  <si>
    <t>DFT-31DD</t>
  </si>
  <si>
    <t>Carry point me artist source behind foot bring skill church.</t>
  </si>
  <si>
    <t>WO000546</t>
  </si>
  <si>
    <t>DFT-91CA</t>
  </si>
  <si>
    <t>Their guy beyond show continue interest push cultural subject out scientist maybe.</t>
  </si>
  <si>
    <t>WO000547</t>
  </si>
  <si>
    <t>Usually whom customer model someone up he.</t>
  </si>
  <si>
    <t>WO000548</t>
  </si>
  <si>
    <t>DFT-22CB</t>
  </si>
  <si>
    <t>Its cold single career view TV anything style car.</t>
  </si>
  <si>
    <t>WO000549</t>
  </si>
  <si>
    <t>DFT-54EC</t>
  </si>
  <si>
    <t>Purpose news win these sign especially positive heart him way.</t>
  </si>
  <si>
    <t>WO000550</t>
  </si>
  <si>
    <t>DFT-38EE</t>
  </si>
  <si>
    <t>Fill create win star husband now.</t>
  </si>
  <si>
    <t>WO000551</t>
  </si>
  <si>
    <t>DFT-87GD</t>
  </si>
  <si>
    <t>Charge but inside executive my way stand help between guess treat style lot.</t>
  </si>
  <si>
    <t>WO000552</t>
  </si>
  <si>
    <t>DFT-58IJ</t>
  </si>
  <si>
    <t>Culture school mean especially skill executive ahead possible artist lay fund black.</t>
  </si>
  <si>
    <t>WO000553</t>
  </si>
  <si>
    <t>DFT-30GH</t>
  </si>
  <si>
    <t>Machine a think give design natural soldier voice seat pass then affect.</t>
  </si>
  <si>
    <t>WO000554</t>
  </si>
  <si>
    <t>PT0007</t>
  </si>
  <si>
    <t>DFT-23AA</t>
  </si>
  <si>
    <t>Put why early management soldier year staff.</t>
  </si>
  <si>
    <t>WO000555</t>
  </si>
  <si>
    <t>DFT-11EJ</t>
  </si>
  <si>
    <t>Teach recently sure history understand behavior mouth oil.</t>
  </si>
  <si>
    <t>WO000556</t>
  </si>
  <si>
    <t>DFT-33JJ</t>
  </si>
  <si>
    <t>Player model wait fly loss little structure admit film matter save yeah brother.</t>
  </si>
  <si>
    <t>WO000557</t>
  </si>
  <si>
    <t>DFT-93GJ</t>
  </si>
  <si>
    <t>Fine day recent entire discussion should sell few course people interesting.</t>
  </si>
  <si>
    <t>WO000558</t>
  </si>
  <si>
    <t>DFT-59AE</t>
  </si>
  <si>
    <t>Dinner brother mind program design second accept political across news use economic.</t>
  </si>
  <si>
    <t>WO000559</t>
  </si>
  <si>
    <t>DFT-63DG</t>
  </si>
  <si>
    <t>Involve project you receive travel industry phone magazine morning north budget whose necessary.</t>
  </si>
  <si>
    <t>WO000560</t>
  </si>
  <si>
    <t>DFT-59FH</t>
  </si>
  <si>
    <t>Ever sport area resource stock necessary imagine add.</t>
  </si>
  <si>
    <t>WO000561</t>
  </si>
  <si>
    <t>DFT-99FF</t>
  </si>
  <si>
    <t>Different others resource maintain can exactly away raise two war too care him.</t>
  </si>
  <si>
    <t>WO000562</t>
  </si>
  <si>
    <t>DFT-53HG</t>
  </si>
  <si>
    <t>Event soldier training listen couple board all lawyer history identify front sense institution.</t>
  </si>
  <si>
    <t>WO000563</t>
  </si>
  <si>
    <t>DFT-06IE</t>
  </si>
  <si>
    <t>Your sea response surface inside including pass power.</t>
  </si>
  <si>
    <t>WO000564</t>
  </si>
  <si>
    <t>DFT-85BC</t>
  </si>
  <si>
    <t>Little allow feeling position say few door less wide upon data future cell.</t>
  </si>
  <si>
    <t>WO000565</t>
  </si>
  <si>
    <t>Although itself according again tell reach next practice relationship agent meeting scientist center.</t>
  </si>
  <si>
    <t>WO000566</t>
  </si>
  <si>
    <t>Example just message authority show father economic his network.</t>
  </si>
  <si>
    <t>WO000567</t>
  </si>
  <si>
    <t>DFT-79BI</t>
  </si>
  <si>
    <t>Type mother parent boy then job deal range him.</t>
  </si>
  <si>
    <t>WO000568</t>
  </si>
  <si>
    <t>Still service blood daughter health fear you.</t>
  </si>
  <si>
    <t>WO000569</t>
  </si>
  <si>
    <t>DFT-82AA</t>
  </si>
  <si>
    <t>Subject teach bad little meet entire.</t>
  </si>
  <si>
    <t>WO000570</t>
  </si>
  <si>
    <t>DFT-88BI</t>
  </si>
  <si>
    <t>Movement thus like price area like move technology our guess wait.</t>
  </si>
  <si>
    <t>WO000571</t>
  </si>
  <si>
    <t>DFT-76IH</t>
  </si>
  <si>
    <t>That field from page nature sing.</t>
  </si>
  <si>
    <t>WO000572</t>
  </si>
  <si>
    <t>DFT-25CB</t>
  </si>
  <si>
    <t>Book peace admit party yeah answer like entire military street friend school.</t>
  </si>
  <si>
    <t>WO000573</t>
  </si>
  <si>
    <t>DFT-69HC</t>
  </si>
  <si>
    <t>Rate year you total find get majority simple administration.</t>
  </si>
  <si>
    <t>WO000574</t>
  </si>
  <si>
    <t>DFT-35BB</t>
  </si>
  <si>
    <t>Suffer approach create must worker firm smile.</t>
  </si>
  <si>
    <t>WO000575</t>
  </si>
  <si>
    <t>DFT-30HH</t>
  </si>
  <si>
    <t>Meeting quickly near sort side beautiful appear only carry TV scientist.</t>
  </si>
  <si>
    <t>WO000576</t>
  </si>
  <si>
    <t>DFT-84AC</t>
  </si>
  <si>
    <t>Mind attention without relationship better somebody rule tax long.</t>
  </si>
  <si>
    <t>WO000577</t>
  </si>
  <si>
    <t>DFT-70CH</t>
  </si>
  <si>
    <t>Put relate population marriage card nature discuss job.</t>
  </si>
  <si>
    <t>WO000578</t>
  </si>
  <si>
    <t>Somebody option throw purpose court voice agency generation serve save sort data which.</t>
  </si>
  <si>
    <t>WO000579</t>
  </si>
  <si>
    <t>DFT-36AI</t>
  </si>
  <si>
    <t>Network fact agree machine weight check.</t>
  </si>
  <si>
    <t>WO000580</t>
  </si>
  <si>
    <t>PT0230</t>
  </si>
  <si>
    <t>DFT-61CB</t>
  </si>
  <si>
    <t>To across once develop black finally six space treatment of interesting trip believe.</t>
  </si>
  <si>
    <t>WO000581</t>
  </si>
  <si>
    <t>DFT-16CH</t>
  </si>
  <si>
    <t>State represent lot whole wonder cup positive fire few rock under.</t>
  </si>
  <si>
    <t>WO000582</t>
  </si>
  <si>
    <t>DFT-38IH</t>
  </si>
  <si>
    <t>Receive watch enter light success protect walk form.</t>
  </si>
  <si>
    <t>WO000583</t>
  </si>
  <si>
    <t>DFT-95DH</t>
  </si>
  <si>
    <t>Call those night officer media military child value thank personal investment low.</t>
  </si>
  <si>
    <t>WO000584</t>
  </si>
  <si>
    <t>DFT-27GD</t>
  </si>
  <si>
    <t>Become agree quite ok force play break.</t>
  </si>
  <si>
    <t>WO000585</t>
  </si>
  <si>
    <t>Article believe employee so sound hour ahead.</t>
  </si>
  <si>
    <t>WO000586</t>
  </si>
  <si>
    <t>DFT-52BA</t>
  </si>
  <si>
    <t>Number federal because student vote according.</t>
  </si>
  <si>
    <t>WO000587</t>
  </si>
  <si>
    <t>DFT-43FJ</t>
  </si>
  <si>
    <t>Public general relate world because the.</t>
  </si>
  <si>
    <t>WO000588</t>
  </si>
  <si>
    <t>DFT-85JB</t>
  </si>
  <si>
    <t>Lead rule participant administration coach available much only maintain understand pattern almost hair.</t>
  </si>
  <si>
    <t>WO000589</t>
  </si>
  <si>
    <t>PT0078</t>
  </si>
  <si>
    <t>DFT-02HI</t>
  </si>
  <si>
    <t>Do south politics color energy poor painting politics we.</t>
  </si>
  <si>
    <t>WO000590</t>
  </si>
  <si>
    <t>DFT-29CG</t>
  </si>
  <si>
    <t>Phone common town employee man various million outside.</t>
  </si>
  <si>
    <t>WO000591</t>
  </si>
  <si>
    <t>DFT-96HB</t>
  </si>
  <si>
    <t>Scientist article member special at tend modern.</t>
  </si>
  <si>
    <t>WO000592</t>
  </si>
  <si>
    <t>DFT-96ED</t>
  </si>
  <si>
    <t>Wrong claim north walk six production soon decade window.</t>
  </si>
  <si>
    <t>WO000593</t>
  </si>
  <si>
    <t>DFT-39EI</t>
  </si>
  <si>
    <t>Part road modern share deal ever century expert class.</t>
  </si>
  <si>
    <t>WO000594</t>
  </si>
  <si>
    <t>DFT-74HH</t>
  </si>
  <si>
    <t>Debate more off simple win skill pull.</t>
  </si>
  <si>
    <t>WO000595</t>
  </si>
  <si>
    <t>Form recently event memory herself both other.</t>
  </si>
  <si>
    <t>WO000596</t>
  </si>
  <si>
    <t>DFT-51AE</t>
  </si>
  <si>
    <t>Air his example dinner reveal glass personal act.</t>
  </si>
  <si>
    <t>WO000597</t>
  </si>
  <si>
    <t>DFT-00CD</t>
  </si>
  <si>
    <t>Trip stage wonder air try have about note floor.</t>
  </si>
  <si>
    <t>WO000598</t>
  </si>
  <si>
    <t>DFT-84GD</t>
  </si>
  <si>
    <t>Worker middle rich far lay enjoy activity.</t>
  </si>
  <si>
    <t>WO000599</t>
  </si>
  <si>
    <t>DFT-73EC</t>
  </si>
  <si>
    <t>Sign serious majority successful real could particularly above visit area management brother.</t>
  </si>
  <si>
    <t>WO000600</t>
  </si>
  <si>
    <t>DFT-38EC</t>
  </si>
  <si>
    <t>Loss until voice audience just business training.</t>
  </si>
  <si>
    <t>WO000601</t>
  </si>
  <si>
    <t>DFT-48JC</t>
  </si>
  <si>
    <t>Real condition purpose which us develop education.</t>
  </si>
  <si>
    <t>WO000602</t>
  </si>
  <si>
    <t>DFT-90BD</t>
  </si>
  <si>
    <t>Girl whom point minute almost be door community city while kid arrive area.</t>
  </si>
  <si>
    <t>WO000603</t>
  </si>
  <si>
    <t>DFT-17FC</t>
  </si>
  <si>
    <t>Company reality real share national the writer us medical common water.</t>
  </si>
  <si>
    <t>WO000604</t>
  </si>
  <si>
    <t>PT0032</t>
  </si>
  <si>
    <t>DFT-12AB</t>
  </si>
  <si>
    <t>Make stock race range soldier training prepare.</t>
  </si>
  <si>
    <t>WO000605</t>
  </si>
  <si>
    <t>DFT-59DC</t>
  </si>
  <si>
    <t>Eye stock make material evidence tonight total data news mother wait.</t>
  </si>
  <si>
    <t>WO000606</t>
  </si>
  <si>
    <t>DFT-76AH</t>
  </si>
  <si>
    <t>American plant unit much sing among run.</t>
  </si>
  <si>
    <t>WO000607</t>
  </si>
  <si>
    <t>PT0046</t>
  </si>
  <si>
    <t>DFT-37BC</t>
  </si>
  <si>
    <t>Pick charge fund few step suggest majority assume.</t>
  </si>
  <si>
    <t>WO000608</t>
  </si>
  <si>
    <t>DFT-43HA</t>
  </si>
  <si>
    <t>Hit week pick land bring billion.</t>
  </si>
  <si>
    <t>WO000609</t>
  </si>
  <si>
    <t>DFT-71FA</t>
  </si>
  <si>
    <t>Film civil game focus ever choice can.</t>
  </si>
  <si>
    <t>WO000610</t>
  </si>
  <si>
    <t>DFT-81JD</t>
  </si>
  <si>
    <t>It require near often into foot fast seat wife site.</t>
  </si>
  <si>
    <t>WO000611</t>
  </si>
  <si>
    <t>DFT-93AE</t>
  </si>
  <si>
    <t>Yourself itself artist service give rock soon.</t>
  </si>
  <si>
    <t>WO000612</t>
  </si>
  <si>
    <t>DFT-97AD</t>
  </si>
  <si>
    <t>Respond thousand maybe pass mean thus.</t>
  </si>
  <si>
    <t>WO000613</t>
  </si>
  <si>
    <t>DFT-96DJ</t>
  </si>
  <si>
    <t>Cut already design land add health college arm.</t>
  </si>
  <si>
    <t>WO000614</t>
  </si>
  <si>
    <t>PT0125</t>
  </si>
  <si>
    <t>DFT-98GH</t>
  </si>
  <si>
    <t>Lot art according best pull throw trip around.</t>
  </si>
  <si>
    <t>WO000615</t>
  </si>
  <si>
    <t>DFT-89AG</t>
  </si>
  <si>
    <t>Process people can activity director here seat second follow attention surface citizen.</t>
  </si>
  <si>
    <t>WO000616</t>
  </si>
  <si>
    <t>DFT-43JJ</t>
  </si>
  <si>
    <t>One for have camera hold blood stay list picture probably too event.</t>
  </si>
  <si>
    <t>WO000617</t>
  </si>
  <si>
    <t>Actually during probably music piece involve provide thousand position whom.</t>
  </si>
  <si>
    <t>WO000618</t>
  </si>
  <si>
    <t>DFT-82IE</t>
  </si>
  <si>
    <t>Thought leader husband play present realize.</t>
  </si>
  <si>
    <t>WO000619</t>
  </si>
  <si>
    <t>PT0218</t>
  </si>
  <si>
    <t>Yet performance church our meet back politics article side give speak fight physical.</t>
  </si>
  <si>
    <t>WO000620</t>
  </si>
  <si>
    <t>DFT-92BJ</t>
  </si>
  <si>
    <t>Present shoulder interest fine suddenly step well couple allow form eight painting room.</t>
  </si>
  <si>
    <t>WO000621</t>
  </si>
  <si>
    <t>DFT-45DJ</t>
  </si>
  <si>
    <t>Trip player good several day person involve example onto who specific.</t>
  </si>
  <si>
    <t>WO000622</t>
  </si>
  <si>
    <t>DFT-85CD</t>
  </si>
  <si>
    <t>Prepare speech last nearly throw necessary sport thought approach first receive conference.</t>
  </si>
  <si>
    <t>WO000623</t>
  </si>
  <si>
    <t>DFT-84BC</t>
  </si>
  <si>
    <t>A activity minute small father would today despite skin consider.</t>
  </si>
  <si>
    <t>WO000624</t>
  </si>
  <si>
    <t>DFT-03AD</t>
  </si>
  <si>
    <t>Much write author hope also item suffer quality get little.</t>
  </si>
  <si>
    <t>WO000625</t>
  </si>
  <si>
    <t>DFT-30EG</t>
  </si>
  <si>
    <t>Society cost third station around focus instead product project room use eat lose.</t>
  </si>
  <si>
    <t>WO000626</t>
  </si>
  <si>
    <t>DFT-54AD</t>
  </si>
  <si>
    <t>Wall nice tough campaign four surface Congress evidence sister program under.</t>
  </si>
  <si>
    <t>WO000627</t>
  </si>
  <si>
    <t>PT0292</t>
  </si>
  <si>
    <t>DFT-82BB</t>
  </si>
  <si>
    <t>Father wrong own three age goal free piece future degree continue else whatever most.</t>
  </si>
  <si>
    <t>WO000628</t>
  </si>
  <si>
    <t>DFT-09FE</t>
  </si>
  <si>
    <t>Kid hundred eat movie end same.</t>
  </si>
  <si>
    <t>WO000629</t>
  </si>
  <si>
    <t>DFT-85DI</t>
  </si>
  <si>
    <t>History thus man information sport should huge.</t>
  </si>
  <si>
    <t>WO000630</t>
  </si>
  <si>
    <t>PT0205</t>
  </si>
  <si>
    <t>DFT-90DE</t>
  </si>
  <si>
    <t>Both large poor already loss me theory.</t>
  </si>
  <si>
    <t>WO000631</t>
  </si>
  <si>
    <t>DFT-15CH</t>
  </si>
  <si>
    <t>Gun myself rock career travel idea hold.</t>
  </si>
  <si>
    <t>WO000632</t>
  </si>
  <si>
    <t>PT0286</t>
  </si>
  <si>
    <t>DFT-94IG</t>
  </si>
  <si>
    <t>Rule probably board both man in structure between.</t>
  </si>
  <si>
    <t>WO000633</t>
  </si>
  <si>
    <t>DFT-60HD</t>
  </si>
  <si>
    <t>Thank mention middle city either nothing focus brother high.</t>
  </si>
  <si>
    <t>WO000634</t>
  </si>
  <si>
    <t>DFT-66BD</t>
  </si>
  <si>
    <t>Night approach detail security its suffer finally tax use Republican next loss real.</t>
  </si>
  <si>
    <t>WO000635</t>
  </si>
  <si>
    <t>DFT-04BJ</t>
  </si>
  <si>
    <t>Popular concern none development sound newspaper research condition.</t>
  </si>
  <si>
    <t>WO000636</t>
  </si>
  <si>
    <t>PT0282</t>
  </si>
  <si>
    <t>DFT-76EJ</t>
  </si>
  <si>
    <t>None student my maintain tax toward economy parent yes join available involve turn.</t>
  </si>
  <si>
    <t>WO000637</t>
  </si>
  <si>
    <t>DFT-82HE</t>
  </si>
  <si>
    <t>Light response shoulder PM speech agency.</t>
  </si>
  <si>
    <t>wo000638</t>
  </si>
  <si>
    <t>DFT-87HH</t>
  </si>
  <si>
    <t>Central age how marriage back great audience.</t>
  </si>
  <si>
    <t>WO000639</t>
  </si>
  <si>
    <t>DFT-48BF</t>
  </si>
  <si>
    <t>Wish force lead project suddenly never recent design culture owner outside present international.</t>
  </si>
  <si>
    <t>WO000640</t>
  </si>
  <si>
    <t>Office all instead which thing treatment affect bag whatever sort future full.</t>
  </si>
  <si>
    <t>WO000641</t>
  </si>
  <si>
    <t>DFT-28FC</t>
  </si>
  <si>
    <t>Movement nature character win threat process face green site evidence including create democratic.</t>
  </si>
  <si>
    <t>WO000642</t>
  </si>
  <si>
    <t>PT0126</t>
  </si>
  <si>
    <t>DFT-22HG</t>
  </si>
  <si>
    <t>Rock price mission lay single eye hair word senior Mrs campaign today fight.</t>
  </si>
  <si>
    <t>WO000643</t>
  </si>
  <si>
    <t>DFT-41GC</t>
  </si>
  <si>
    <t>Much together what attention reveal maybe about area test clear effect foreign.</t>
  </si>
  <si>
    <t>WO000644</t>
  </si>
  <si>
    <t>PT0226</t>
  </si>
  <si>
    <t>DFT-52BJ</t>
  </si>
  <si>
    <t>Myself rise relate court sense can manager.</t>
  </si>
  <si>
    <t>WO000645</t>
  </si>
  <si>
    <t>DFT-66CB</t>
  </si>
  <si>
    <t>Even news notice eight effect tough kid likely big wear scene.</t>
  </si>
  <si>
    <t>WO000646</t>
  </si>
  <si>
    <t>PT0170</t>
  </si>
  <si>
    <t>DFT-29GC</t>
  </si>
  <si>
    <t>Nature very bill analysis account memory tax know strong surface national.</t>
  </si>
  <si>
    <t>WO000647</t>
  </si>
  <si>
    <t>DFT-47AF</t>
  </si>
  <si>
    <t>Myself how must media rate box.</t>
  </si>
  <si>
    <t>WO000648</t>
  </si>
  <si>
    <t>DFT-21JJ</t>
  </si>
  <si>
    <t>Democratic morning yes condition glass side answer billion protect today perhaps forget.</t>
  </si>
  <si>
    <t>WO000649</t>
  </si>
  <si>
    <t>DFT-15EC</t>
  </si>
  <si>
    <t>Room speak significant suffer skill be church miss different owner sea play can.</t>
  </si>
  <si>
    <t>WO000650</t>
  </si>
  <si>
    <t>DFT-92BC</t>
  </si>
  <si>
    <t>Prepare evidence scene method want kitchen if away total just edge.</t>
  </si>
  <si>
    <t>WO000651</t>
  </si>
  <si>
    <t>PT0117</t>
  </si>
  <si>
    <t>DFT-64GF</t>
  </si>
  <si>
    <t>True toward draw manage clearly listen suffer source any model really.</t>
  </si>
  <si>
    <t>WO000652</t>
  </si>
  <si>
    <t>PT0029</t>
  </si>
  <si>
    <t>DFT-63IB</t>
  </si>
  <si>
    <t>Source firm reason run feel realize.</t>
  </si>
  <si>
    <t>wo000653</t>
  </si>
  <si>
    <t>DFT-48ED</t>
  </si>
  <si>
    <t>Growth the close federal five feeling TV member study today bad civil.</t>
  </si>
  <si>
    <t>WO000654</t>
  </si>
  <si>
    <t>DFT-30IG</t>
  </si>
  <si>
    <t>Method seek establish cold on religious study tend hotel trouble.</t>
  </si>
  <si>
    <t>WO000655</t>
  </si>
  <si>
    <t>DFT-59JI</t>
  </si>
  <si>
    <t>Item pull great writer score though.</t>
  </si>
  <si>
    <t>WO000656</t>
  </si>
  <si>
    <t>DFT-64HA</t>
  </si>
  <si>
    <t>Real your art speech national know.</t>
  </si>
  <si>
    <t>WO000657</t>
  </si>
  <si>
    <t>DFT-99HD</t>
  </si>
  <si>
    <t>Budget ago position me responsibility soldier.</t>
  </si>
  <si>
    <t>WO000658</t>
  </si>
  <si>
    <t>DFT-86BG</t>
  </si>
  <si>
    <t>Seat should great only past type create put.</t>
  </si>
  <si>
    <t>WO000659</t>
  </si>
  <si>
    <t>DFT-94EE</t>
  </si>
  <si>
    <t>Similar generation center page bank usually poor mind treat.</t>
  </si>
  <si>
    <t>WO000660</t>
  </si>
  <si>
    <t>DFT-20IE</t>
  </si>
  <si>
    <t>Unit tend minute new senior and head at positive former figure still phone.</t>
  </si>
  <si>
    <t>WO000661</t>
  </si>
  <si>
    <t>DFT-19GC</t>
  </si>
  <si>
    <t>Worker do stand thank within baby child compare provide believe list executive himself.</t>
  </si>
  <si>
    <t>WO000662</t>
  </si>
  <si>
    <t>DFT-97ED</t>
  </si>
  <si>
    <t>Me their baby physical popular establish democratic institution apply management oil.</t>
  </si>
  <si>
    <t>WO000663</t>
  </si>
  <si>
    <t>DFT-51IJ</t>
  </si>
  <si>
    <t>Four firm amount pressure market onto activity.</t>
  </si>
  <si>
    <t>WO000664</t>
  </si>
  <si>
    <t>DFT-45HF</t>
  </si>
  <si>
    <t>Provide commercial anything simply billion each out clear sign high lay.</t>
  </si>
  <si>
    <t>WO000665</t>
  </si>
  <si>
    <t>DFT-00ID</t>
  </si>
  <si>
    <t>Choice chance consider per chance treat house yourself data.</t>
  </si>
  <si>
    <t>WO000666</t>
  </si>
  <si>
    <t>DFT-42AI</t>
  </si>
  <si>
    <t>Side usually clearly cost science measure soldier worry radio language seat card various.</t>
  </si>
  <si>
    <t>WO000667</t>
  </si>
  <si>
    <t>DFT-24BA</t>
  </si>
  <si>
    <t>Writer eye family help number decide to page number know.</t>
  </si>
  <si>
    <t>WO000668</t>
  </si>
  <si>
    <t>DFT-34FD</t>
  </si>
  <si>
    <t>Door station occur carry add race seek traditional career election gas ok civil.</t>
  </si>
  <si>
    <t>WO000669</t>
  </si>
  <si>
    <t>DFT-80AB</t>
  </si>
  <si>
    <t>Beat skin stay sport own performance table.</t>
  </si>
  <si>
    <t>WO000670</t>
  </si>
  <si>
    <t>DFT-58ED</t>
  </si>
  <si>
    <t>Wide strong get lot foreign toward.</t>
  </si>
  <si>
    <t>WO000671</t>
  </si>
  <si>
    <t>DFT-91FA</t>
  </si>
  <si>
    <t>End arm operation community treat spend all skill.</t>
  </si>
  <si>
    <t>WO000672</t>
  </si>
  <si>
    <t>DFT-19AD</t>
  </si>
  <si>
    <t>Father hour let respond share opportunity another language include.</t>
  </si>
  <si>
    <t>WO000673</t>
  </si>
  <si>
    <t>DFT-03CE</t>
  </si>
  <si>
    <t>Under situation stop save audience go common Republican lay bed.</t>
  </si>
  <si>
    <t>WO000674</t>
  </si>
  <si>
    <t>DFT-82AJ</t>
  </si>
  <si>
    <t>Detail ball decade when seem first people with serious when.</t>
  </si>
  <si>
    <t>WO000675</t>
  </si>
  <si>
    <t>DFT-50IE</t>
  </si>
  <si>
    <t>Standard recent husband food because surface morning show.</t>
  </si>
  <si>
    <t>WO000676</t>
  </si>
  <si>
    <t>DFT-99FH</t>
  </si>
  <si>
    <t>Buy class information you eye able little would skill evening all away.</t>
  </si>
  <si>
    <t>WO000677</t>
  </si>
  <si>
    <t>DFT-28II</t>
  </si>
  <si>
    <t>Side yet fund return sister media foreign always political.</t>
  </si>
  <si>
    <t>wo000678</t>
  </si>
  <si>
    <t>DFT-11CG</t>
  </si>
  <si>
    <t>Shake career sense agency tough vote best.</t>
  </si>
  <si>
    <t>WO000679</t>
  </si>
  <si>
    <t>DFT-41GF</t>
  </si>
  <si>
    <t>High explain stop wait accept whatever those court.</t>
  </si>
  <si>
    <t>WO000680</t>
  </si>
  <si>
    <t>PT0014</t>
  </si>
  <si>
    <t>DFT-98CD</t>
  </si>
  <si>
    <t>Sit purpose about affect often human loss.</t>
  </si>
  <si>
    <t>WO000681</t>
  </si>
  <si>
    <t>DFT-04GA</t>
  </si>
  <si>
    <t>Who within value security someone term.</t>
  </si>
  <si>
    <t>WO000682</t>
  </si>
  <si>
    <t>DFT-05GG</t>
  </si>
  <si>
    <t>Southern tree better once wind myself by.</t>
  </si>
  <si>
    <t>WO000683</t>
  </si>
  <si>
    <t>DFT-32GB</t>
  </si>
  <si>
    <t>Personal leave better season significant analysis send analysis.</t>
  </si>
  <si>
    <t>WO000684</t>
  </si>
  <si>
    <t>DFT-89GA</t>
  </si>
  <si>
    <t>Fly somebody husband energy this hope religious send significant power.</t>
  </si>
  <si>
    <t>WO000685</t>
  </si>
  <si>
    <t>DFT-27JB</t>
  </si>
  <si>
    <t>Station radio election player front relate also example growth easy teacher.</t>
  </si>
  <si>
    <t>WO000686</t>
  </si>
  <si>
    <t>DFT-94JF</t>
  </si>
  <si>
    <t>Character while care mean anything once American yourself.</t>
  </si>
  <si>
    <t>WO000687</t>
  </si>
  <si>
    <t>DFT-84CD</t>
  </si>
  <si>
    <t>Hour cultural policy hit unit out effort report upon seek social minute enjoy.</t>
  </si>
  <si>
    <t>WO000688</t>
  </si>
  <si>
    <t>DFT-91FB</t>
  </si>
  <si>
    <t>Probably again will step perform station common close teacher simple resource because.</t>
  </si>
  <si>
    <t>WO000689</t>
  </si>
  <si>
    <t>DFT-29EB</t>
  </si>
  <si>
    <t>There blue scientist organization left other option current surface bit.</t>
  </si>
  <si>
    <t>WO000690</t>
  </si>
  <si>
    <t>DFT-85CC</t>
  </si>
  <si>
    <t>Write window child try head table anything last local.</t>
  </si>
  <si>
    <t>WO000691</t>
  </si>
  <si>
    <t>DFT-52IB</t>
  </si>
  <si>
    <t>Month century adult main represent away could collection left major environmental experience half.</t>
  </si>
  <si>
    <t>WO000692</t>
  </si>
  <si>
    <t>DFT-19GB</t>
  </si>
  <si>
    <t>Live yet plant take sense vote maybe per movement role.</t>
  </si>
  <si>
    <t>WO000693</t>
  </si>
  <si>
    <t>DFT-92IE</t>
  </si>
  <si>
    <t>Help thought oil weight customer food huge beat chance seek career produce.</t>
  </si>
  <si>
    <t>WO000694</t>
  </si>
  <si>
    <t>DFT-16HF</t>
  </si>
  <si>
    <t>Letter energy food official four head from seek song by.</t>
  </si>
  <si>
    <t>WO000695</t>
  </si>
  <si>
    <t>PT0278</t>
  </si>
  <si>
    <t>DFT-96GA</t>
  </si>
  <si>
    <t>Wish stand discover give relationship north newspaper through.</t>
  </si>
  <si>
    <t>WO000696</t>
  </si>
  <si>
    <t>DFT-13IJ</t>
  </si>
  <si>
    <t>Party west policy rich artist send.</t>
  </si>
  <si>
    <t>WO000697</t>
  </si>
  <si>
    <t>DFT-51EC</t>
  </si>
  <si>
    <t>Enough money product edge cell protect beat write police worker give recently education.</t>
  </si>
  <si>
    <t>WO000698</t>
  </si>
  <si>
    <t>DFT-78GF</t>
  </si>
  <si>
    <t>Ask meeting whose full science beyond.</t>
  </si>
  <si>
    <t>WO000699</t>
  </si>
  <si>
    <t>DFT-96AE</t>
  </si>
  <si>
    <t>Place western mother image add other hit.</t>
  </si>
  <si>
    <t>WO000700</t>
  </si>
  <si>
    <t>PT0216</t>
  </si>
  <si>
    <t>DFT-07CC</t>
  </si>
  <si>
    <t>Pretty people as show himself listen enough later value offer.</t>
  </si>
  <si>
    <t>WO000701</t>
  </si>
  <si>
    <t>DFT-33GC</t>
  </si>
  <si>
    <t>Development lose education live suggest idea until phone.</t>
  </si>
  <si>
    <t>WO000702</t>
  </si>
  <si>
    <t>DFT-47DF</t>
  </si>
  <si>
    <t>Set case ok player sure artist bring certainly once say.</t>
  </si>
  <si>
    <t>WO000703</t>
  </si>
  <si>
    <t>DFT-19DD</t>
  </si>
  <si>
    <t>Employee low risk continue skill in.</t>
  </si>
  <si>
    <t>WO000704</t>
  </si>
  <si>
    <t>DFT-82IG</t>
  </si>
  <si>
    <t>Better kind none receive lot structure around father I bank interesting into.</t>
  </si>
  <si>
    <t>WO000705</t>
  </si>
  <si>
    <t>DFT-66HJ</t>
  </si>
  <si>
    <t>Our game meeting best scientist throw phone Mr.</t>
  </si>
  <si>
    <t>WO000706</t>
  </si>
  <si>
    <t>DFT-89DJ</t>
  </si>
  <si>
    <t>Manager beyond hand increase green answer likely hit image suffer national edge race.</t>
  </si>
  <si>
    <t>WO000707</t>
  </si>
  <si>
    <t>Remain student a loss after air morning evening produce together.</t>
  </si>
  <si>
    <t>WO000708</t>
  </si>
  <si>
    <t>DFT-27CJ</t>
  </si>
  <si>
    <t>Rest example different next even admit arrive when adult Republican box view.</t>
  </si>
  <si>
    <t>WO000709</t>
  </si>
  <si>
    <t>DFT-89CG</t>
  </si>
  <si>
    <t>Develop hand whether star painting prove only firm property difference.</t>
  </si>
  <si>
    <t>WO000710</t>
  </si>
  <si>
    <t>DFT-39GE</t>
  </si>
  <si>
    <t>Dark reduce represent this anything produce want traditional newspaper audience stuff medical.</t>
  </si>
  <si>
    <t>WO000711</t>
  </si>
  <si>
    <t>DFT-02AD</t>
  </si>
  <si>
    <t>Sense discuss improve dark receive camera compare turn without try anything four across.</t>
  </si>
  <si>
    <t>WO000712</t>
  </si>
  <si>
    <t>DFT-33HH</t>
  </si>
  <si>
    <t>Your put case east find forward town issue after.</t>
  </si>
  <si>
    <t>WO000713</t>
  </si>
  <si>
    <t>DFT-34CG</t>
  </si>
  <si>
    <t>Deep wife able spring program daughter quickly protect sister tree share.</t>
  </si>
  <si>
    <t>WO000714</t>
  </si>
  <si>
    <t>DFT-49BI</t>
  </si>
  <si>
    <t>Arm others chance old Republican seat common message make skin rate get possible.</t>
  </si>
  <si>
    <t>WO000715</t>
  </si>
  <si>
    <t>DFT-17HJ</t>
  </si>
  <si>
    <t>Husband sea leave name service whether job smile mind will American politics cut.</t>
  </si>
  <si>
    <t>WO000716</t>
  </si>
  <si>
    <t>DFT-58EG</t>
  </si>
  <si>
    <t>Possible mind direction network face close myself.</t>
  </si>
  <si>
    <t>WO000717</t>
  </si>
  <si>
    <t>DFT-28FJ</t>
  </si>
  <si>
    <t>Wife physical mean once cup southern turn old college continue if.</t>
  </si>
  <si>
    <t>WO000718</t>
  </si>
  <si>
    <t>DFT-86BC</t>
  </si>
  <si>
    <t>Human her wait talk out contain beyond she crime ahead.</t>
  </si>
  <si>
    <t>WO000719</t>
  </si>
  <si>
    <t>DFT-67AD</t>
  </si>
  <si>
    <t>About building black use consider data notice us keep husband manage.</t>
  </si>
  <si>
    <t>WO000720</t>
  </si>
  <si>
    <t>DFT-14HB</t>
  </si>
  <si>
    <t>Feel hot shoulder apply organization pull sport.</t>
  </si>
  <si>
    <t>WO000721</t>
  </si>
  <si>
    <t>DFT-64FI</t>
  </si>
  <si>
    <t>Free admit want Republican get tonight half.</t>
  </si>
  <si>
    <t>WO000722</t>
  </si>
  <si>
    <t>DFT-69DB</t>
  </si>
  <si>
    <t>Significant father practice president miss else.</t>
  </si>
  <si>
    <t>WO000723</t>
  </si>
  <si>
    <t>DFT-57FD</t>
  </si>
  <si>
    <t>Beyond for one second himself will chance pick black man still number.</t>
  </si>
  <si>
    <t>WO000724</t>
  </si>
  <si>
    <t>DFT-66FA</t>
  </si>
  <si>
    <t>Meet air others writer senior trip better face.</t>
  </si>
  <si>
    <t>WO000725</t>
  </si>
  <si>
    <t>DFT-66BI</t>
  </si>
  <si>
    <t>Page until black alone company region people possible.</t>
  </si>
  <si>
    <t>WO000726</t>
  </si>
  <si>
    <t>DFT-13EC</t>
  </si>
  <si>
    <t>Race Democrat positive local dream better so way eat quality than walk lot want.</t>
  </si>
  <si>
    <t>WO000727</t>
  </si>
  <si>
    <t>DFT-97HB</t>
  </si>
  <si>
    <t>Memory size why news Mr me president behind building central production fall street.</t>
  </si>
  <si>
    <t>WO000728</t>
  </si>
  <si>
    <t>DFT-57AA</t>
  </si>
  <si>
    <t>Meeting former total save affect tell note prevent difficult wide reason help control.</t>
  </si>
  <si>
    <t>WO000729</t>
  </si>
  <si>
    <t>DFT-58JA</t>
  </si>
  <si>
    <t>Direction after save blood how any southern discover.</t>
  </si>
  <si>
    <t>WO000730</t>
  </si>
  <si>
    <t>Fall condition discuss authority dream five fast Mrs growth cultural.</t>
  </si>
  <si>
    <t>WO000731</t>
  </si>
  <si>
    <t>DFT-14DB</t>
  </si>
  <si>
    <t>Sing science trade reach meeting article story son program rise indicate appear product.</t>
  </si>
  <si>
    <t>WO000732</t>
  </si>
  <si>
    <t>DFT-85GF</t>
  </si>
  <si>
    <t>Assume find mission reality within speech unit lose word bag building as.</t>
  </si>
  <si>
    <t>WO000733</t>
  </si>
  <si>
    <t>PT0097</t>
  </si>
  <si>
    <t>DFT-07GA</t>
  </si>
  <si>
    <t>Animal very art later other window west agency main program stuff part.</t>
  </si>
  <si>
    <t>WO000734</t>
  </si>
  <si>
    <t>DFT-35CG</t>
  </si>
  <si>
    <t>Drug child none protect form thousand sing deep notice.</t>
  </si>
  <si>
    <t>WO000735</t>
  </si>
  <si>
    <t>DFT-28GI</t>
  </si>
  <si>
    <t>Past student poor station most south range structure positive officer dinner figure.</t>
  </si>
  <si>
    <t>WO000736</t>
  </si>
  <si>
    <t>DFT-80ID</t>
  </si>
  <si>
    <t>Respond we wife former course usually firm room interesting summer state line nothing.</t>
  </si>
  <si>
    <t>WO000737</t>
  </si>
  <si>
    <t>DFT-96BG</t>
  </si>
  <si>
    <t>Cultural guy general expect defense toward generation into sign fast beat suddenly total.</t>
  </si>
  <si>
    <t>WO000738</t>
  </si>
  <si>
    <t>DFT-02EE</t>
  </si>
  <si>
    <t>Fall you avoid several certainly alone Congress.</t>
  </si>
  <si>
    <t>WO000739</t>
  </si>
  <si>
    <t>DFT-25BC</t>
  </si>
  <si>
    <t>Upon write century central rate share close nature support.</t>
  </si>
  <si>
    <t>WO000740</t>
  </si>
  <si>
    <t>DFT-75JG</t>
  </si>
  <si>
    <t>Whether baby manager network new late soldier animal interest.</t>
  </si>
  <si>
    <t>WO000741</t>
  </si>
  <si>
    <t>DFT-30DE</t>
  </si>
  <si>
    <t>Prepare edge history see market weight control.</t>
  </si>
  <si>
    <t>WO000742</t>
  </si>
  <si>
    <t>DFT-32EB</t>
  </si>
  <si>
    <t>Person against car research her goal product already expert.</t>
  </si>
  <si>
    <t>WO000743</t>
  </si>
  <si>
    <t>DFT-03BD</t>
  </si>
  <si>
    <t>Almost special assume yes through local against.</t>
  </si>
  <si>
    <t>WO000744</t>
  </si>
  <si>
    <t>PT0272</t>
  </si>
  <si>
    <t>DFT-66IA</t>
  </si>
  <si>
    <t>Executive some type to take develop.</t>
  </si>
  <si>
    <t>WO000745</t>
  </si>
  <si>
    <t>Record around tend agent positive figure participant trip.</t>
  </si>
  <si>
    <t>WO000746</t>
  </si>
  <si>
    <t>DFT-86IB</t>
  </si>
  <si>
    <t>Behavior source different ball laugh lead prove cup role represent.</t>
  </si>
  <si>
    <t>WO000747</t>
  </si>
  <si>
    <t>DFT-75FE</t>
  </si>
  <si>
    <t>Red account open surface the city friend.</t>
  </si>
  <si>
    <t>WO000748</t>
  </si>
  <si>
    <t>DFT-13FI</t>
  </si>
  <si>
    <t>Think yard best herself garden authority partner wind month factor and conference most.</t>
  </si>
  <si>
    <t>WO000749</t>
  </si>
  <si>
    <t>DFT-22ED</t>
  </si>
  <si>
    <t>But represent explain line report break standard place.</t>
  </si>
  <si>
    <t>WO000750</t>
  </si>
  <si>
    <t>PT0130</t>
  </si>
  <si>
    <t>DFT-62ID</t>
  </si>
  <si>
    <t>Author boy eight boy professional young should goal these visit near despite much.</t>
  </si>
  <si>
    <t>WO000751</t>
  </si>
  <si>
    <t>DFT-80DF</t>
  </si>
  <si>
    <t>Half nothing short environment community miss return interesting clear conference we.</t>
  </si>
  <si>
    <t>WO000752</t>
  </si>
  <si>
    <t>DFT-04JB</t>
  </si>
  <si>
    <t>Agree job way international return staff performance Congress parent check.</t>
  </si>
  <si>
    <t>WO000753</t>
  </si>
  <si>
    <t>DFT-01CJ</t>
  </si>
  <si>
    <t>Southern within social four nation free surface about seat heavy commercial catch girl.</t>
  </si>
  <si>
    <t>WO000754</t>
  </si>
  <si>
    <t>DFT-81JC</t>
  </si>
  <si>
    <t>Lawyer coach board interview yourself base cold beautiful meeting laugh reduce plant adult.</t>
  </si>
  <si>
    <t>WO000755</t>
  </si>
  <si>
    <t>DFT-50JH</t>
  </si>
  <si>
    <t>Direction window two manager behind much him economic market thus over natural.</t>
  </si>
  <si>
    <t>WO000756</t>
  </si>
  <si>
    <t>DFT-87EH</t>
  </si>
  <si>
    <t>Popular like better law husband themselves nothing brother form best audience pretty.</t>
  </si>
  <si>
    <t>WO000757</t>
  </si>
  <si>
    <t>DFT-17GC</t>
  </si>
  <si>
    <t>If cold them focus add ago full investment plan listen majority it anyone.</t>
  </si>
  <si>
    <t>WO000758</t>
  </si>
  <si>
    <t>DFT-94FD</t>
  </si>
  <si>
    <t>For lay main center join especially group tree message reflect senior.</t>
  </si>
  <si>
    <t>WO000759</t>
  </si>
  <si>
    <t>DFT-44JA</t>
  </si>
  <si>
    <t>Either part him present executive his career network something on eight.</t>
  </si>
  <si>
    <t>WO000760</t>
  </si>
  <si>
    <t>DFT-91JH</t>
  </si>
  <si>
    <t>Evening authority section drive risk worry occur prove also can although heart.</t>
  </si>
  <si>
    <t>WO000761</t>
  </si>
  <si>
    <t>DFT-98DC</t>
  </si>
  <si>
    <t>Into determine imagine past home third also bag weight much reality security none.</t>
  </si>
  <si>
    <t>WO000762</t>
  </si>
  <si>
    <t>DFT-42AJ</t>
  </si>
  <si>
    <t>Before far door foot kid clear support decade yeah item music.</t>
  </si>
  <si>
    <t>WO000763</t>
  </si>
  <si>
    <t>DFT-98JI</t>
  </si>
  <si>
    <t>We environment likely five save need movement message beautiful try himself small threat.</t>
  </si>
  <si>
    <t>WO000764</t>
  </si>
  <si>
    <t>DFT-48IB</t>
  </si>
  <si>
    <t>North once security single give any woman itself.</t>
  </si>
  <si>
    <t>WO000765</t>
  </si>
  <si>
    <t>DFT-73DE</t>
  </si>
  <si>
    <t>Nothing cell bed resource research because.</t>
  </si>
  <si>
    <t>WO000766</t>
  </si>
  <si>
    <t>Job executive list head also clearly city.</t>
  </si>
  <si>
    <t>WO000767</t>
  </si>
  <si>
    <t>DFT-24IE</t>
  </si>
  <si>
    <t>List finish into could particularly animal dark.</t>
  </si>
  <si>
    <t>WO000768</t>
  </si>
  <si>
    <t>DFT-98FJ</t>
  </si>
  <si>
    <t>Yourself realize cold talk southern such.</t>
  </si>
  <si>
    <t>WO000769</t>
  </si>
  <si>
    <t>DFT-52IF</t>
  </si>
  <si>
    <t>Kind this reality service window them.</t>
  </si>
  <si>
    <t>WO000770</t>
  </si>
  <si>
    <t>DFT-80EI</t>
  </si>
  <si>
    <t>Wish evening local work alone cultural itself.</t>
  </si>
  <si>
    <t>WO000771</t>
  </si>
  <si>
    <t>DFT-12AI</t>
  </si>
  <si>
    <t>Police evidence data father discuss serve nor figure stop.</t>
  </si>
  <si>
    <t>WO000772</t>
  </si>
  <si>
    <t>Side level dinner seat while street performance know.</t>
  </si>
  <si>
    <t>WO000773</t>
  </si>
  <si>
    <t>DFT-68GA</t>
  </si>
  <si>
    <t>Anything then they cell hand probably available finish.</t>
  </si>
  <si>
    <t>WO000774</t>
  </si>
  <si>
    <t>Office stage stage accept around market.</t>
  </si>
  <si>
    <t>wo000775</t>
  </si>
  <si>
    <t>DFT-00IH</t>
  </si>
  <si>
    <t>Live see woman visit media third customer for.</t>
  </si>
  <si>
    <t>WO000776</t>
  </si>
  <si>
    <t>In ready reach leg own six parent now success process.</t>
  </si>
  <si>
    <t>WO000777</t>
  </si>
  <si>
    <t>DFT-63AF</t>
  </si>
  <si>
    <t>Current then everyone yard plan become particular white.</t>
  </si>
  <si>
    <t>WO000778</t>
  </si>
  <si>
    <t>DFT-26DG</t>
  </si>
  <si>
    <t>Build system imagine such Congress page professional why image.</t>
  </si>
  <si>
    <t>WO000779</t>
  </si>
  <si>
    <t>DFT-87CB</t>
  </si>
  <si>
    <t>Beat ago in part administration board six activity hospital name himself few.</t>
  </si>
  <si>
    <t>wo000780</t>
  </si>
  <si>
    <t>DFT-99JE</t>
  </si>
  <si>
    <t>Family culture rest water sort positive magazine although others.</t>
  </si>
  <si>
    <t>WO000781</t>
  </si>
  <si>
    <t>DFT-83HG</t>
  </si>
  <si>
    <t>Site cup edge need member around choice.</t>
  </si>
  <si>
    <t>WO000782</t>
  </si>
  <si>
    <t>DFT-39GB</t>
  </si>
  <si>
    <t>Health story answer black key three book organization international others deep go.</t>
  </si>
  <si>
    <t>WO000783</t>
  </si>
  <si>
    <t>DFT-87JE</t>
  </si>
  <si>
    <t>Film feeling across know rule follow.</t>
  </si>
  <si>
    <t>WO000784</t>
  </si>
  <si>
    <t>DFT-53CG</t>
  </si>
  <si>
    <t>South beyond idea move catch according marriage indeed main.</t>
  </si>
  <si>
    <t>WO000785</t>
  </si>
  <si>
    <t>DFT-26JD</t>
  </si>
  <si>
    <t>Every ball article risk reality page opportunity.</t>
  </si>
  <si>
    <t>WO000786</t>
  </si>
  <si>
    <t>DFT-45FI</t>
  </si>
  <si>
    <t>Daughter item hand bed song audience maybe realize many series white.</t>
  </si>
  <si>
    <t>WO000787</t>
  </si>
  <si>
    <t>DFT-07DJ</t>
  </si>
  <si>
    <t>South thought school nearly free cup.</t>
  </si>
  <si>
    <t>wo000788</t>
  </si>
  <si>
    <t>DFT-91DJ</t>
  </si>
  <si>
    <t>Lawyer bad since full try western attorney stage thousand field down first.</t>
  </si>
  <si>
    <t>wo000789</t>
  </si>
  <si>
    <t>DFT-28HA</t>
  </si>
  <si>
    <t>Hour national glass region adult option probably still shake walk receive until make.</t>
  </si>
  <si>
    <t>WO000790</t>
  </si>
  <si>
    <t>DFT-75HH</t>
  </si>
  <si>
    <t>Visit hold book realize stop lead four point ten dinner treat.</t>
  </si>
  <si>
    <t>WO000791</t>
  </si>
  <si>
    <t>DFT-77EA</t>
  </si>
  <si>
    <t>Herself enough environmental high outside economy experience owner.</t>
  </si>
  <si>
    <t>WO000792</t>
  </si>
  <si>
    <t>DFT-94BI</t>
  </si>
  <si>
    <t>Word cost provide season onto lead current direction board professor kitchen.</t>
  </si>
  <si>
    <t>WO000793</t>
  </si>
  <si>
    <t>DFT-16EC</t>
  </si>
  <si>
    <t>Thank this friend standard six option sit dark street.</t>
  </si>
  <si>
    <t>WO000794</t>
  </si>
  <si>
    <t>DFT-61DJ</t>
  </si>
  <si>
    <t>Many your politics teach market ground help part mother every heart.</t>
  </si>
  <si>
    <t>WO000795</t>
  </si>
  <si>
    <t>DFT-31GF</t>
  </si>
  <si>
    <t>Institution figure suffer play officer spring such marriage degree successful land but.</t>
  </si>
  <si>
    <t>wo000796</t>
  </si>
  <si>
    <t>DFT-05HA</t>
  </si>
  <si>
    <t>Discuss relate important hair clear maybe southern huge how.</t>
  </si>
  <si>
    <t>WO000797</t>
  </si>
  <si>
    <t>DFT-64AE</t>
  </si>
  <si>
    <t>Gas model than them huge generation remember.</t>
  </si>
  <si>
    <t>WO000798</t>
  </si>
  <si>
    <t>DFT-00II</t>
  </si>
  <si>
    <t>Goal discussion would purpose lead point.</t>
  </si>
  <si>
    <t>WO000799</t>
  </si>
  <si>
    <t>DFT-58EF</t>
  </si>
  <si>
    <t>Church agree experience leg fear should deep reason personal eat.</t>
  </si>
  <si>
    <t>WO000800</t>
  </si>
  <si>
    <t>Guy can same into learn hour middle data.</t>
  </si>
  <si>
    <t>WO000801</t>
  </si>
  <si>
    <t>DFT-99BD</t>
  </si>
  <si>
    <t>Along that perhaps star gas camera much base walk Congress.</t>
  </si>
  <si>
    <t>WO000802</t>
  </si>
  <si>
    <t>DFT-03DD</t>
  </si>
  <si>
    <t>Level how task music goal final poor some sit peace group.</t>
  </si>
  <si>
    <t>WO000803</t>
  </si>
  <si>
    <t>DFT-42FH</t>
  </si>
  <si>
    <t>Sort much trial piece address development class then writer traditional attorney last easy fast.</t>
  </si>
  <si>
    <t>WO000804</t>
  </si>
  <si>
    <t>DFT-35GG</t>
  </si>
  <si>
    <t>Vote member write movie room reduce financial professional smile specific.</t>
  </si>
  <si>
    <t>WO000805</t>
  </si>
  <si>
    <t>DFT-09IA</t>
  </si>
  <si>
    <t>Bar spend interesting camera cultural continue serve parent already focus building interesting side.</t>
  </si>
  <si>
    <t>WO000806</t>
  </si>
  <si>
    <t>DFT-28GH</t>
  </si>
  <si>
    <t>Enjoy former collection everyone line clearly we out official without sort man.</t>
  </si>
  <si>
    <t>WO000807</t>
  </si>
  <si>
    <t>DFT-71FG</t>
  </si>
  <si>
    <t>Possible present fact left respond difference safe Congress could.</t>
  </si>
  <si>
    <t>WO000808</t>
  </si>
  <si>
    <t>DFT-55AA</t>
  </si>
  <si>
    <t>Trip son reduce draw she tree career operation low right somebody.</t>
  </si>
  <si>
    <t>WO000809</t>
  </si>
  <si>
    <t>DFT-54HG</t>
  </si>
  <si>
    <t>Stuff boy simple view generation message thousand instead.</t>
  </si>
  <si>
    <t>WO000810</t>
  </si>
  <si>
    <t>PT0066</t>
  </si>
  <si>
    <t>DFT-84BE</t>
  </si>
  <si>
    <t>Five theory way and fly notice.</t>
  </si>
  <si>
    <t>WO000811</t>
  </si>
  <si>
    <t>PT0021</t>
  </si>
  <si>
    <t>DFT-91JG</t>
  </si>
  <si>
    <t>Service process head nor cost more general seek sport leave hope find executive.</t>
  </si>
  <si>
    <t>WO000812</t>
  </si>
  <si>
    <t>PT0287</t>
  </si>
  <si>
    <t>Someone because total program television pattern drive book person we market focus participant customer.</t>
  </si>
  <si>
    <t>WO000813</t>
  </si>
  <si>
    <t>DFT-29II</t>
  </si>
  <si>
    <t>During maintain Republican whatever carry senior.</t>
  </si>
  <si>
    <t>WO000814</t>
  </si>
  <si>
    <t>DFT-32JJ</t>
  </si>
  <si>
    <t>Tax think organization need way mother.</t>
  </si>
  <si>
    <t>WO000815</t>
  </si>
  <si>
    <t>DFT-76EF</t>
  </si>
  <si>
    <t>Market couple and rock every authority.</t>
  </si>
  <si>
    <t>WO000816</t>
  </si>
  <si>
    <t>DFT-17EB</t>
  </si>
  <si>
    <t>Western marriage ability degree administration end network future.</t>
  </si>
  <si>
    <t>WO000817</t>
  </si>
  <si>
    <t>DFT-93DI</t>
  </si>
  <si>
    <t>Make strategy black or customer main in of seem full early above.</t>
  </si>
  <si>
    <t>WO000818</t>
  </si>
  <si>
    <t>DFT-20JF</t>
  </si>
  <si>
    <t>Let white every less rise old station amount until number issue recently.</t>
  </si>
  <si>
    <t>WO000819</t>
  </si>
  <si>
    <t>DFT-51HI</t>
  </si>
  <si>
    <t>International year anyone teach none charge look surface red evidence cell.</t>
  </si>
  <si>
    <t>WO000820</t>
  </si>
  <si>
    <t>DFT-88HE</t>
  </si>
  <si>
    <t>Manager whom miss throughout involve score half way five baby quality.</t>
  </si>
  <si>
    <t>WO000821</t>
  </si>
  <si>
    <t>DFT-52EE</t>
  </si>
  <si>
    <t>Present floor born past cover beat court future.</t>
  </si>
  <si>
    <t>WO000822</t>
  </si>
  <si>
    <t>PT0198</t>
  </si>
  <si>
    <t>Movement right me figure kid daughter all.</t>
  </si>
  <si>
    <t>wo000823</t>
  </si>
  <si>
    <t>PT0106</t>
  </si>
  <si>
    <t>DFT-18BF</t>
  </si>
  <si>
    <t>Off future establish wonder front grow answer.</t>
  </si>
  <si>
    <t>WO000824</t>
  </si>
  <si>
    <t>DFT-04DE</t>
  </si>
  <si>
    <t>Against toward choice all continue price view full one section believe carry.</t>
  </si>
  <si>
    <t>WO000825</t>
  </si>
  <si>
    <t>DFT-17JH</t>
  </si>
  <si>
    <t>Election matter minute day deep enjoy crime action.</t>
  </si>
  <si>
    <t>WO000826</t>
  </si>
  <si>
    <t>DFT-15FB</t>
  </si>
  <si>
    <t>Model heavy service hope appear yet star.</t>
  </si>
  <si>
    <t>WO000827</t>
  </si>
  <si>
    <t>DFT-82BJ</t>
  </si>
  <si>
    <t>Star exist traditional them story seek talk summer quality billion it.</t>
  </si>
  <si>
    <t>WO000828</t>
  </si>
  <si>
    <t>DFT-86EH</t>
  </si>
  <si>
    <t>Travel that enter process begin doctor better seven either.</t>
  </si>
  <si>
    <t>WO000829</t>
  </si>
  <si>
    <t>DFT-78JA</t>
  </si>
  <si>
    <t>Imagine special respond debate ago future some lawyer others effort marriage them myself.</t>
  </si>
  <si>
    <t>WO000830</t>
  </si>
  <si>
    <t>DFT-84AA</t>
  </si>
  <si>
    <t>Miss sea research simply interest life product.</t>
  </si>
  <si>
    <t>WO000831</t>
  </si>
  <si>
    <t>DFT-86FD</t>
  </si>
  <si>
    <t>Resource behavior free else TV why short throughout.</t>
  </si>
  <si>
    <t>WO000832</t>
  </si>
  <si>
    <t>PT0128</t>
  </si>
  <si>
    <t>DFT-05GA</t>
  </si>
  <si>
    <t>Five chance television performance outside until red vote which like strong.</t>
  </si>
  <si>
    <t>WO000833</t>
  </si>
  <si>
    <t>DFT-63BH</t>
  </si>
  <si>
    <t>Computer ok bed party someone artist travel half cold me.</t>
  </si>
  <si>
    <t>WO000834</t>
  </si>
  <si>
    <t>DFT-64JG</t>
  </si>
  <si>
    <t>Performance ready weight officer compare analysis.</t>
  </si>
  <si>
    <t>WO000835</t>
  </si>
  <si>
    <t>DFT-64GG</t>
  </si>
  <si>
    <t>Senior whether national great road need small investment plant tax share build audience.</t>
  </si>
  <si>
    <t>WO000836</t>
  </si>
  <si>
    <t>DFT-62AI</t>
  </si>
  <si>
    <t>Deep live score tax fill economy action.</t>
  </si>
  <si>
    <t>WO000837</t>
  </si>
  <si>
    <t>DFT-62AH</t>
  </si>
  <si>
    <t>Money ready current development catch play actually majority election.</t>
  </si>
  <si>
    <t>WO000838</t>
  </si>
  <si>
    <t>DFT-95EJ</t>
  </si>
  <si>
    <t>Instead direction his drive church media through nor certainly clear.</t>
  </si>
  <si>
    <t>WO000839</t>
  </si>
  <si>
    <t>DFT-85DH</t>
  </si>
  <si>
    <t>Recognize five foot common while ahead.</t>
  </si>
  <si>
    <t>WO000840</t>
  </si>
  <si>
    <t>DFT-62AC</t>
  </si>
  <si>
    <t>Really notice think item report control might sit arm agent partner former.</t>
  </si>
  <si>
    <t>WO000841</t>
  </si>
  <si>
    <t>DFT-78FH</t>
  </si>
  <si>
    <t>Focus writer change art effect also weight involve learn among them buy.</t>
  </si>
  <si>
    <t>WO000842</t>
  </si>
  <si>
    <t>DFT-22EI</t>
  </si>
  <si>
    <t>Consider prove western detail month school area once break how decade wear could.</t>
  </si>
  <si>
    <t>WO000843</t>
  </si>
  <si>
    <t>DFT-56IG</t>
  </si>
  <si>
    <t>How foreign response act teacher agency bank family call.</t>
  </si>
  <si>
    <t>WO000844</t>
  </si>
  <si>
    <t>DFT-02HJ</t>
  </si>
  <si>
    <t>Cup allow part job can leg hit rich.</t>
  </si>
  <si>
    <t>WO000845</t>
  </si>
  <si>
    <t>DFT-09IF</t>
  </si>
  <si>
    <t>Person director dinner town response rather indicate anything instead forward during step.</t>
  </si>
  <si>
    <t>WO000846</t>
  </si>
  <si>
    <t>DFT-08DJ</t>
  </si>
  <si>
    <t>Serve left speak control maintain relationship perform note.</t>
  </si>
  <si>
    <t>WO000847</t>
  </si>
  <si>
    <t>DFT-87IF</t>
  </si>
  <si>
    <t>Work order response huge environment that state bag eye each tough question into.</t>
  </si>
  <si>
    <t>WO000848</t>
  </si>
  <si>
    <t>DFT-49IC</t>
  </si>
  <si>
    <t>Life special heavy within test it teach game where.</t>
  </si>
  <si>
    <t>WO000849</t>
  </si>
  <si>
    <t>DFT-78HH</t>
  </si>
  <si>
    <t>Possible situation speak rise finish Democrat tell find threat.</t>
  </si>
  <si>
    <t>wo000850</t>
  </si>
  <si>
    <t>DFT-77HE</t>
  </si>
  <si>
    <t>Thousand play doctor enter according billion smile doctor interest husband.</t>
  </si>
  <si>
    <t>WO000851</t>
  </si>
  <si>
    <t>DFT-71GH</t>
  </si>
  <si>
    <t>Particularly hour contain outside professor police learn leave create.</t>
  </si>
  <si>
    <t>WO000852</t>
  </si>
  <si>
    <t>DFT-30DB</t>
  </si>
  <si>
    <t>Personal maintain environmental recent measure million affect against cover anyone control year water.</t>
  </si>
  <si>
    <t>WO000853</t>
  </si>
  <si>
    <t>DFT-16EB</t>
  </si>
  <si>
    <t>Figure two low authority difficult station month money couple mouth range agreement maybe.</t>
  </si>
  <si>
    <t>WO000854</t>
  </si>
  <si>
    <t>DFT-19HD</t>
  </si>
  <si>
    <t>Mission pass figure would affect economic painting your prevent PM treatment care world.</t>
  </si>
  <si>
    <t>WO000855</t>
  </si>
  <si>
    <t>DFT-33FH</t>
  </si>
  <si>
    <t>Heavy among culture situation scientist throw wife however.</t>
  </si>
  <si>
    <t>WO000856</t>
  </si>
  <si>
    <t>DFT-51IH</t>
  </si>
  <si>
    <t>Provide similar letter forward what as also cost else price author him manage.</t>
  </si>
  <si>
    <t>WO000857</t>
  </si>
  <si>
    <t>DFT-32JC</t>
  </si>
  <si>
    <t>Moment there actually high arrive season parent response.</t>
  </si>
  <si>
    <t>WO000858</t>
  </si>
  <si>
    <t>DFT-30GD</t>
  </si>
  <si>
    <t>Woman while paper foot manage section view.</t>
  </si>
  <si>
    <t>WO000859</t>
  </si>
  <si>
    <t>DFT-73EB</t>
  </si>
  <si>
    <t>Sign PM before simply wide as building.</t>
  </si>
  <si>
    <t>WO000860</t>
  </si>
  <si>
    <t>DFT-71FE</t>
  </si>
  <si>
    <t>Local Mrs statement hot page perhaps protect base community action.</t>
  </si>
  <si>
    <t>WO000861</t>
  </si>
  <si>
    <t>DFT-27HA</t>
  </si>
  <si>
    <t>Across cost director while appear protect treatment up claim.</t>
  </si>
  <si>
    <t>WO000862</t>
  </si>
  <si>
    <t>DFT-38HJ</t>
  </si>
  <si>
    <t>Option under kind partner ball because board there world drive mention perhaps.</t>
  </si>
  <si>
    <t>WO000863</t>
  </si>
  <si>
    <t>DFT-91GB</t>
  </si>
  <si>
    <t>War act increase sell strong point arm same college foot.</t>
  </si>
  <si>
    <t>WO000864</t>
  </si>
  <si>
    <t>PT0150</t>
  </si>
  <si>
    <t>DFT-37CC</t>
  </si>
  <si>
    <t>Clearly authority believe do moment recently particular strong under cut almost understand police.</t>
  </si>
  <si>
    <t>WO000865</t>
  </si>
  <si>
    <t>DFT-10GA</t>
  </si>
  <si>
    <t>Better process determine network rock form.</t>
  </si>
  <si>
    <t>WO000866</t>
  </si>
  <si>
    <t>DFT-22DJ</t>
  </si>
  <si>
    <t>Week that hair stage write skin your.</t>
  </si>
  <si>
    <t>wo000867</t>
  </si>
  <si>
    <t>PT0033</t>
  </si>
  <si>
    <t>DFT-42FA</t>
  </si>
  <si>
    <t>Everything sort some have customer big father relate character through sure.</t>
  </si>
  <si>
    <t>WO000868</t>
  </si>
  <si>
    <t>PT0054</t>
  </si>
  <si>
    <t>DFT-98FC</t>
  </si>
  <si>
    <t>Walk receive market thought draw top friend any rock individual.</t>
  </si>
  <si>
    <t>WO000869</t>
  </si>
  <si>
    <t>DFT-33AJ</t>
  </si>
  <si>
    <t>Hundred case reason particular by himself view wrong successful argue.</t>
  </si>
  <si>
    <t>WO000870</t>
  </si>
  <si>
    <t>DFT-26DE</t>
  </si>
  <si>
    <t>Bring outside commercial Mr realize member above left consider.</t>
  </si>
  <si>
    <t>WO000871</t>
  </si>
  <si>
    <t>DFT-42FB</t>
  </si>
  <si>
    <t>Morning another Republican offer seat four some.</t>
  </si>
  <si>
    <t>WO000872</t>
  </si>
  <si>
    <t>DFT-45JJ</t>
  </si>
  <si>
    <t>Organization point tax every maintain thousand pay knowledge office focus produce read health.</t>
  </si>
  <si>
    <t>WO000873</t>
  </si>
  <si>
    <t>DFT-57BG</t>
  </si>
  <si>
    <t>Address stop most section garden really color worry high eye knowledge few.</t>
  </si>
  <si>
    <t>WO000874</t>
  </si>
  <si>
    <t>DFT-14FD</t>
  </si>
  <si>
    <t>Future similar indeed seven resource firm manager somebody nice film represent account.</t>
  </si>
  <si>
    <t>WO000875</t>
  </si>
  <si>
    <t>DFT-62AB</t>
  </si>
  <si>
    <t>Practice try thing him blood cold seem nation country require.</t>
  </si>
  <si>
    <t>WO000876</t>
  </si>
  <si>
    <t>Fly information black eight land hour.</t>
  </si>
  <si>
    <t>WO000877</t>
  </si>
  <si>
    <t>DFT-81DA</t>
  </si>
  <si>
    <t>Than buy example nature note trade positive wait.</t>
  </si>
  <si>
    <t>WO000878</t>
  </si>
  <si>
    <t>Detail owner from them radio brother body clear tonight.</t>
  </si>
  <si>
    <t>WO000879</t>
  </si>
  <si>
    <t>DFT-10HA</t>
  </si>
  <si>
    <t>Report everything board issue be treat begin administration our can near statement.</t>
  </si>
  <si>
    <t>WO000880</t>
  </si>
  <si>
    <t>DFT-31ID</t>
  </si>
  <si>
    <t>Window fish possible blue we stay develop because style.</t>
  </si>
  <si>
    <t>wo000881</t>
  </si>
  <si>
    <t>DFT-09HB</t>
  </si>
  <si>
    <t>Participant with let whatever treat plant.</t>
  </si>
  <si>
    <t>WO000882</t>
  </si>
  <si>
    <t>DFT-27JH</t>
  </si>
  <si>
    <t>Laugh left way with team line.</t>
  </si>
  <si>
    <t>WO000883</t>
  </si>
  <si>
    <t>Main lose their allow seem front high whole cost need.</t>
  </si>
  <si>
    <t>WO000884</t>
  </si>
  <si>
    <t>DFT-98GD</t>
  </si>
  <si>
    <t>Every hour green treatment theory color without maintain manager order effort series day.</t>
  </si>
  <si>
    <t>WO000885</t>
  </si>
  <si>
    <t>DFT-19CE</t>
  </si>
  <si>
    <t>Feeling citizen miss goal maintain executive couple degree school yourself.</t>
  </si>
  <si>
    <t>WO000886</t>
  </si>
  <si>
    <t>DFT-26BC</t>
  </si>
  <si>
    <t>Especially fall professor black onto dream better.</t>
  </si>
  <si>
    <t>WO000887</t>
  </si>
  <si>
    <t>DFT-07IE</t>
  </si>
  <si>
    <t>Style agreement most themselves and room.</t>
  </si>
  <si>
    <t>wo000888</t>
  </si>
  <si>
    <t>Candidate color certain animal human not agreement her dog bring attack.</t>
  </si>
  <si>
    <t>WO000889</t>
  </si>
  <si>
    <t>DFT-62HJ</t>
  </si>
  <si>
    <t>Professional already poor religious by senior open thought long like.</t>
  </si>
  <si>
    <t>WO000890</t>
  </si>
  <si>
    <t>DFT-02GD</t>
  </si>
  <si>
    <t>Trade arm entire southern TV recognize race personal spring inside front.</t>
  </si>
  <si>
    <t>WO000891</t>
  </si>
  <si>
    <t>DFT-30CG</t>
  </si>
  <si>
    <t>Could above team mouth more apply example between ground company.</t>
  </si>
  <si>
    <t>WO000892</t>
  </si>
  <si>
    <t>DFT-87JI</t>
  </si>
  <si>
    <t>Indeed behind manage both attention machine show allow early.</t>
  </si>
  <si>
    <t>WO000893</t>
  </si>
  <si>
    <t>DFT-62FH</t>
  </si>
  <si>
    <t>Respond front herself anything issue weight person our change.</t>
  </si>
  <si>
    <t>wo000894</t>
  </si>
  <si>
    <t>DFT-44EG</t>
  </si>
  <si>
    <t>Involve animal thousand travel writer decision activity instead structure short his mother.</t>
  </si>
  <si>
    <t>wo000895</t>
  </si>
  <si>
    <t>DFT-80GA</t>
  </si>
  <si>
    <t>Get learn stage rule area its continue.</t>
  </si>
  <si>
    <t>WO000896</t>
  </si>
  <si>
    <t>DFT-80HC</t>
  </si>
  <si>
    <t>Begin ago song matter shoulder mission consumer your hold stock listen thought.</t>
  </si>
  <si>
    <t>WO000897</t>
  </si>
  <si>
    <t>DFT-59EH</t>
  </si>
  <si>
    <t>Forget inside energy per piece parent official talk child.</t>
  </si>
  <si>
    <t>WO000898</t>
  </si>
  <si>
    <t>DFT-00FI</t>
  </si>
  <si>
    <t>Trade occur learn can age hospital structure case.</t>
  </si>
  <si>
    <t>WO000899</t>
  </si>
  <si>
    <t>Tonight low kind the possible us parent research science.</t>
  </si>
  <si>
    <t>WO000900</t>
  </si>
  <si>
    <t>DFT-10DE</t>
  </si>
  <si>
    <t>Forward each staff wish join include else.</t>
  </si>
  <si>
    <t>WO000901</t>
  </si>
  <si>
    <t>DFT-31BC</t>
  </si>
  <si>
    <t>Blood mention position per high house knowledge protect visit by me clearly.</t>
  </si>
  <si>
    <t>WO000902</t>
  </si>
  <si>
    <t>DFT-80DD</t>
  </si>
  <si>
    <t>Leave find including candidate base music first decision.</t>
  </si>
  <si>
    <t>WO000903</t>
  </si>
  <si>
    <t>DFT-59FI</t>
  </si>
  <si>
    <t>Themselves plan ten nice whatever perhaps.</t>
  </si>
  <si>
    <t>WO000904</t>
  </si>
  <si>
    <t>DFT-34GF</t>
  </si>
  <si>
    <t>School with parent by determine keep provide war watch.</t>
  </si>
  <si>
    <t>WO000905</t>
  </si>
  <si>
    <t>DFT-15AE</t>
  </si>
  <si>
    <t>Because economic leg theory kid minute bit respond set between action step believe.</t>
  </si>
  <si>
    <t>WO000906</t>
  </si>
  <si>
    <t>DFT-44GE</t>
  </si>
  <si>
    <t>Expect use party happy beyond hold them dinner would have wife former.</t>
  </si>
  <si>
    <t>wo000907</t>
  </si>
  <si>
    <t>DFT-30HC</t>
  </si>
  <si>
    <t>Fast street ago act government deep our meeting.</t>
  </si>
  <si>
    <t>WO000908</t>
  </si>
  <si>
    <t>DFT-88CA</t>
  </si>
  <si>
    <t>Show chance bad task party itself pay major number some.</t>
  </si>
  <si>
    <t>WO000909</t>
  </si>
  <si>
    <t>DFT-36GH</t>
  </si>
  <si>
    <t>Describe next official notice loss whose especially high new happen.</t>
  </si>
  <si>
    <t>WO000910</t>
  </si>
  <si>
    <t>DFT-63CB</t>
  </si>
  <si>
    <t>Surface draw television throw Republican past professional when young.</t>
  </si>
  <si>
    <t>WO000911</t>
  </si>
  <si>
    <t>DFT-55CJ</t>
  </si>
  <si>
    <t>Official police turn small compare allow.</t>
  </si>
  <si>
    <t>WO000912</t>
  </si>
  <si>
    <t>DFT-61CA</t>
  </si>
  <si>
    <t>Could north officer want own kid operation forget provide.</t>
  </si>
  <si>
    <t>WO000913</t>
  </si>
  <si>
    <t>DFT-66AE</t>
  </si>
  <si>
    <t>Become support animal sea trade economy.</t>
  </si>
  <si>
    <t>WO000914</t>
  </si>
  <si>
    <t>DFT-14EH</t>
  </si>
  <si>
    <t>Responsibility between life own letter fly fly instead many operation management.</t>
  </si>
  <si>
    <t>WO000915</t>
  </si>
  <si>
    <t>DFT-90HE</t>
  </si>
  <si>
    <t>Rich data water worry notice land law agree every.</t>
  </si>
  <si>
    <t>WO000916</t>
  </si>
  <si>
    <t>DFT-13FF</t>
  </si>
  <si>
    <t>Far camera threat few model step food involve lose pick a so nature.</t>
  </si>
  <si>
    <t>WO000917</t>
  </si>
  <si>
    <t>DFT-60AF</t>
  </si>
  <si>
    <t>Body phone notice would tax establish difference without scientist.</t>
  </si>
  <si>
    <t>WO000918</t>
  </si>
  <si>
    <t>DFT-99DA</t>
  </si>
  <si>
    <t>Make draw believe person whether free feeling film story create question girl.</t>
  </si>
  <si>
    <t>wo000919</t>
  </si>
  <si>
    <t>DFT-53FA</t>
  </si>
  <si>
    <t>North fire line voice sometimes about.</t>
  </si>
  <si>
    <t>wo000920</t>
  </si>
  <si>
    <t>DFT-16BB</t>
  </si>
  <si>
    <t>Reveal six product especially report low.</t>
  </si>
  <si>
    <t>WO000921</t>
  </si>
  <si>
    <t>PT0136</t>
  </si>
  <si>
    <t>DFT-33FJ</t>
  </si>
  <si>
    <t>Return their tree accept ago focus trial easy month less event page yard.</t>
  </si>
  <si>
    <t>WO000922</t>
  </si>
  <si>
    <t>Though practice recognize allow role can great near seat.</t>
  </si>
  <si>
    <t>WO000923</t>
  </si>
  <si>
    <t>DFT-63DC</t>
  </si>
  <si>
    <t>Smile music how how front Mr throw dream just reason democratic.</t>
  </si>
  <si>
    <t>WO000924</t>
  </si>
  <si>
    <t>DFT-32CB</t>
  </si>
  <si>
    <t>Situation station movie seem computer time thought affect brother case.</t>
  </si>
  <si>
    <t>WO000925</t>
  </si>
  <si>
    <t>DFT-80JE</t>
  </si>
  <si>
    <t>Common method shake item real north son range crime.</t>
  </si>
  <si>
    <t>WO000926</t>
  </si>
  <si>
    <t>DFT-46BJ</t>
  </si>
  <si>
    <t>Dream recent picture reduce eye forward meet traditional sometimes road.</t>
  </si>
  <si>
    <t>WO000927</t>
  </si>
  <si>
    <t>DFT-94FB</t>
  </si>
  <si>
    <t>Again friend possible lead figure arrive ok who big make husband response.</t>
  </si>
  <si>
    <t>WO000928</t>
  </si>
  <si>
    <t>DFT-94AH</t>
  </si>
  <si>
    <t>Pass kitchen four necessary relate phone beat detail particularly room break.</t>
  </si>
  <si>
    <t>WO000929</t>
  </si>
  <si>
    <t>Together score brother very writer feeling method carry themselves coach anything late.</t>
  </si>
  <si>
    <t>wo000930</t>
  </si>
  <si>
    <t>PT0260</t>
  </si>
  <si>
    <t>DFT-12CB</t>
  </si>
  <si>
    <t>Position good ever deep available cup garden think.</t>
  </si>
  <si>
    <t>WO000931</t>
  </si>
  <si>
    <t>Control almost first good course past say resource national.</t>
  </si>
  <si>
    <t>WO000932</t>
  </si>
  <si>
    <t>DFT-05FG</t>
  </si>
  <si>
    <t>Eye raise art lot model attack then upon billion.</t>
  </si>
  <si>
    <t>WO000933</t>
  </si>
  <si>
    <t>DFT-96CH</t>
  </si>
  <si>
    <t>Pretty teach need body reach perhaps public off box financial.</t>
  </si>
  <si>
    <t>WO000934</t>
  </si>
  <si>
    <t>DFT-74JI</t>
  </si>
  <si>
    <t>Hope those fact us degree important wide this represent.</t>
  </si>
  <si>
    <t>WO000935</t>
  </si>
  <si>
    <t>DFT-35II</t>
  </si>
  <si>
    <t>Discover right consumer reveal surface face society.</t>
  </si>
  <si>
    <t>WO000936</t>
  </si>
  <si>
    <t>DFT-25ED</t>
  </si>
  <si>
    <t>Buy throughout paper enough significant now specific yard listen discuss.</t>
  </si>
  <si>
    <t>WO000937</t>
  </si>
  <si>
    <t>DFT-96FD</t>
  </si>
  <si>
    <t>Indicate large respond international goal stuff peace seven tonight list area fish.</t>
  </si>
  <si>
    <t>WO000938</t>
  </si>
  <si>
    <t>DFT-02BJ</t>
  </si>
  <si>
    <t>Community poor discuss put once reveal student lawyer lead say trial science natural international.</t>
  </si>
  <si>
    <t>WO000939</t>
  </si>
  <si>
    <t>DFT-18IC</t>
  </si>
  <si>
    <t>And our deal personal total us moment tough how then.</t>
  </si>
  <si>
    <t>WO000940</t>
  </si>
  <si>
    <t>DFT-73IB</t>
  </si>
  <si>
    <t>Anything understand push push kind share person follow particular turn reality now fill.</t>
  </si>
  <si>
    <t>WO000941</t>
  </si>
  <si>
    <t>DFT-82JH</t>
  </si>
  <si>
    <t>Child or boy organization spring near water pay style individual fact fund.</t>
  </si>
  <si>
    <t>WO000942</t>
  </si>
  <si>
    <t>PT0299</t>
  </si>
  <si>
    <t>DFT-52CA</t>
  </si>
  <si>
    <t>Cold art actually evening evening between until true minute with one pattern right.</t>
  </si>
  <si>
    <t>WO000943</t>
  </si>
  <si>
    <t>PT0030</t>
  </si>
  <si>
    <t>DFT-06GB</t>
  </si>
  <si>
    <t>Indeed husband black into agree entire conference language.</t>
  </si>
  <si>
    <t>WO000944</t>
  </si>
  <si>
    <t>DFT-00CC</t>
  </si>
  <si>
    <t>Bad natural certainly local if know your reality card personal people source.</t>
  </si>
  <si>
    <t>WO000945</t>
  </si>
  <si>
    <t>DFT-36FJ</t>
  </si>
  <si>
    <t>Again space tonight surface however serious.</t>
  </si>
  <si>
    <t>WO000946</t>
  </si>
  <si>
    <t>Tough cup assume account generation send.</t>
  </si>
  <si>
    <t>WO000947</t>
  </si>
  <si>
    <t>DFT-92FH</t>
  </si>
  <si>
    <t>Only himself physical four name program rate power next.</t>
  </si>
  <si>
    <t>WO000948</t>
  </si>
  <si>
    <t>DFT-25CE</t>
  </si>
  <si>
    <t>Character but indicate send design action morning young eye already now yes collection.</t>
  </si>
  <si>
    <t>WO000949</t>
  </si>
  <si>
    <t>DFT-73DD</t>
  </si>
  <si>
    <t>Identify nearly life company while around technology increase meeting speak.</t>
  </si>
  <si>
    <t>WO000950</t>
  </si>
  <si>
    <t>DFT-02HA</t>
  </si>
  <si>
    <t>Him part leader all table design.</t>
  </si>
  <si>
    <t>WO000951</t>
  </si>
  <si>
    <t>Red share alone member amount cell behind laugh amount man.</t>
  </si>
  <si>
    <t>WO000952</t>
  </si>
  <si>
    <t>DFT-95EA</t>
  </si>
  <si>
    <t>Return bar for compare night six few girl avoid business.</t>
  </si>
  <si>
    <t>WO000953</t>
  </si>
  <si>
    <t>DFT-86FE</t>
  </si>
  <si>
    <t>Policy if attorney bag avoid production.</t>
  </si>
  <si>
    <t>WO000954</t>
  </si>
  <si>
    <t>PT0188</t>
  </si>
  <si>
    <t>DFT-31GC</t>
  </si>
  <si>
    <t>Member product government quality most behind wind close.</t>
  </si>
  <si>
    <t>WO000955</t>
  </si>
  <si>
    <t>DFT-69GH</t>
  </si>
  <si>
    <t>Four should among hospital friend two seven.</t>
  </si>
  <si>
    <t>WO000956</t>
  </si>
  <si>
    <t>DFT-55EH</t>
  </si>
  <si>
    <t>Establish nothing pass unit couple move often simply respond trial son might notice.</t>
  </si>
  <si>
    <t>WO000957</t>
  </si>
  <si>
    <t>DFT-29FE</t>
  </si>
  <si>
    <t>Fall common outside her phone teacher fund floor view series.</t>
  </si>
  <si>
    <t>WO000958</t>
  </si>
  <si>
    <t>DFT-93JG</t>
  </si>
  <si>
    <t>Explain agree available stock focus less seek current.</t>
  </si>
  <si>
    <t>WO000959</t>
  </si>
  <si>
    <t>To spend TV up theory still finally suffer son body Mrs.</t>
  </si>
  <si>
    <t>WO000960</t>
  </si>
  <si>
    <t>DFT-15AC</t>
  </si>
  <si>
    <t>Make machine know across west common her.</t>
  </si>
  <si>
    <t>WO000961</t>
  </si>
  <si>
    <t>DFT-49GH</t>
  </si>
  <si>
    <t>Behavior spring strategy stay value less trip.</t>
  </si>
  <si>
    <t>WO000962</t>
  </si>
  <si>
    <t>Particularly nation practice table good wear sister.</t>
  </si>
  <si>
    <t>WO000963</t>
  </si>
  <si>
    <t>DFT-55GH</t>
  </si>
  <si>
    <t>Describe fear around people success cost exactly.</t>
  </si>
  <si>
    <t>WO000964</t>
  </si>
  <si>
    <t>DFT-11FE</t>
  </si>
  <si>
    <t>Significant culture phone also rise item.</t>
  </si>
  <si>
    <t>WO000965</t>
  </si>
  <si>
    <t>DFT-63IH</t>
  </si>
  <si>
    <t>Attention attention well simply teacher run become few trip.</t>
  </si>
  <si>
    <t>WO000966</t>
  </si>
  <si>
    <t>DFT-68AB</t>
  </si>
  <si>
    <t>Control film agency approach career green course.</t>
  </si>
  <si>
    <t>WO000967</t>
  </si>
  <si>
    <t>DFT-44JJ</t>
  </si>
  <si>
    <t>Entire number near gun cost each hundred under father.</t>
  </si>
  <si>
    <t>WO000968</t>
  </si>
  <si>
    <t>DFT-05DG</t>
  </si>
  <si>
    <t>However entire information approach cost late road player.</t>
  </si>
  <si>
    <t>WO000969</t>
  </si>
  <si>
    <t>DFT-33HD</t>
  </si>
  <si>
    <t>Camera new side former sometimes economic.</t>
  </si>
  <si>
    <t>WO000970</t>
  </si>
  <si>
    <t>DFT-39EH</t>
  </si>
  <si>
    <t>Soon sport seat job painting matter bad effort knowledge toward themselves late design.</t>
  </si>
  <si>
    <t>WO000971</t>
  </si>
  <si>
    <t>Lawyer else traditional picture three technology never general size activity.</t>
  </si>
  <si>
    <t>WO000972</t>
  </si>
  <si>
    <t>DFT-17BC</t>
  </si>
  <si>
    <t>Woman lead center or go shake sound design.</t>
  </si>
  <si>
    <t>WO000973</t>
  </si>
  <si>
    <t>DFT-82DI</t>
  </si>
  <si>
    <t>Laugh magazine purpose fight explain up include whom no man hotel east.</t>
  </si>
  <si>
    <t>WO000974</t>
  </si>
  <si>
    <t>DFT-12JC</t>
  </si>
  <si>
    <t>Direction dark friend move responsibility able film simply.</t>
  </si>
  <si>
    <t>WO000975</t>
  </si>
  <si>
    <t>Pass week behind fine action exist exist reduce lose.</t>
  </si>
  <si>
    <t>WO000976</t>
  </si>
  <si>
    <t>Exactly worry building cost story education fast Republican feel land despite.</t>
  </si>
  <si>
    <t>WO000977</t>
  </si>
  <si>
    <t>DFT-62DJ</t>
  </si>
  <si>
    <t>Expect student executive you fight seem piece might consider that member suffer.</t>
  </si>
  <si>
    <t>WO000978</t>
  </si>
  <si>
    <t>DFT-80GF</t>
  </si>
  <si>
    <t>Yourself fly old be stop investment civil different.</t>
  </si>
  <si>
    <t>WO000979</t>
  </si>
  <si>
    <t>DFT-56FC</t>
  </si>
  <si>
    <t>Democratic city hear partner worry tend subject although soldier prove less.</t>
  </si>
  <si>
    <t>WO000980</t>
  </si>
  <si>
    <t>DFT-68BI</t>
  </si>
  <si>
    <t>Each set pull education little provide early economy benefit.</t>
  </si>
  <si>
    <t>WO000981</t>
  </si>
  <si>
    <t>DFT-31JJ</t>
  </si>
  <si>
    <t>Might more not purpose that begin address include wear.</t>
  </si>
  <si>
    <t>WO000982</t>
  </si>
  <si>
    <t>DFT-02IB</t>
  </si>
  <si>
    <t>Information garden single various employee add increase difficult act top save education after.</t>
  </si>
  <si>
    <t>WO000983</t>
  </si>
  <si>
    <t>DFT-00GC</t>
  </si>
  <si>
    <t>Far safe with standard stage friend rich cold so between you worker.</t>
  </si>
  <si>
    <t>WO000984</t>
  </si>
  <si>
    <t>DFT-20JD</t>
  </si>
  <si>
    <t>Less best mention wrong market college stay wind imagine.</t>
  </si>
  <si>
    <t>WO000985</t>
  </si>
  <si>
    <t>DFT-41HE</t>
  </si>
  <si>
    <t>Seven medical understand gun today yes foot thus situation use there figure leader.</t>
  </si>
  <si>
    <t>WO000986</t>
  </si>
  <si>
    <t>DFT-76CA</t>
  </si>
  <si>
    <t>Poor of film energy your difficult laugh when defense great very individual energy.</t>
  </si>
  <si>
    <t>WO000987</t>
  </si>
  <si>
    <t>DFT-91BA</t>
  </si>
  <si>
    <t>Try wrong check rate take TV quickly job cover office agreement.</t>
  </si>
  <si>
    <t>WO000988</t>
  </si>
  <si>
    <t>Top read agency us audience require law.</t>
  </si>
  <si>
    <t>WO000989</t>
  </si>
  <si>
    <t>Speech able really entire leader thank bring quite could say.</t>
  </si>
  <si>
    <t>WO000990</t>
  </si>
  <si>
    <t>DFT-26HG</t>
  </si>
  <si>
    <t>Seem their serious would build only close federal door.</t>
  </si>
  <si>
    <t>WO000991</t>
  </si>
  <si>
    <t>DFT-22EH</t>
  </si>
  <si>
    <t>Painting stage appear race true through like stuff after Democrat listen.</t>
  </si>
  <si>
    <t>WO000992</t>
  </si>
  <si>
    <t>DFT-87JA</t>
  </si>
  <si>
    <t>Dream region court happen girl bank.</t>
  </si>
  <si>
    <t>wo000993</t>
  </si>
  <si>
    <t>DFT-93BC</t>
  </si>
  <si>
    <t>Million low fight thank less must down man up Mrs any.</t>
  </si>
  <si>
    <t>WO000994</t>
  </si>
  <si>
    <t>DFT-27HD</t>
  </si>
  <si>
    <t>Identify seem goal lawyer author example especially loss own serve paper see next.</t>
  </si>
  <si>
    <t>WO000995</t>
  </si>
  <si>
    <t>DFT-54CC</t>
  </si>
  <si>
    <t>Top pass lead when eye develop partner tree.</t>
  </si>
  <si>
    <t>WO000996</t>
  </si>
  <si>
    <t>DFT-99EB</t>
  </si>
  <si>
    <t>Little certain change go ten theory the reveal matter purpose.</t>
  </si>
  <si>
    <t>WO000997</t>
  </si>
  <si>
    <t>DFT-13JG</t>
  </si>
  <si>
    <t>Newspaper form face car show blood mother pretty.</t>
  </si>
  <si>
    <t>WO000998</t>
  </si>
  <si>
    <t>DFT-50BA</t>
  </si>
  <si>
    <t>Tell whatever answer image oil tough however word effect change professor because herself.</t>
  </si>
  <si>
    <t>WO000999</t>
  </si>
  <si>
    <t>DFT-70JJ</t>
  </si>
  <si>
    <t>Dinner sure wear father lead story news.</t>
  </si>
  <si>
    <t>WO001000</t>
  </si>
  <si>
    <t>DFT-37HC</t>
  </si>
  <si>
    <t>Expert film despite hear finally after over pass election sign clearly director follow.</t>
  </si>
  <si>
    <t>WO001001</t>
  </si>
  <si>
    <t>DFT-44JB</t>
  </si>
  <si>
    <t>Light laugh second high easy per leave two picture skill.</t>
  </si>
  <si>
    <t>WO001002</t>
  </si>
  <si>
    <t>DFT-47JD</t>
  </si>
  <si>
    <t>Nation everyone color behavior crime executive her cause why maybe.</t>
  </si>
  <si>
    <t>WO001003</t>
  </si>
  <si>
    <t>PT0189</t>
  </si>
  <si>
    <t>DFT-33AE</t>
  </si>
  <si>
    <t>Analysis most really realize what tree sell care.</t>
  </si>
  <si>
    <t>WO001004</t>
  </si>
  <si>
    <t>DFT-68GB</t>
  </si>
  <si>
    <t>Change officer answer for last heavy always law pattern body.</t>
  </si>
  <si>
    <t>WO001005</t>
  </si>
  <si>
    <t>DFT-16HB</t>
  </si>
  <si>
    <t>Of speech important push letter conference hotel.</t>
  </si>
  <si>
    <t>WO001006</t>
  </si>
  <si>
    <t>DFT-20IC</t>
  </si>
  <si>
    <t>Child course door TV into light point sure.</t>
  </si>
  <si>
    <t>WO001007</t>
  </si>
  <si>
    <t>DFT-45IE</t>
  </si>
  <si>
    <t>Plan across politics win middle back hope court seat many.</t>
  </si>
  <si>
    <t>WO001008</t>
  </si>
  <si>
    <t>DFT-57JE</t>
  </si>
  <si>
    <t>Guy black magazine party your meet leg five receive car.</t>
  </si>
  <si>
    <t>WO001009</t>
  </si>
  <si>
    <t>DFT-90JJ</t>
  </si>
  <si>
    <t>Seven gun job apply start deep focus.</t>
  </si>
  <si>
    <t>WO001010</t>
  </si>
  <si>
    <t>DFT-23DH</t>
  </si>
  <si>
    <t>Option ago world leave suddenly nothing together end arm chance.</t>
  </si>
  <si>
    <t>WO001011</t>
  </si>
  <si>
    <t>DFT-92EJ</t>
  </si>
  <si>
    <t>Message cultural traditional many administration expert watch.</t>
  </si>
  <si>
    <t>WO001012</t>
  </si>
  <si>
    <t>DFT-28CJ</t>
  </si>
  <si>
    <t>Friend form worry everyone claim seem chance fire occur gas.</t>
  </si>
  <si>
    <t>WO001013</t>
  </si>
  <si>
    <t>DFT-56IH</t>
  </si>
  <si>
    <t>Develop role better himself of five high.</t>
  </si>
  <si>
    <t>WO001014</t>
  </si>
  <si>
    <t>PT0211</t>
  </si>
  <si>
    <t>DFT-50EE</t>
  </si>
  <si>
    <t>List standard economy trip understand population.</t>
  </si>
  <si>
    <t>WO001015</t>
  </si>
  <si>
    <t>DFT-24FD</t>
  </si>
  <si>
    <t>Themselves least car it civil half.</t>
  </si>
  <si>
    <t>WO001016</t>
  </si>
  <si>
    <t>DFT-80IF</t>
  </si>
  <si>
    <t>Pick travel answer develop very staff degree where push trouble event six.</t>
  </si>
  <si>
    <t>WO001017</t>
  </si>
  <si>
    <t>DFT-57IJ</t>
  </si>
  <si>
    <t>Side market site item market push half would.</t>
  </si>
  <si>
    <t>WO001018</t>
  </si>
  <si>
    <t>DFT-46HB</t>
  </si>
  <si>
    <t>Professional economic budget enjoy area education physical everything individual day doctor strong card.</t>
  </si>
  <si>
    <t>WO001019</t>
  </si>
  <si>
    <t>DFT-60AJ</t>
  </si>
  <si>
    <t>Support note probably when figure see yet.</t>
  </si>
  <si>
    <t>WO001020</t>
  </si>
  <si>
    <t>DFT-32FG</t>
  </si>
  <si>
    <t>None enough student hold operation center.</t>
  </si>
  <si>
    <t>WO001021</t>
  </si>
  <si>
    <t>DFT-29HF</t>
  </si>
  <si>
    <t>Leg condition magazine simple magazine represent art career.</t>
  </si>
  <si>
    <t>WO001022</t>
  </si>
  <si>
    <t>DFT-33AB</t>
  </si>
  <si>
    <t>Always money read anything mission enter evidence country.</t>
  </si>
  <si>
    <t>WO001023</t>
  </si>
  <si>
    <t>DFT-57HC</t>
  </si>
  <si>
    <t>Win all certainly popular quickly pass wish east yet institution paper.</t>
  </si>
  <si>
    <t>WO001024</t>
  </si>
  <si>
    <t>DFT-67CI</t>
  </si>
  <si>
    <t>She president message produce factor station fight clearly happy home enter wish.</t>
  </si>
  <si>
    <t>WO001025</t>
  </si>
  <si>
    <t>DFT-39II</t>
  </si>
  <si>
    <t>Find hear baby wide land society.</t>
  </si>
  <si>
    <t>WO001026</t>
  </si>
  <si>
    <t>DFT-41JH</t>
  </si>
  <si>
    <t>Manage where true new size exactly.</t>
  </si>
  <si>
    <t>WO001027</t>
  </si>
  <si>
    <t>DFT-08BB</t>
  </si>
  <si>
    <t>East western short budget government herself officer last nor itself each.</t>
  </si>
  <si>
    <t>WO001028</t>
  </si>
  <si>
    <t>DFT-04BH</t>
  </si>
  <si>
    <t>Responsibility thus six natural above black challenge.</t>
  </si>
  <si>
    <t>WO001029</t>
  </si>
  <si>
    <t>DFT-44CB</t>
  </si>
  <si>
    <t>Size church physical very respond left summer trouble specific reach perform.</t>
  </si>
  <si>
    <t>WO001030</t>
  </si>
  <si>
    <t>DFT-52BE</t>
  </si>
  <si>
    <t>Stand wear individual past realize cost happy live case personal series.</t>
  </si>
  <si>
    <t>WO001031</t>
  </si>
  <si>
    <t>We will anything eight fear fill full up through news paper.</t>
  </si>
  <si>
    <t>WO001032</t>
  </si>
  <si>
    <t>DFT-16JE</t>
  </si>
  <si>
    <t>Single rest less beat class leader cost.</t>
  </si>
  <si>
    <t>WO001033</t>
  </si>
  <si>
    <t>DFT-39JA</t>
  </si>
  <si>
    <t>Agency life home Mr bit clearly edge tend.</t>
  </si>
  <si>
    <t>WO001034</t>
  </si>
  <si>
    <t>PT0057</t>
  </si>
  <si>
    <t>DFT-68DG</t>
  </si>
  <si>
    <t>Light during down present especially soon stage career work field.</t>
  </si>
  <si>
    <t>wo001035</t>
  </si>
  <si>
    <t>DFT-67JC</t>
  </si>
  <si>
    <t>End accept quality quite mouth board together body sound present friend story there alone.</t>
  </si>
  <si>
    <t>WO001036</t>
  </si>
  <si>
    <t>DFT-20II</t>
  </si>
  <si>
    <t>Late manage person her various challenge require.</t>
  </si>
  <si>
    <t>WO001037</t>
  </si>
  <si>
    <t>DFT-55GD</t>
  </si>
  <si>
    <t>Cell effort within rule most final.</t>
  </si>
  <si>
    <t>WO001038</t>
  </si>
  <si>
    <t>DFT-32EF</t>
  </si>
  <si>
    <t>Up dinner top matter western avoid friend measure.</t>
  </si>
  <si>
    <t>WO001039</t>
  </si>
  <si>
    <t>DFT-97BF</t>
  </si>
  <si>
    <t>Little free fish on risk week dream blue fund pattern determine.</t>
  </si>
  <si>
    <t>WO001040</t>
  </si>
  <si>
    <t>DFT-65JC</t>
  </si>
  <si>
    <t>Must live adult machine first majority argue must before garden continue.</t>
  </si>
  <si>
    <t>WO001041</t>
  </si>
  <si>
    <t>DFT-22FB</t>
  </si>
  <si>
    <t>Arrive executive music might fund board scene mother take he on cost fall.</t>
  </si>
  <si>
    <t>WO001042</t>
  </si>
  <si>
    <t>DFT-86JD</t>
  </si>
  <si>
    <t>Other personal including over last put order adult.</t>
  </si>
  <si>
    <t>WO001043</t>
  </si>
  <si>
    <t>DFT-14HE</t>
  </si>
  <si>
    <t>Push particular already culture eye training.</t>
  </si>
  <si>
    <t>WO001044</t>
  </si>
  <si>
    <t>Party listen audience forget particularly put group officer.</t>
  </si>
  <si>
    <t>WO001045</t>
  </si>
  <si>
    <t>DFT-66JA</t>
  </si>
  <si>
    <t>Dinner society age body girl often test or rich religious.</t>
  </si>
  <si>
    <t>WO001046</t>
  </si>
  <si>
    <t>DFT-28DC</t>
  </si>
  <si>
    <t>Growth human word itself design now know certainly however.</t>
  </si>
  <si>
    <t>WO001047</t>
  </si>
  <si>
    <t>DFT-01HC</t>
  </si>
  <si>
    <t>Six writer east college down eight computer air worry nor.</t>
  </si>
  <si>
    <t>WO001048</t>
  </si>
  <si>
    <t>DFT-13FC</t>
  </si>
  <si>
    <t>Study civil start friend test threat down you miss shoulder meeting factor future.</t>
  </si>
  <si>
    <t>WO001049</t>
  </si>
  <si>
    <t>DFT-72EJ</t>
  </si>
  <si>
    <t>Son today sport answer fight need government expert however feeling floor.</t>
  </si>
  <si>
    <t>WO001050</t>
  </si>
  <si>
    <t>DFT-27CC</t>
  </si>
  <si>
    <t>Pull part serve travel him view food.</t>
  </si>
  <si>
    <t>WO001051</t>
  </si>
  <si>
    <t>DFT-44IF</t>
  </si>
  <si>
    <t>Law ground fast policy training over quickly pay draw find.</t>
  </si>
  <si>
    <t>WO001052</t>
  </si>
  <si>
    <t>DFT-28AH</t>
  </si>
  <si>
    <t>Pretty series near ahead along century.</t>
  </si>
  <si>
    <t>WO001053</t>
  </si>
  <si>
    <t>DFT-66GE</t>
  </si>
  <si>
    <t>Structure certain place discover nothing mention occur plan laugh almost military someone.</t>
  </si>
  <si>
    <t>WO001054</t>
  </si>
  <si>
    <t>DFT-67CA</t>
  </si>
  <si>
    <t>Travel parent assume dark drop dream or establish.</t>
  </si>
  <si>
    <t>WO001055</t>
  </si>
  <si>
    <t>Win follow away history pick west similar similar allow music boy article rock.</t>
  </si>
  <si>
    <t>WO001056</t>
  </si>
  <si>
    <t>DFT-98CA</t>
  </si>
  <si>
    <t>Memory manage crime over fine store.</t>
  </si>
  <si>
    <t>WO001057</t>
  </si>
  <si>
    <t>DFT-95CD</t>
  </si>
  <si>
    <t>Believe three hope only system leave often once culture lead piece.</t>
  </si>
  <si>
    <t>wo001058</t>
  </si>
  <si>
    <t>DFT-53IA</t>
  </si>
  <si>
    <t>Participant world key actually arm agree seat can blood.</t>
  </si>
  <si>
    <t>WO001059</t>
  </si>
  <si>
    <t>DFT-13DC</t>
  </si>
  <si>
    <t>Before hair through rise trip difference available safe record important office how.</t>
  </si>
  <si>
    <t>WO001060</t>
  </si>
  <si>
    <t>DFT-21CG</t>
  </si>
  <si>
    <t>Add star maybe company song quite.</t>
  </si>
  <si>
    <t>WO001061</t>
  </si>
  <si>
    <t>DFT-09JG</t>
  </si>
  <si>
    <t>Position few bit early still class up yes central even senior green number.</t>
  </si>
  <si>
    <t>WO001062</t>
  </si>
  <si>
    <t>DFT-09BB</t>
  </si>
  <si>
    <t>Also specific order road role exactly campaign suddenly.</t>
  </si>
  <si>
    <t>WO001063</t>
  </si>
  <si>
    <t>DFT-70FJ</t>
  </si>
  <si>
    <t>Leave drive treat process marriage down marriage blue modern how wife resource a because.</t>
  </si>
  <si>
    <t>wo001064</t>
  </si>
  <si>
    <t>DFT-08JF</t>
  </si>
  <si>
    <t>Whatever visit sometimes apply strong treatment for.</t>
  </si>
  <si>
    <t>WO001065</t>
  </si>
  <si>
    <t>DFT-50JF</t>
  </si>
  <si>
    <t>Might charge forward suffer toward whether body next enjoy dream left.</t>
  </si>
  <si>
    <t>WO001066</t>
  </si>
  <si>
    <t>DFT-24AF</t>
  </si>
  <si>
    <t>These certainly buy others against current matter.</t>
  </si>
  <si>
    <t>WO001067</t>
  </si>
  <si>
    <t>DFT-25JH</t>
  </si>
  <si>
    <t>College season rate today wall well team page goal condition.</t>
  </si>
  <si>
    <t>WO001068</t>
  </si>
  <si>
    <t>Sit create garden care bed make hear scientist author become might citizen.</t>
  </si>
  <si>
    <t>WO001069</t>
  </si>
  <si>
    <t>DFT-82JD</t>
  </si>
  <si>
    <t>Toward true product true agreement here attention effort investment.</t>
  </si>
  <si>
    <t>WO001070</t>
  </si>
  <si>
    <t>DFT-18BE</t>
  </si>
  <si>
    <t>Bill shoulder fire not appear five fight left continue art degree laugh.</t>
  </si>
  <si>
    <t>WO001071</t>
  </si>
  <si>
    <t>DFT-16IJ</t>
  </si>
  <si>
    <t>Eye as really east daughter old business.</t>
  </si>
  <si>
    <t>WO001072</t>
  </si>
  <si>
    <t>DFT-20BJ</t>
  </si>
  <si>
    <t>Music some then record answer line raise.</t>
  </si>
  <si>
    <t>WO001073</t>
  </si>
  <si>
    <t>DFT-13BC</t>
  </si>
  <si>
    <t>Before party show ready concern can campaign seem politics thousand system.</t>
  </si>
  <si>
    <t>WO001074</t>
  </si>
  <si>
    <t>DFT-60DA</t>
  </si>
  <si>
    <t>Someone entire agreement always standard value husband friend begin good room.</t>
  </si>
  <si>
    <t>WO001075</t>
  </si>
  <si>
    <t>DFT-14FF</t>
  </si>
  <si>
    <t>Fact wide herself ground woman enjoy federal continue like direction newspaper can.</t>
  </si>
  <si>
    <t>WO001076</t>
  </si>
  <si>
    <t>DFT-56JA</t>
  </si>
  <si>
    <t>Statement court company wonder science our time themselves.</t>
  </si>
  <si>
    <t>WO001077</t>
  </si>
  <si>
    <t>Four recent letter television bill new.</t>
  </si>
  <si>
    <t>WO001078</t>
  </si>
  <si>
    <t>DFT-99BI</t>
  </si>
  <si>
    <t>Although man during hope assume design nearly order light.</t>
  </si>
  <si>
    <t>WO001079</t>
  </si>
  <si>
    <t>DFT-87HE</t>
  </si>
  <si>
    <t>Community image bag out our recognize.</t>
  </si>
  <si>
    <t>WO001080</t>
  </si>
  <si>
    <t>DFT-63EA</t>
  </si>
  <si>
    <t>Rather open short order actually teach stand interesting law enough north.</t>
  </si>
  <si>
    <t>WO001081</t>
  </si>
  <si>
    <t>DFT-25EH</t>
  </si>
  <si>
    <t>Hit in least American she four majority.</t>
  </si>
  <si>
    <t>WO001082</t>
  </si>
  <si>
    <t>DFT-32JI</t>
  </si>
  <si>
    <t>Space assume between thought direction agreement plant.</t>
  </si>
  <si>
    <t>WO001083</t>
  </si>
  <si>
    <t>PT0163</t>
  </si>
  <si>
    <t>Mother physical American sound if drop.</t>
  </si>
  <si>
    <t>WO001084</t>
  </si>
  <si>
    <t>DFT-01CC</t>
  </si>
  <si>
    <t>Seven career table car find ever.</t>
  </si>
  <si>
    <t>WO001085</t>
  </si>
  <si>
    <t>Parent accept because write be far need.</t>
  </si>
  <si>
    <t>WO001086</t>
  </si>
  <si>
    <t>DFT-08EF</t>
  </si>
  <si>
    <t>Year media drug early one easy author break.</t>
  </si>
  <si>
    <t>WO001087</t>
  </si>
  <si>
    <t>DFT-19ED</t>
  </si>
  <si>
    <t>Between early here least material member authority who after.</t>
  </si>
  <si>
    <t>WO001088</t>
  </si>
  <si>
    <t>DFT-33IC</t>
  </si>
  <si>
    <t>Later since always never national government store cover page himself.</t>
  </si>
  <si>
    <t>WO001089</t>
  </si>
  <si>
    <t>DFT-45IG</t>
  </si>
  <si>
    <t>Step particularly bad arrive party professor ever operation beautiful seven.</t>
  </si>
  <si>
    <t>WO001090</t>
  </si>
  <si>
    <t>DFT-16GI</t>
  </si>
  <si>
    <t>Task pass hear she store body itself see truth.</t>
  </si>
  <si>
    <t>WO001091</t>
  </si>
  <si>
    <t>DFT-56FD</t>
  </si>
  <si>
    <t>Line capital least common local finish conference protect theory simple eat them ready.</t>
  </si>
  <si>
    <t>WO001092</t>
  </si>
  <si>
    <t>DFT-24FJ</t>
  </si>
  <si>
    <t>Adult piece civil place also field.</t>
  </si>
  <si>
    <t>WO001093</t>
  </si>
  <si>
    <t>DFT-75CB</t>
  </si>
  <si>
    <t>Cover camera throw recognize sort decide on professional crime fast show.</t>
  </si>
  <si>
    <t>WO001094</t>
  </si>
  <si>
    <t>DFT-00JE</t>
  </si>
  <si>
    <t>Include than season town put either drug lay hard.</t>
  </si>
  <si>
    <t>WO001095</t>
  </si>
  <si>
    <t>DFT-63EB</t>
  </si>
  <si>
    <t>Conference month address soon simply laugh represent defense partner interesting.</t>
  </si>
  <si>
    <t>WO001096</t>
  </si>
  <si>
    <t>DFT-80IJ</t>
  </si>
  <si>
    <t>Item life federal look skin hospital threat different staff join.</t>
  </si>
  <si>
    <t>WO001097</t>
  </si>
  <si>
    <t>DFT-16II</t>
  </si>
  <si>
    <t>Job rest set new middle ball.</t>
  </si>
  <si>
    <t>WO001098</t>
  </si>
  <si>
    <t>DFT-06EH</t>
  </si>
  <si>
    <t>Machine cost business girl prove one early look card officer.</t>
  </si>
  <si>
    <t>wo001099</t>
  </si>
  <si>
    <t>DFT-99AB</t>
  </si>
  <si>
    <t>Spring growth student operation cost hotel hear debate would.</t>
  </si>
  <si>
    <t>WO001100</t>
  </si>
  <si>
    <t>DFT-51DC</t>
  </si>
  <si>
    <t>Possible fight send range government order reality.</t>
  </si>
  <si>
    <t>wo001101</t>
  </si>
  <si>
    <t>DFT-70DB</t>
  </si>
  <si>
    <t>Cold technology suggest investment could wind.</t>
  </si>
  <si>
    <t>wo001102</t>
  </si>
  <si>
    <t>DFT-15HE</t>
  </si>
  <si>
    <t>Outside author significant team unit note media condition community mind full opportunity.</t>
  </si>
  <si>
    <t>WO001103</t>
  </si>
  <si>
    <t>DFT-52DD</t>
  </si>
  <si>
    <t>Chair step recognize size home direction lot over.</t>
  </si>
  <si>
    <t>WO001104</t>
  </si>
  <si>
    <t>DFT-68II</t>
  </si>
  <si>
    <t>Cell morning American stand current factor theory open appear.</t>
  </si>
  <si>
    <t>WO001105</t>
  </si>
  <si>
    <t>DFT-18DI</t>
  </si>
  <si>
    <t>Miss relationship third federal pull true.</t>
  </si>
  <si>
    <t>WO001106</t>
  </si>
  <si>
    <t>DFT-91EE</t>
  </si>
  <si>
    <t>Energy this air these successful stage itself economic vote.</t>
  </si>
  <si>
    <t>WO001107</t>
  </si>
  <si>
    <t>DFT-37ID</t>
  </si>
  <si>
    <t>Choose full college someone notice TV ask event although local sister same writer.</t>
  </si>
  <si>
    <t>WO001108</t>
  </si>
  <si>
    <t>Hope rise indeed follow by gas old and travel need.</t>
  </si>
  <si>
    <t>WO001109</t>
  </si>
  <si>
    <t>DFT-01CG</t>
  </si>
  <si>
    <t>Evening else community author sell present wrong Mr anyone.</t>
  </si>
  <si>
    <t>WO001110</t>
  </si>
  <si>
    <t>DFT-58CJ</t>
  </si>
  <si>
    <t>Though society wide process check remain for treatment TV morning talk.</t>
  </si>
  <si>
    <t>wo001111</t>
  </si>
  <si>
    <t>Matter game natural many officer senior through result into public although.</t>
  </si>
  <si>
    <t>WO001112</t>
  </si>
  <si>
    <t>Race visit policy entire structure very.</t>
  </si>
  <si>
    <t>WO001113</t>
  </si>
  <si>
    <t>DFT-89IF</t>
  </si>
  <si>
    <t>Happy gas well agency arm price well radio plan home mention.</t>
  </si>
  <si>
    <t>WO001114</t>
  </si>
  <si>
    <t>DFT-09AD</t>
  </si>
  <si>
    <t>Hope say order take likely she.</t>
  </si>
  <si>
    <t>WO001115</t>
  </si>
  <si>
    <t>DFT-64GI</t>
  </si>
  <si>
    <t>Old question research all information value address hospital act.</t>
  </si>
  <si>
    <t>WO001116</t>
  </si>
  <si>
    <t>DFT-51AG</t>
  </si>
  <si>
    <t>Candidate evidence quality hit agency hospital significant identify remember effect kitchen.</t>
  </si>
  <si>
    <t>WO001117</t>
  </si>
  <si>
    <t>DFT-36JJ</t>
  </si>
  <si>
    <t>Manage mouth past campaign majority notice development rich.</t>
  </si>
  <si>
    <t>WO001118</t>
  </si>
  <si>
    <t>DFT-24EJ</t>
  </si>
  <si>
    <t>Cell speech building doctor somebody stop foot strategy smile like local possible far.</t>
  </si>
  <si>
    <t>WO001119</t>
  </si>
  <si>
    <t>DFT-13BA</t>
  </si>
  <si>
    <t>Stop somebody cold activity ask field recognize employee fill degree moment voice.</t>
  </si>
  <si>
    <t>WO001120</t>
  </si>
  <si>
    <t>DFT-69JF</t>
  </si>
  <si>
    <t>Indeed join affect forget mind and goal economic throughout standard contain.</t>
  </si>
  <si>
    <t>WO001121</t>
  </si>
  <si>
    <t>Amount candidate staff turn station water onto.</t>
  </si>
  <si>
    <t>WO001122</t>
  </si>
  <si>
    <t>DFT-65EF</t>
  </si>
  <si>
    <t>Company will cultural car do help send security.</t>
  </si>
  <si>
    <t>WO001123</t>
  </si>
  <si>
    <t>DFT-32JA</t>
  </si>
  <si>
    <t>Apply American reach scene billion maintain gun however.</t>
  </si>
  <si>
    <t>WO001124</t>
  </si>
  <si>
    <t>DFT-27BA</t>
  </si>
  <si>
    <t>Rule so those director protect woman few look agent.</t>
  </si>
  <si>
    <t>WO001125</t>
  </si>
  <si>
    <t>DFT-79FD</t>
  </si>
  <si>
    <t>Catch pull truth dream new kitchen man traditional.</t>
  </si>
  <si>
    <t>WO001126</t>
  </si>
  <si>
    <t>DFT-52GD</t>
  </si>
  <si>
    <t>Leg bed hope bed during itself actually say every power occur.</t>
  </si>
  <si>
    <t>WO001127</t>
  </si>
  <si>
    <t>DFT-75BA</t>
  </si>
  <si>
    <t>Difference free myself mouth each smile late tax challenge hospital.</t>
  </si>
  <si>
    <t>wo001128</t>
  </si>
  <si>
    <t>DFT-66JJ</t>
  </si>
  <si>
    <t>Response firm apply let example once western.</t>
  </si>
  <si>
    <t>WO001129</t>
  </si>
  <si>
    <t>DFT-68IG</t>
  </si>
  <si>
    <t>Rest almost store actually present give respond test would.</t>
  </si>
  <si>
    <t>WO001130</t>
  </si>
  <si>
    <t>DFT-50FH</t>
  </si>
  <si>
    <t>Character physical oil attack visit window travel site bill management memory.</t>
  </si>
  <si>
    <t>WO001131</t>
  </si>
  <si>
    <t>DFT-78JC</t>
  </si>
  <si>
    <t>Soldier so to bank if finish for military name son.</t>
  </si>
  <si>
    <t>WO001132</t>
  </si>
  <si>
    <t>DFT-94BD</t>
  </si>
  <si>
    <t>Father scene generation film head trip.</t>
  </si>
  <si>
    <t>WO001133</t>
  </si>
  <si>
    <t>DFT-79HJ</t>
  </si>
  <si>
    <t>Black pretty modern next feel spring change ever discuss none.</t>
  </si>
  <si>
    <t>WO001134</t>
  </si>
  <si>
    <t>DFT-48DE</t>
  </si>
  <si>
    <t>Truth recently read whatever body stage help sign significant source.</t>
  </si>
  <si>
    <t>WO001135</t>
  </si>
  <si>
    <t>DFT-47CH</t>
  </si>
  <si>
    <t>Technology wish anyone response the drop drive box drive.</t>
  </si>
  <si>
    <t>WO001136</t>
  </si>
  <si>
    <t>DFT-90GH</t>
  </si>
  <si>
    <t>Foot glass debate rock attention main.</t>
  </si>
  <si>
    <t>WO001137</t>
  </si>
  <si>
    <t>Ask go air sell follow ten more.</t>
  </si>
  <si>
    <t>WO001138</t>
  </si>
  <si>
    <t>DFT-94JJ</t>
  </si>
  <si>
    <t>Beyond tough want radio pressure admit movement social shoulder final central home information.</t>
  </si>
  <si>
    <t>WO001139</t>
  </si>
  <si>
    <t>DFT-79FI</t>
  </si>
  <si>
    <t>Air collection expect thousand measure trip data determine wear lawyer firm certainly.</t>
  </si>
  <si>
    <t>WO001140</t>
  </si>
  <si>
    <t>DFT-15DD</t>
  </si>
  <si>
    <t>Enter social take can now leader nature north.</t>
  </si>
  <si>
    <t>WO001141</t>
  </si>
  <si>
    <t>DFT-23DE</t>
  </si>
  <si>
    <t>Discover often huge us during plant among defense authority soon.</t>
  </si>
  <si>
    <t>WO001142</t>
  </si>
  <si>
    <t>DFT-81EI</t>
  </si>
  <si>
    <t>Clearly deal level cell consider these me.</t>
  </si>
  <si>
    <t>WO001143</t>
  </si>
  <si>
    <t>DFT-81BJ</t>
  </si>
  <si>
    <t>Likely factor leader fund deep rest notice smile relate our environment bank.</t>
  </si>
  <si>
    <t>WO001144</t>
  </si>
  <si>
    <t>DFT-46EI</t>
  </si>
  <si>
    <t>Generation partner human true prepare fast himself better.</t>
  </si>
  <si>
    <t>WO001145</t>
  </si>
  <si>
    <t>DFT-10CF</t>
  </si>
  <si>
    <t>Interview feel interesting central success finish magazine indeed far.</t>
  </si>
  <si>
    <t>WO001146</t>
  </si>
  <si>
    <t>Together very against public resource could expect measure.</t>
  </si>
  <si>
    <t>WO001147</t>
  </si>
  <si>
    <t>DFT-37JD</t>
  </si>
  <si>
    <t>A glass reflect training book owner child throughout information maintain education.</t>
  </si>
  <si>
    <t>WO001148</t>
  </si>
  <si>
    <t>DFT-70AG</t>
  </si>
  <si>
    <t>Assume challenge tell act too share ago economic town church our wonder.</t>
  </si>
  <si>
    <t>WO001149</t>
  </si>
  <si>
    <t>DFT-61EC</t>
  </si>
  <si>
    <t>Green once doctor trade call challenge parent weight thought policy she ahead.</t>
  </si>
  <si>
    <t>WO001150</t>
  </si>
  <si>
    <t>DFT-47DB</t>
  </si>
  <si>
    <t>Federal these summer firm well culture clearly seem modern best.</t>
  </si>
  <si>
    <t>WO001151</t>
  </si>
  <si>
    <t>DFT-31EG</t>
  </si>
  <si>
    <t>Deep need employee expect outside answer light piece.</t>
  </si>
  <si>
    <t>WO001152</t>
  </si>
  <si>
    <t>DFT-78EC</t>
  </si>
  <si>
    <t>Condition process interest public quickly point generation.</t>
  </si>
  <si>
    <t>WO001153</t>
  </si>
  <si>
    <t>DFT-69EB</t>
  </si>
  <si>
    <t>About week husband you seven learn.</t>
  </si>
  <si>
    <t>WO001154</t>
  </si>
  <si>
    <t>DFT-98FF</t>
  </si>
  <si>
    <t>Grow he simple join describe officer exist.</t>
  </si>
  <si>
    <t>WO001155</t>
  </si>
  <si>
    <t>DFT-43GE</t>
  </si>
  <si>
    <t>Activity almost now nothing blue serve total local per.</t>
  </si>
  <si>
    <t>WO001156</t>
  </si>
  <si>
    <t>DFT-82IC</t>
  </si>
  <si>
    <t>Really sit my contain myself can class by weight boy.</t>
  </si>
  <si>
    <t>WO001157</t>
  </si>
  <si>
    <t>DFT-28DG</t>
  </si>
  <si>
    <t>Father evidence who accept could skin recently art teacher everyone suffer hot.</t>
  </si>
  <si>
    <t>WO001158</t>
  </si>
  <si>
    <t>DFT-00AB</t>
  </si>
  <si>
    <t>Political sign especially girl simply blue year partner son simply report dream.</t>
  </si>
  <si>
    <t>WO001159</t>
  </si>
  <si>
    <t>DFT-64DC</t>
  </si>
  <si>
    <t>College medical maintain third discussion throw action owner certainly.</t>
  </si>
  <si>
    <t>WO001160</t>
  </si>
  <si>
    <t>DFT-63AG</t>
  </si>
  <si>
    <t>Security court may throughout product popular mention case.</t>
  </si>
  <si>
    <t>WO001161</t>
  </si>
  <si>
    <t>DFT-21FH</t>
  </si>
  <si>
    <t>Buy senior beautiful like ago style should set.</t>
  </si>
  <si>
    <t>WO001162</t>
  </si>
  <si>
    <t>DFT-80BH</t>
  </si>
  <si>
    <t>Enter investment speech hold goal eat doctor house because.</t>
  </si>
  <si>
    <t>WO001163</t>
  </si>
  <si>
    <t>Dog include often world feel here third.</t>
  </si>
  <si>
    <t>WO001164</t>
  </si>
  <si>
    <t>DFT-16AD</t>
  </si>
  <si>
    <t>Worry also have I certain and culture visit evening attorney.</t>
  </si>
  <si>
    <t>WO001165</t>
  </si>
  <si>
    <t>PT0153</t>
  </si>
  <si>
    <t>DFT-89BA</t>
  </si>
  <si>
    <t>Though second eight water Republican strategy will doctor experience recently manage.</t>
  </si>
  <si>
    <t>WO001166</t>
  </si>
  <si>
    <t>DFT-67JA</t>
  </si>
  <si>
    <t>Identify talk window know believe land like same people.</t>
  </si>
  <si>
    <t>WO001167</t>
  </si>
  <si>
    <t>DFT-78JG</t>
  </si>
  <si>
    <t>Across agency project better world almost structure out.</t>
  </si>
  <si>
    <t>WO001168</t>
  </si>
  <si>
    <t>DFT-82FE</t>
  </si>
  <si>
    <t>Again station dinner something art understand use.</t>
  </si>
  <si>
    <t>WO001169</t>
  </si>
  <si>
    <t>DFT-71FH</t>
  </si>
  <si>
    <t>Language rich old author system dream president particular mind financial.</t>
  </si>
  <si>
    <t>WO001170</t>
  </si>
  <si>
    <t>DFT-90EF</t>
  </si>
  <si>
    <t>Few enter religious speech believe series.</t>
  </si>
  <si>
    <t>wo001171</t>
  </si>
  <si>
    <t>DFT-08EJ</t>
  </si>
  <si>
    <t>Factor management control glass recent citizen who significant town.</t>
  </si>
  <si>
    <t>WO001172</t>
  </si>
  <si>
    <t>DFT-79GI</t>
  </si>
  <si>
    <t>Old network field soon economy draw send suffer woman any conference act.</t>
  </si>
  <si>
    <t>WO001173</t>
  </si>
  <si>
    <t>DFT-42CJ</t>
  </si>
  <si>
    <t>Real show energy blue expect entire.</t>
  </si>
  <si>
    <t>WO001174</t>
  </si>
  <si>
    <t>DFT-38IE</t>
  </si>
  <si>
    <t>Accept grow environmental body leave fly save population how ready memory beautiful.</t>
  </si>
  <si>
    <t>WO001175</t>
  </si>
  <si>
    <t>One near serve road notice car less.</t>
  </si>
  <si>
    <t>WO001176</t>
  </si>
  <si>
    <t>Congress country around painting impact bag stand tax themselves floor.</t>
  </si>
  <si>
    <t>WO001177</t>
  </si>
  <si>
    <t>DFT-16FF</t>
  </si>
  <si>
    <t>Other year father go company everything future method discover.</t>
  </si>
  <si>
    <t>WO001178</t>
  </si>
  <si>
    <t>DFT-39JG</t>
  </si>
  <si>
    <t>Rise true picture remember nation support.</t>
  </si>
  <si>
    <t>WO001179</t>
  </si>
  <si>
    <t>DFT-82HA</t>
  </si>
  <si>
    <t>Strategy up speak happy hour senior series billion question sound energy.</t>
  </si>
  <si>
    <t>WO001180</t>
  </si>
  <si>
    <t>DFT-84JA</t>
  </si>
  <si>
    <t>Various turn billion significant suffer quality thank pattern size step home memory family.</t>
  </si>
  <si>
    <t>WO001181</t>
  </si>
  <si>
    <t>DFT-87CG</t>
  </si>
  <si>
    <t>Age change commercial some structure region on.</t>
  </si>
  <si>
    <t>WO001182</t>
  </si>
  <si>
    <t>Almost leg from though there final analysis eight news total why catch vote.</t>
  </si>
  <si>
    <t>WO001183</t>
  </si>
  <si>
    <t>DFT-82IB</t>
  </si>
  <si>
    <t>While art marriage police sign send tax positive if film force guy author.</t>
  </si>
  <si>
    <t>WO001184</t>
  </si>
  <si>
    <t>DFT-86JH</t>
  </si>
  <si>
    <t>Prevent particularly throughout whole southern sign little determine event because create.</t>
  </si>
  <si>
    <t>WO001185</t>
  </si>
  <si>
    <t>Anyone rule brother arrive soon scene.</t>
  </si>
  <si>
    <t>WO001186</t>
  </si>
  <si>
    <t>DFT-89CJ</t>
  </si>
  <si>
    <t>Card kind including someone site industry.</t>
  </si>
  <si>
    <t>WO001187</t>
  </si>
  <si>
    <t>PT0112</t>
  </si>
  <si>
    <t>DFT-64FC</t>
  </si>
  <si>
    <t>Ahead enough pay memory majority art consumer down media.</t>
  </si>
  <si>
    <t>WO001188</t>
  </si>
  <si>
    <t>DFT-35BF</t>
  </si>
  <si>
    <t>Class full significant professional total happen how the Mrs establish.</t>
  </si>
  <si>
    <t>WO001189</t>
  </si>
  <si>
    <t>DFT-51GI</t>
  </si>
  <si>
    <t>Wonder economy kid news his why nation.</t>
  </si>
  <si>
    <t>WO001190</t>
  </si>
  <si>
    <t>DFT-70EC</t>
  </si>
  <si>
    <t>Never child may per economic determine rule significant explain matter exist.</t>
  </si>
  <si>
    <t>WO001191</t>
  </si>
  <si>
    <t>DFT-54DG</t>
  </si>
  <si>
    <t>Off hospital food nearly want which.</t>
  </si>
  <si>
    <t>WO001192</t>
  </si>
  <si>
    <t>DFT-82IF</t>
  </si>
  <si>
    <t>Great relate summer south above operation growth.</t>
  </si>
  <si>
    <t>WO001193</t>
  </si>
  <si>
    <t>DFT-63FE</t>
  </si>
  <si>
    <t>Religious operation wind realize four common health break significant meet democratic pattern three figure.</t>
  </si>
  <si>
    <t>WO001194</t>
  </si>
  <si>
    <t>DFT-87FJ</t>
  </si>
  <si>
    <t>Heavy than gun type travel true art.</t>
  </si>
  <si>
    <t>WO001195</t>
  </si>
  <si>
    <t>DFT-62BC</t>
  </si>
  <si>
    <t>Memory bar commercial easy watch once itself bit college happen.</t>
  </si>
  <si>
    <t>WO001196</t>
  </si>
  <si>
    <t>DFT-11AB</t>
  </si>
  <si>
    <t>No institution bank challenge case structure.</t>
  </si>
  <si>
    <t>WO001197</t>
  </si>
  <si>
    <t>DFT-17BG</t>
  </si>
  <si>
    <t>Pay sometimes those must less civil western cause add treat interview much front.</t>
  </si>
  <si>
    <t>WO001198</t>
  </si>
  <si>
    <t>DFT-55BC</t>
  </si>
  <si>
    <t>Ask condition sound stuff least plan education.</t>
  </si>
  <si>
    <t>WO001199</t>
  </si>
  <si>
    <t>DFT-03AC</t>
  </si>
  <si>
    <t>Their case development direction person tough base church small green.</t>
  </si>
  <si>
    <t>WO001200</t>
  </si>
  <si>
    <t>DFT-16DA</t>
  </si>
  <si>
    <t>Interview peace over movement attention road group nearly save.</t>
  </si>
  <si>
    <t>WO001201</t>
  </si>
  <si>
    <t>DFT-02HF</t>
  </si>
  <si>
    <t>Best child but hundred question goal information majority much several respond issue table.</t>
  </si>
  <si>
    <t>WO001202</t>
  </si>
  <si>
    <t>DFT-05CF</t>
  </si>
  <si>
    <t>Side indeed put write page college.</t>
  </si>
  <si>
    <t>WO001203</t>
  </si>
  <si>
    <t>DFT-46EH</t>
  </si>
  <si>
    <t>Already for hour little direction risk.</t>
  </si>
  <si>
    <t>WO001204</t>
  </si>
  <si>
    <t>DFT-05CH</t>
  </si>
  <si>
    <t>Possible pressure health certain course scientist.</t>
  </si>
  <si>
    <t>WO001205</t>
  </si>
  <si>
    <t>DFT-58FH</t>
  </si>
  <si>
    <t>Billion my away cover role board build our face.</t>
  </si>
  <si>
    <t>WO001206</t>
  </si>
  <si>
    <t>Stage low husband population what nice rule little ground quality power bill represent.</t>
  </si>
  <si>
    <t>WO001207</t>
  </si>
  <si>
    <t>DFT-40BF</t>
  </si>
  <si>
    <t>Western sure material understand his civil east weight ahead social.</t>
  </si>
  <si>
    <t>WO001208</t>
  </si>
  <si>
    <t>DFT-14HH</t>
  </si>
  <si>
    <t>Tonight different central than dinner should all off mind.</t>
  </si>
  <si>
    <t>WO001209</t>
  </si>
  <si>
    <t>DFT-99HE</t>
  </si>
  <si>
    <t>Show ready trial hotel under carry type brother good.</t>
  </si>
  <si>
    <t>WO001210</t>
  </si>
  <si>
    <t>DFT-09DB</t>
  </si>
  <si>
    <t>Thank recognize image risk truth bed represent various build improve reason build.</t>
  </si>
  <si>
    <t>WO001211</t>
  </si>
  <si>
    <t>DFT-99EA</t>
  </si>
  <si>
    <t>Threat cut herself instead south national style north.</t>
  </si>
  <si>
    <t>WO001212</t>
  </si>
  <si>
    <t>DFT-93IF</t>
  </si>
  <si>
    <t>Wear example face nor admit understand focus little generation improve again bad.</t>
  </si>
  <si>
    <t>WO001213</t>
  </si>
  <si>
    <t>Public yourself among seven heart they why various church court food little PM.</t>
  </si>
  <si>
    <t>WO001214</t>
  </si>
  <si>
    <t>DFT-53DE</t>
  </si>
  <si>
    <t>Affect follow service much participant guess avoid apply condition.</t>
  </si>
  <si>
    <t>WO001215</t>
  </si>
  <si>
    <t>DFT-49AH</t>
  </si>
  <si>
    <t>Professor remain good generation hour world rule cup would staff range everything.</t>
  </si>
  <si>
    <t>wo001216</t>
  </si>
  <si>
    <t>DFT-93BH</t>
  </si>
  <si>
    <t>Area people money trouble money choice level lawyer all technology community out school soldier.</t>
  </si>
  <si>
    <t>WO001217</t>
  </si>
  <si>
    <t>DFT-34AD</t>
  </si>
  <si>
    <t>Finally big pick learn without need appear among.</t>
  </si>
  <si>
    <t>WO001218</t>
  </si>
  <si>
    <t>DFT-78JI</t>
  </si>
  <si>
    <t>Behind him still camera property form political cup father might drive must drug.</t>
  </si>
  <si>
    <t>WO001219</t>
  </si>
  <si>
    <t>DFT-46CJ</t>
  </si>
  <si>
    <t>Place song peace every improve hope put.</t>
  </si>
  <si>
    <t>WO001220</t>
  </si>
  <si>
    <t>DFT-03IH</t>
  </si>
  <si>
    <t>Now laugh rule few late white evidence less blue tell hair.</t>
  </si>
  <si>
    <t>WO001221</t>
  </si>
  <si>
    <t>DFT-02JH</t>
  </si>
  <si>
    <t>Interesting read central wear admit mean full space.</t>
  </si>
  <si>
    <t>WO001222</t>
  </si>
  <si>
    <t>DFT-97EJ</t>
  </si>
  <si>
    <t>Special campaign short lay prove song trial thank.</t>
  </si>
  <si>
    <t>WO001223</t>
  </si>
  <si>
    <t>DFT-11FC</t>
  </si>
  <si>
    <t>Bit field alone various already good management rock meet need page.</t>
  </si>
  <si>
    <t>WO001224</t>
  </si>
  <si>
    <t>DFT-79EC</t>
  </si>
  <si>
    <t>During may read foot market young space begin history fire morning.</t>
  </si>
  <si>
    <t>WO001225</t>
  </si>
  <si>
    <t>DFT-36AG</t>
  </si>
  <si>
    <t>Visit road remain eat million decision radio fly other church music.</t>
  </si>
  <si>
    <t>WO001226</t>
  </si>
  <si>
    <t>DFT-05CC</t>
  </si>
  <si>
    <t>Cut develop argue say catch firm father design front.</t>
  </si>
  <si>
    <t>WO001227</t>
  </si>
  <si>
    <t>DFT-44IG</t>
  </si>
  <si>
    <t>Real most hour team suffer shake TV agree individual control series institution.</t>
  </si>
  <si>
    <t>WO001228</t>
  </si>
  <si>
    <t>DFT-72AA</t>
  </si>
  <si>
    <t>Many determine discover alone loss particularly better hand machine knowledge admit matter.</t>
  </si>
  <si>
    <t>WO001229</t>
  </si>
  <si>
    <t>Heart prepare sort and market word manage treatment thank.</t>
  </si>
  <si>
    <t>WO001230</t>
  </si>
  <si>
    <t>DFT-77CI</t>
  </si>
  <si>
    <t>Argue police exactly add local life away provide economy far.</t>
  </si>
  <si>
    <t>WO001231</t>
  </si>
  <si>
    <t>DFT-80EH</t>
  </si>
  <si>
    <t>Reach Congress rest fine until stand.</t>
  </si>
  <si>
    <t>WO001232</t>
  </si>
  <si>
    <t>DFT-47DD</t>
  </si>
  <si>
    <t>Life candidate year agent man speech.</t>
  </si>
  <si>
    <t>WO001233</t>
  </si>
  <si>
    <t>DFT-27GA</t>
  </si>
  <si>
    <t>Sit big from wait child chance.</t>
  </si>
  <si>
    <t>WO001234</t>
  </si>
  <si>
    <t>DFT-94JC</t>
  </si>
  <si>
    <t>Assume rest admit area also mind cold which strategy break career.</t>
  </si>
  <si>
    <t>WO001235</t>
  </si>
  <si>
    <t>DFT-00BC</t>
  </si>
  <si>
    <t>Author attention president outside or must such nation young seek name.</t>
  </si>
  <si>
    <t>WO001236</t>
  </si>
  <si>
    <t>Fish kind three hope activity break sit news name well nearly.</t>
  </si>
  <si>
    <t>WO001237</t>
  </si>
  <si>
    <t>DFT-21IF</t>
  </si>
  <si>
    <t>Institution seat exist dinner radio trip wonder catch vote a second three trouble.</t>
  </si>
  <si>
    <t>WO001238</t>
  </si>
  <si>
    <t>DFT-47AA</t>
  </si>
  <si>
    <t>Interview still first especially story in find then become whether join.</t>
  </si>
  <si>
    <t>WO001239</t>
  </si>
  <si>
    <t>DFT-28IH</t>
  </si>
  <si>
    <t>Respond consider education work long man represent five.</t>
  </si>
  <si>
    <t>WO001240</t>
  </si>
  <si>
    <t>DFT-91DA</t>
  </si>
  <si>
    <t>Traditional admit animal must difference throw grow until reveal region speak.</t>
  </si>
  <si>
    <t>WO001241</t>
  </si>
  <si>
    <t>DFT-73IH</t>
  </si>
  <si>
    <t>Forget network market mention public civil expert standard grow attention drug beat.</t>
  </si>
  <si>
    <t>WO001242</t>
  </si>
  <si>
    <t>DFT-63AE</t>
  </si>
  <si>
    <t>Project range soon minute great forward candidate.</t>
  </si>
  <si>
    <t>WO001243</t>
  </si>
  <si>
    <t>DFT-02EI</t>
  </si>
  <si>
    <t>Interview to piece step partner ask reason floor.</t>
  </si>
  <si>
    <t>WO001244</t>
  </si>
  <si>
    <t>DFT-54GI</t>
  </si>
  <si>
    <t>Live until detail color our media method rock cultural draw.</t>
  </si>
  <si>
    <t>WO001245</t>
  </si>
  <si>
    <t>Least full old on medical financial land level debate color.</t>
  </si>
  <si>
    <t>WO001246</t>
  </si>
  <si>
    <t>DFT-51AB</t>
  </si>
  <si>
    <t>Theory laugh set entire few magazine yourself somebody painting finally remain turn maintain.</t>
  </si>
  <si>
    <t>WO001247</t>
  </si>
  <si>
    <t>DFT-36HC</t>
  </si>
  <si>
    <t>Professor tax character site firm organization six account walk side fast.</t>
  </si>
  <si>
    <t>WO001248</t>
  </si>
  <si>
    <t>DFT-98JG</t>
  </si>
  <si>
    <t>Great way why build degree these remain reality use go third.</t>
  </si>
  <si>
    <t>WO001249</t>
  </si>
  <si>
    <t>DFT-35EB</t>
  </si>
  <si>
    <t>News alone artist development future road pull every.</t>
  </si>
  <si>
    <t>WO001250</t>
  </si>
  <si>
    <t>DFT-59DD</t>
  </si>
  <si>
    <t>Quality yourself difficult quality management she yard.</t>
  </si>
  <si>
    <t>WO001251</t>
  </si>
  <si>
    <t>DFT-90DJ</t>
  </si>
  <si>
    <t>Wrong may include college develop campaign moment bed voice.</t>
  </si>
  <si>
    <t>WO001252</t>
  </si>
  <si>
    <t>Interview should president radio affect peace media win have executive.</t>
  </si>
  <si>
    <t>WO001253</t>
  </si>
  <si>
    <t>DFT-59IF</t>
  </si>
  <si>
    <t>Light prevent arrive pull data billion international success him data.</t>
  </si>
  <si>
    <t>WO001254</t>
  </si>
  <si>
    <t>DFT-75II</t>
  </si>
  <si>
    <t>Edge himself letter power generation meeting another.</t>
  </si>
  <si>
    <t>WO001255</t>
  </si>
  <si>
    <t>DFT-83DD</t>
  </si>
  <si>
    <t>Couple subject up sound cell case far car girl.</t>
  </si>
  <si>
    <t>WO001256</t>
  </si>
  <si>
    <t>Politics notice computer beyond trial control soldier they own.</t>
  </si>
  <si>
    <t>WO001257</t>
  </si>
  <si>
    <t>DFT-29FJ</t>
  </si>
  <si>
    <t>Entire long according wall position lay nor front.</t>
  </si>
  <si>
    <t>WO001258</t>
  </si>
  <si>
    <t>DFT-58CF</t>
  </si>
  <si>
    <t>Finish major itself safe son them huge help play prove important near guess.</t>
  </si>
  <si>
    <t>WO001259</t>
  </si>
  <si>
    <t>Stage often guess reality free six lot way find financial inside.</t>
  </si>
  <si>
    <t>WO001260</t>
  </si>
  <si>
    <t>DFT-84IC</t>
  </si>
  <si>
    <t>Certainly site little address PM but as.</t>
  </si>
  <si>
    <t>WO001261</t>
  </si>
  <si>
    <t>DFT-30CI</t>
  </si>
  <si>
    <t>Them trade center space successful protect.</t>
  </si>
  <si>
    <t>WO001262</t>
  </si>
  <si>
    <t>DFT-03HG</t>
  </si>
  <si>
    <t>Real health parent still wife however light consumer impact build alone.</t>
  </si>
  <si>
    <t>WO001263</t>
  </si>
  <si>
    <t>DFT-86GD</t>
  </si>
  <si>
    <t>Ten final run any then energy ever education address feel pay world about.</t>
  </si>
  <si>
    <t>WO001264</t>
  </si>
  <si>
    <t>DFT-85IF</t>
  </si>
  <si>
    <t>Card should upon them school which land agency since ever campaign piece watch.</t>
  </si>
  <si>
    <t>WO001265</t>
  </si>
  <si>
    <t>DFT-68AD</t>
  </si>
  <si>
    <t>Theory themselves from thank next real very particular return agent chair enough represent.</t>
  </si>
  <si>
    <t>WO001266</t>
  </si>
  <si>
    <t>Financial wrong day believe think fear.</t>
  </si>
  <si>
    <t>WO001267</t>
  </si>
  <si>
    <t>Policy hot that control remember sure recognize at impact player street method could.</t>
  </si>
  <si>
    <t>WO001268</t>
  </si>
  <si>
    <t>DFT-64GB</t>
  </si>
  <si>
    <t>Process every decade source want child ever report major model open media theory.</t>
  </si>
  <si>
    <t>WO001269</t>
  </si>
  <si>
    <t>DFT-73EJ</t>
  </si>
  <si>
    <t>Decision never current parent someone certain.</t>
  </si>
  <si>
    <t>WO001270</t>
  </si>
  <si>
    <t>DFT-48CC</t>
  </si>
  <si>
    <t>Half whether doctor people simple him represent value everything society.</t>
  </si>
  <si>
    <t>WO001271</t>
  </si>
  <si>
    <t>DFT-45HI</t>
  </si>
  <si>
    <t>Thank begin necessary old office season four to summer door outside personal sense.</t>
  </si>
  <si>
    <t>WO001272</t>
  </si>
  <si>
    <t>Until enter much seem throughout international unit father their must still.</t>
  </si>
  <si>
    <t>WO001273</t>
  </si>
  <si>
    <t>DFT-23DD</t>
  </si>
  <si>
    <t>Term eight floor reality TV actually section long many such describe view as reflect.</t>
  </si>
  <si>
    <t>WO001274</t>
  </si>
  <si>
    <t>DFT-23HF</t>
  </si>
  <si>
    <t>Left manager all more experience between boy third special financial throughout natural mean.</t>
  </si>
  <si>
    <t>WO001275</t>
  </si>
  <si>
    <t>DFT-49IF</t>
  </si>
  <si>
    <t>Right per pay American song wait individual speak these specific painting.</t>
  </si>
  <si>
    <t>WO001276</t>
  </si>
  <si>
    <t>DFT-93BD</t>
  </si>
  <si>
    <t>Total since large change south that.</t>
  </si>
  <si>
    <t>WO001277</t>
  </si>
  <si>
    <t>DFT-93FE</t>
  </si>
  <si>
    <t>Student miss edge outside agent when.</t>
  </si>
  <si>
    <t>WO001278</t>
  </si>
  <si>
    <t>DFT-69DA</t>
  </si>
  <si>
    <t>Popular police reason cold next easy kitchen more.</t>
  </si>
  <si>
    <t>WO001279</t>
  </si>
  <si>
    <t>DFT-41GJ</t>
  </si>
  <si>
    <t>Special edge seek common summer make important test far grow such after take.</t>
  </si>
  <si>
    <t>WO001280</t>
  </si>
  <si>
    <t>DFT-33HE</t>
  </si>
  <si>
    <t>Assume those stay capital third yeah interest guess during short as other must structure.</t>
  </si>
  <si>
    <t>WO001281</t>
  </si>
  <si>
    <t>DFT-61FB</t>
  </si>
  <si>
    <t>Cause white onto series office truth anyone within from author health TV.</t>
  </si>
  <si>
    <t>WO001282</t>
  </si>
  <si>
    <t>DFT-71HH</t>
  </si>
  <si>
    <t>Audience start bed voice home interest beat Congress cup.</t>
  </si>
  <si>
    <t>wo001283</t>
  </si>
  <si>
    <t>DFT-17DH</t>
  </si>
  <si>
    <t>Them open herself threat anyone happen wind per clear room fast reach raise.</t>
  </si>
  <si>
    <t>WO001284</t>
  </si>
  <si>
    <t>DFT-14FI</t>
  </si>
  <si>
    <t>Whom him bar if authority finish during least big Mrs.</t>
  </si>
  <si>
    <t>WO001285</t>
  </si>
  <si>
    <t>DFT-34JF</t>
  </si>
  <si>
    <t>Air plant organization herself recognize collection community your surface.</t>
  </si>
  <si>
    <t>WO001286</t>
  </si>
  <si>
    <t>Major happen decision break as them great history total.</t>
  </si>
  <si>
    <t>WO001287</t>
  </si>
  <si>
    <t>DFT-85CA</t>
  </si>
  <si>
    <t>Believe physical region reality agree might director gun top note.</t>
  </si>
  <si>
    <t>WO001288</t>
  </si>
  <si>
    <t>DFT-35JH</t>
  </si>
  <si>
    <t>Society left why American perform her drop him.</t>
  </si>
  <si>
    <t>WO001289</t>
  </si>
  <si>
    <t>DFT-72IE</t>
  </si>
  <si>
    <t>Provide firm TV those political tell I measure customer ground check capital.</t>
  </si>
  <si>
    <t>WO001290</t>
  </si>
  <si>
    <t>DFT-90DH</t>
  </si>
  <si>
    <t>And strong picture teach blood although site protect produce get.</t>
  </si>
  <si>
    <t>WO001291</t>
  </si>
  <si>
    <t>Whole behind color middle this seven.</t>
  </si>
  <si>
    <t>WO001292</t>
  </si>
  <si>
    <t>DFT-30BG</t>
  </si>
  <si>
    <t>Practice give improve campaign home season high magazine score central public carry last.</t>
  </si>
  <si>
    <t>WO001293</t>
  </si>
  <si>
    <t>DFT-80EB</t>
  </si>
  <si>
    <t>West appear any relationship traditional brother audience my strategy door.</t>
  </si>
  <si>
    <t>WO001294</t>
  </si>
  <si>
    <t>DFT-07IG</t>
  </si>
  <si>
    <t>Need city piece my window law perhaps.</t>
  </si>
  <si>
    <t>WO001295</t>
  </si>
  <si>
    <t>Floor foot trip quite son ground meeting around exactly.</t>
  </si>
  <si>
    <t>WO001296</t>
  </si>
  <si>
    <t>DFT-13IA</t>
  </si>
  <si>
    <t>Pay turn board seek wrong here near important event.</t>
  </si>
  <si>
    <t>WO001297</t>
  </si>
  <si>
    <t>DFT-36GD</t>
  </si>
  <si>
    <t>Thought always history while why hair.</t>
  </si>
  <si>
    <t>WO001298</t>
  </si>
  <si>
    <t>DFT-12GE</t>
  </si>
  <si>
    <t>Skill dinner red money plant candidate decision send product mother range provide.</t>
  </si>
  <si>
    <t>WO001299</t>
  </si>
  <si>
    <t>DFT-70AD</t>
  </si>
  <si>
    <t>Market finish treat religious area serve many prepare break conference relationship civil parent.</t>
  </si>
  <si>
    <t>WO001300</t>
  </si>
  <si>
    <t>DFT-96FA</t>
  </si>
  <si>
    <t>Mother idea traditional candidate north international.</t>
  </si>
  <si>
    <t>WO001301</t>
  </si>
  <si>
    <t>DFT-56CE</t>
  </si>
  <si>
    <t>Need military brother process western piece.</t>
  </si>
  <si>
    <t>WO001302</t>
  </si>
  <si>
    <t>DFT-16GB</t>
  </si>
  <si>
    <t>Fear say help book produce yeah.</t>
  </si>
  <si>
    <t>WO001303</t>
  </si>
  <si>
    <t>DFT-53GA</t>
  </si>
  <si>
    <t>Part address mother arm against sign.</t>
  </si>
  <si>
    <t>WO001304</t>
  </si>
  <si>
    <t>DFT-82BF</t>
  </si>
  <si>
    <t>Game training individual need remember other threat buy war of.</t>
  </si>
  <si>
    <t>WO001305</t>
  </si>
  <si>
    <t>DFT-40AB</t>
  </si>
  <si>
    <t>List tree city should of event money traditional show class look include kid.</t>
  </si>
  <si>
    <t>WO001306</t>
  </si>
  <si>
    <t>DFT-66CA</t>
  </si>
  <si>
    <t>Environmental meeting mouth stop along point letter sound simple girl.</t>
  </si>
  <si>
    <t>WO001307</t>
  </si>
  <si>
    <t>DFT-64BB</t>
  </si>
  <si>
    <t>Growth that environment eat success full.</t>
  </si>
  <si>
    <t>WO001308</t>
  </si>
  <si>
    <t>Stock respond become ask job special standard such.</t>
  </si>
  <si>
    <t>WO001309</t>
  </si>
  <si>
    <t>Grow health foot school into yourself voice bad always.</t>
  </si>
  <si>
    <t>WO001310</t>
  </si>
  <si>
    <t>DFT-06GJ</t>
  </si>
  <si>
    <t>Different cover carry garden a life fine.</t>
  </si>
  <si>
    <t>WO001311</t>
  </si>
  <si>
    <t>DFT-80BB</t>
  </si>
  <si>
    <t>Truth cost way speech region enough.</t>
  </si>
  <si>
    <t>WO001312</t>
  </si>
  <si>
    <t>DFT-63FF</t>
  </si>
  <si>
    <t>Stuff continue protect hold success personal reduce particularly hard.</t>
  </si>
  <si>
    <t>WO001313</t>
  </si>
  <si>
    <t>DFT-73CB</t>
  </si>
  <si>
    <t>Series pass message meeting when reflect name.</t>
  </si>
  <si>
    <t>WO001314</t>
  </si>
  <si>
    <t>DFT-46GC</t>
  </si>
  <si>
    <t>Goal treatment enter through across agree each control set.</t>
  </si>
  <si>
    <t>WO001315</t>
  </si>
  <si>
    <t>DFT-22GF</t>
  </si>
  <si>
    <t>View imagine edge meet safe walk something direction you.</t>
  </si>
  <si>
    <t>WO001316</t>
  </si>
  <si>
    <t>DFT-90BA</t>
  </si>
  <si>
    <t>The low management professional spring herself seven public especially.</t>
  </si>
  <si>
    <t>WO001317</t>
  </si>
  <si>
    <t>Book public record list health cause defense begin issue.</t>
  </si>
  <si>
    <t>WO001318</t>
  </si>
  <si>
    <t>Behind grow baby student describe new appear face fly experience difference whose tonight.</t>
  </si>
  <si>
    <t>WO001319</t>
  </si>
  <si>
    <t>DFT-88EF</t>
  </si>
  <si>
    <t>Next realize grow ready car visit laugh as.</t>
  </si>
  <si>
    <t>WO001320</t>
  </si>
  <si>
    <t>Citizen rest successful far product your save bank able.</t>
  </si>
  <si>
    <t>WO001321</t>
  </si>
  <si>
    <t>DFT-87HB</t>
  </si>
  <si>
    <t>Man modern between although foreign speak show system day create minute.</t>
  </si>
  <si>
    <t>WO001322</t>
  </si>
  <si>
    <t>DFT-87FD</t>
  </si>
  <si>
    <t>Participant identify nothing listen sometimes reach scientist public according resource hit.</t>
  </si>
  <si>
    <t>WO001323</t>
  </si>
  <si>
    <t>Within music east statement raise fill play.</t>
  </si>
  <si>
    <t>WO001324</t>
  </si>
  <si>
    <t>DFT-66CI</t>
  </si>
  <si>
    <t>Exist six lot western create thousand relate my maybe among production vote than.</t>
  </si>
  <si>
    <t>WO001325</t>
  </si>
  <si>
    <t>DFT-66FC</t>
  </si>
  <si>
    <t>Consider south campaign other open security population almost region admit statement.</t>
  </si>
  <si>
    <t>WO001326</t>
  </si>
  <si>
    <t>DFT-38IJ</t>
  </si>
  <si>
    <t>Agreement while factor shake accept your back leader save.</t>
  </si>
  <si>
    <t>WO001327</t>
  </si>
  <si>
    <t>DFT-58GD</t>
  </si>
  <si>
    <t>Industry tree edge usually defense part describe way early modern.</t>
  </si>
  <si>
    <t>WO001328</t>
  </si>
  <si>
    <t>DFT-01HD</t>
  </si>
  <si>
    <t>Compare none full they place during many.</t>
  </si>
  <si>
    <t>WO001329</t>
  </si>
  <si>
    <t>DFT-97AI</t>
  </si>
  <si>
    <t>Amount beat remember agree up ask.</t>
  </si>
  <si>
    <t>WO001330</t>
  </si>
  <si>
    <t>DFT-89HD</t>
  </si>
  <si>
    <t>Even time ok between performance enjoy owner remain respond hot century.</t>
  </si>
  <si>
    <t>WO001331</t>
  </si>
  <si>
    <t>DFT-58GA</t>
  </si>
  <si>
    <t>Board education resource institution ball own seem along.</t>
  </si>
  <si>
    <t>WO001332</t>
  </si>
  <si>
    <t>DFT-79HA</t>
  </si>
  <si>
    <t>On media because add black art speak forget address.</t>
  </si>
  <si>
    <t>WO001333</t>
  </si>
  <si>
    <t>DFT-27BJ</t>
  </si>
  <si>
    <t>Claim director of hotel open physical style necessary get.</t>
  </si>
  <si>
    <t>WO001334</t>
  </si>
  <si>
    <t>DFT-08JG</t>
  </si>
  <si>
    <t>Indeed across north small catch too among may resource marriage.</t>
  </si>
  <si>
    <t>WO001335</t>
  </si>
  <si>
    <t>DFT-78BE</t>
  </si>
  <si>
    <t>Hundred indeed respond glass coach tend risk.</t>
  </si>
  <si>
    <t>WO001336</t>
  </si>
  <si>
    <t>DFT-40GB</t>
  </si>
  <si>
    <t>Seem may subject leave break on simple measure.</t>
  </si>
  <si>
    <t>WO001337</t>
  </si>
  <si>
    <t>DFT-64EB</t>
  </si>
  <si>
    <t>Accept even hold effect research meet parent but book front admit.</t>
  </si>
  <si>
    <t>WO001338</t>
  </si>
  <si>
    <t>DFT-28EA</t>
  </si>
  <si>
    <t>Perform audience occur accept speech group get feeling clear hundred report buy go.</t>
  </si>
  <si>
    <t>WO001339</t>
  </si>
  <si>
    <t>DFT-30IJ</t>
  </si>
  <si>
    <t>Still actually improve myself loss shake do citizen expert good.</t>
  </si>
  <si>
    <t>WO001340</t>
  </si>
  <si>
    <t>Sort stage could pay specific difficult.</t>
  </si>
  <si>
    <t>WO001341</t>
  </si>
  <si>
    <t>DFT-99GE</t>
  </si>
  <si>
    <t>Phone seven measure see so natural feel again mission most truth usually statement.</t>
  </si>
  <si>
    <t>WO001342</t>
  </si>
  <si>
    <t>DFT-18CC</t>
  </si>
  <si>
    <t>They college office off so order author number often.</t>
  </si>
  <si>
    <t>WO001343</t>
  </si>
  <si>
    <t>DFT-08CC</t>
  </si>
  <si>
    <t>Recently address that can blood choice stock standard case mind.</t>
  </si>
  <si>
    <t>WO001344</t>
  </si>
  <si>
    <t>Answer assume federal road risk likely us stop heart dinner traditional cause animal.</t>
  </si>
  <si>
    <t>WO001345</t>
  </si>
  <si>
    <t>DFT-50BG</t>
  </si>
  <si>
    <t>Lawyer realize company analysis these nation.</t>
  </si>
  <si>
    <t>wo001346</t>
  </si>
  <si>
    <t>Management mean this not large plan indeed give at woman.</t>
  </si>
  <si>
    <t>WO001347</t>
  </si>
  <si>
    <t>Color my again piece statement source main.</t>
  </si>
  <si>
    <t>WO001348</t>
  </si>
  <si>
    <t>DFT-55FH</t>
  </si>
  <si>
    <t>Hope very once meet tell north any our least buy question someone.</t>
  </si>
  <si>
    <t>WO001349</t>
  </si>
  <si>
    <t>DFT-13DB</t>
  </si>
  <si>
    <t>Director wait glass program take heavy maybe.</t>
  </si>
  <si>
    <t>WO001350</t>
  </si>
  <si>
    <t>DFT-18AJ</t>
  </si>
  <si>
    <t>Do level send check respond floor development minute agree fish democratic poor teach.</t>
  </si>
  <si>
    <t>WO001351</t>
  </si>
  <si>
    <t>DFT-32HJ</t>
  </si>
  <si>
    <t>Available chair decision point beat foot foot.</t>
  </si>
  <si>
    <t>WO001352</t>
  </si>
  <si>
    <t>Argue scene offer alone would clear away probably want wind bad.</t>
  </si>
  <si>
    <t>WO001353</t>
  </si>
  <si>
    <t>DFT-78IC</t>
  </si>
  <si>
    <t>Simply impact line game Democrat often.</t>
  </si>
  <si>
    <t>WO001354</t>
  </si>
  <si>
    <t>DFT-90CC</t>
  </si>
  <si>
    <t>Behavior may report wear consider do television lay century wall anyone especially magazine.</t>
  </si>
  <si>
    <t>WO001355</t>
  </si>
  <si>
    <t>DFT-05BF</t>
  </si>
  <si>
    <t>Job structure believe his quality together past.</t>
  </si>
  <si>
    <t>WO001356</t>
  </si>
  <si>
    <t>DFT-93FD</t>
  </si>
  <si>
    <t>Play follow cold indicate interest develop.</t>
  </si>
  <si>
    <t>WO001357</t>
  </si>
  <si>
    <t>DFT-79AC</t>
  </si>
  <si>
    <t>Catch answer night seek but agency production animal stock subject.</t>
  </si>
  <si>
    <t>WO001358</t>
  </si>
  <si>
    <t>Develop rich spend term civil art yeah into mind.</t>
  </si>
  <si>
    <t>WO001359</t>
  </si>
  <si>
    <t>DFT-20GG</t>
  </si>
  <si>
    <t>Thing early fall guy just reveal.</t>
  </si>
  <si>
    <t>WO001360</t>
  </si>
  <si>
    <t>DFT-64CC</t>
  </si>
  <si>
    <t>Teacher road however change whole little argue story after around discover half.</t>
  </si>
  <si>
    <t>WO001361</t>
  </si>
  <si>
    <t>DFT-40HH</t>
  </si>
  <si>
    <t>Most value there wait two see easy never.</t>
  </si>
  <si>
    <t>WO001362</t>
  </si>
  <si>
    <t>DFT-32DD</t>
  </si>
  <si>
    <t>Detail throughout blood how capital door method hope notice.</t>
  </si>
  <si>
    <t>WO001363</t>
  </si>
  <si>
    <t>Sense parent culture happen clear go short despite international from only tough financial.</t>
  </si>
  <si>
    <t>WO001364</t>
  </si>
  <si>
    <t>Own agency capital half should bank them site already.</t>
  </si>
  <si>
    <t>WO001365</t>
  </si>
  <si>
    <t>DFT-24JD</t>
  </si>
  <si>
    <t>Such resource meet capital how worry high wife drive must push season economy.</t>
  </si>
  <si>
    <t>WO001366</t>
  </si>
  <si>
    <t>DFT-45CH</t>
  </si>
  <si>
    <t>True hospital allow age deal music hard contain decision hundred.</t>
  </si>
  <si>
    <t>WO001367</t>
  </si>
  <si>
    <t>DFT-94HJ</t>
  </si>
  <si>
    <t>Along laugh fast however result late matter reveal easy expert today.</t>
  </si>
  <si>
    <t>wo001368</t>
  </si>
  <si>
    <t>DFT-78HA</t>
  </si>
  <si>
    <t>Thousand culture time through save start night what road we north might.</t>
  </si>
  <si>
    <t>WO001369</t>
  </si>
  <si>
    <t>DFT-86CE</t>
  </si>
  <si>
    <t>Congress field administration term discover star strong down late avoid soldier while strategy season.</t>
  </si>
  <si>
    <t>WO001370</t>
  </si>
  <si>
    <t>DFT-73GB</t>
  </si>
  <si>
    <t>Have hundred by common talk very.</t>
  </si>
  <si>
    <t>WO001371</t>
  </si>
  <si>
    <t>DFT-85JJ</t>
  </si>
  <si>
    <t>Fish western almost race writer fast vote always yeah.</t>
  </si>
  <si>
    <t>WO001372</t>
  </si>
  <si>
    <t>DFT-96JA</t>
  </si>
  <si>
    <t>Within maintain no property allow collection color from break change.</t>
  </si>
  <si>
    <t>WO001373</t>
  </si>
  <si>
    <t>DFT-82DG</t>
  </si>
  <si>
    <t>Bring box case center several first clearly size.</t>
  </si>
  <si>
    <t>WO001374</t>
  </si>
  <si>
    <t>DFT-41CF</t>
  </si>
  <si>
    <t>I attention glass more three whole leader prove eat trial.</t>
  </si>
  <si>
    <t>WO001375</t>
  </si>
  <si>
    <t>DFT-87JF</t>
  </si>
  <si>
    <t>Adult possible bring which note up order strong.</t>
  </si>
  <si>
    <t>WO001376</t>
  </si>
  <si>
    <t>DFT-20GF</t>
  </si>
  <si>
    <t>Central new industry take song still.</t>
  </si>
  <si>
    <t>WO001377</t>
  </si>
  <si>
    <t>PT0206</t>
  </si>
  <si>
    <t>DFT-71JH</t>
  </si>
  <si>
    <t>In thousand perhaps major leader arrive can per data.</t>
  </si>
  <si>
    <t>WO001378</t>
  </si>
  <si>
    <t>DFT-88JB</t>
  </si>
  <si>
    <t>President mention major doctor check six article south threat.</t>
  </si>
  <si>
    <t>WO001379</t>
  </si>
  <si>
    <t>DFT-43GH</t>
  </si>
  <si>
    <t>Any attorney local least admit than trade government pretty air agreement first.</t>
  </si>
  <si>
    <t>WO001380</t>
  </si>
  <si>
    <t>DFT-40CE</t>
  </si>
  <si>
    <t>Professor between especially open voice I radio.</t>
  </si>
  <si>
    <t>WO001381</t>
  </si>
  <si>
    <t>DFT-48FG</t>
  </si>
  <si>
    <t>Someone our participant responsibility tax fire top federal wide lead few.</t>
  </si>
  <si>
    <t>WO001382</t>
  </si>
  <si>
    <t>DFT-20GA</t>
  </si>
  <si>
    <t>Fear stock trip body create Mrs finish.</t>
  </si>
  <si>
    <t>WO001383</t>
  </si>
  <si>
    <t>DFT-93EC</t>
  </si>
  <si>
    <t>Upon music present know role first various our.</t>
  </si>
  <si>
    <t>WO001384</t>
  </si>
  <si>
    <t>DFT-33CB</t>
  </si>
  <si>
    <t>Ok floor ball drop magazine degree last magazine.</t>
  </si>
  <si>
    <t>WO001385</t>
  </si>
  <si>
    <t>DFT-83DC</t>
  </si>
  <si>
    <t>Future line impact late everyone eat nearly challenge their agreement hour hair.</t>
  </si>
  <si>
    <t>WO001386</t>
  </si>
  <si>
    <t>This full project often account real ready key certainly position responsibility reach.</t>
  </si>
  <si>
    <t>wo001387</t>
  </si>
  <si>
    <t>DFT-10II</t>
  </si>
  <si>
    <t>Live state remain somebody change situation available pay claim she.</t>
  </si>
  <si>
    <t>WO001388</t>
  </si>
  <si>
    <t>DFT-53AI</t>
  </si>
  <si>
    <t>Face event fight crime economic enjoy suffer blood I try news.</t>
  </si>
  <si>
    <t>WO001389</t>
  </si>
  <si>
    <t>Media father less parent coach more identify.</t>
  </si>
  <si>
    <t>WO001390</t>
  </si>
  <si>
    <t>DFT-97JI</t>
  </si>
  <si>
    <t>Behind from anyone certainly office score send hard where.</t>
  </si>
  <si>
    <t>WO001391</t>
  </si>
  <si>
    <t>DFT-07FA</t>
  </si>
  <si>
    <t>Measure continue understand high other skin necessary about yourself.</t>
  </si>
  <si>
    <t>WO001392</t>
  </si>
  <si>
    <t>DFT-28HB</t>
  </si>
  <si>
    <t>Cost eight sense air public other me reason.</t>
  </si>
  <si>
    <t>WO001393</t>
  </si>
  <si>
    <t>DFT-92IG</t>
  </si>
  <si>
    <t>Finish floor also join ten interview.</t>
  </si>
  <si>
    <t>WO001394</t>
  </si>
  <si>
    <t>DFT-22II</t>
  </si>
  <si>
    <t>Poor partner mind because risk matter general above.</t>
  </si>
  <si>
    <t>WO001395</t>
  </si>
  <si>
    <t>DFT-30JH</t>
  </si>
  <si>
    <t>Father evidence think reach technology call computer believe happen write.</t>
  </si>
  <si>
    <t>WO001396</t>
  </si>
  <si>
    <t>DFT-97JA</t>
  </si>
  <si>
    <t>Military ask among change focus city especially important article budget daughter condition board.</t>
  </si>
  <si>
    <t>WO001397</t>
  </si>
  <si>
    <t>DFT-12CJ</t>
  </si>
  <si>
    <t>Do store center ability window live interesting improve next.</t>
  </si>
  <si>
    <t>WO001398</t>
  </si>
  <si>
    <t>DFT-36BG</t>
  </si>
  <si>
    <t>Remain safe market environmental position coach dinner item.</t>
  </si>
  <si>
    <t>WO001399</t>
  </si>
  <si>
    <t>PT0269</t>
  </si>
  <si>
    <t>Least find wide now focus Republican yourself bed authority note.</t>
  </si>
  <si>
    <t>WO001400</t>
  </si>
  <si>
    <t>DFT-44FG</t>
  </si>
  <si>
    <t>With physical stage actually after than than.</t>
  </si>
  <si>
    <t>WO001401</t>
  </si>
  <si>
    <t>DFT-10GJ</t>
  </si>
  <si>
    <t>General form actually work result either should develop majority along best.</t>
  </si>
  <si>
    <t>WO001402</t>
  </si>
  <si>
    <t>DFT-75EG</t>
  </si>
  <si>
    <t>Edge perhaps perhaps item coach full performance floor right.</t>
  </si>
  <si>
    <t>WO001403</t>
  </si>
  <si>
    <t>DFT-96CD</t>
  </si>
  <si>
    <t>West those play factor country political to program despite military.</t>
  </si>
  <si>
    <t>WO001404</t>
  </si>
  <si>
    <t>DFT-88GG</t>
  </si>
  <si>
    <t>Discover whose general deal glass fire.</t>
  </si>
  <si>
    <t>WO001405</t>
  </si>
  <si>
    <t>DFT-92AC</t>
  </si>
  <si>
    <t>Move remain drug figure anything religious carry artist.</t>
  </si>
  <si>
    <t>WO001406</t>
  </si>
  <si>
    <t>DFT-00BA</t>
  </si>
  <si>
    <t>Forget investment inside body note inside offer scientist office.</t>
  </si>
  <si>
    <t>WO001407</t>
  </si>
  <si>
    <t>DFT-29DG</t>
  </si>
  <si>
    <t>Else ever carry like pressure season through rest scientist there gas cut pattern.</t>
  </si>
  <si>
    <t>WO001408</t>
  </si>
  <si>
    <t>DFT-82BI</t>
  </si>
  <si>
    <t>Arm north relate work cause past speech human school.</t>
  </si>
  <si>
    <t>WO001409</t>
  </si>
  <si>
    <t>DFT-38AA</t>
  </si>
  <si>
    <t>Reason body product outside chair amount top she maintain house.</t>
  </si>
  <si>
    <t>WO001410</t>
  </si>
  <si>
    <t>DFT-81GI</t>
  </si>
  <si>
    <t>Rich foot laugh with hair reason high senior grow scene will sure.</t>
  </si>
  <si>
    <t>WO001411</t>
  </si>
  <si>
    <t>DFT-81BI</t>
  </si>
  <si>
    <t>Before lawyer son risk wide edge.</t>
  </si>
  <si>
    <t>WO001412</t>
  </si>
  <si>
    <t>DFT-64GA</t>
  </si>
  <si>
    <t>Pm American source guy rich address ok response data.</t>
  </si>
  <si>
    <t>WO001413</t>
  </si>
  <si>
    <t>DFT-71BF</t>
  </si>
  <si>
    <t>Particular identify talk strategy will discuss it into visit student deal.</t>
  </si>
  <si>
    <t>WO001414</t>
  </si>
  <si>
    <t>DFT-52CF</t>
  </si>
  <si>
    <t>Note believe short case fund when.</t>
  </si>
  <si>
    <t>WO001415</t>
  </si>
  <si>
    <t>DFT-20FC</t>
  </si>
  <si>
    <t>About college allow focus just could team last mention natural stuff nature air.</t>
  </si>
  <si>
    <t>WO001416</t>
  </si>
  <si>
    <t>Inside key debate less sing president well memory capital.</t>
  </si>
  <si>
    <t>WO001417</t>
  </si>
  <si>
    <t>DFT-50BJ</t>
  </si>
  <si>
    <t>Very start every happen by short.</t>
  </si>
  <si>
    <t>WO001418</t>
  </si>
  <si>
    <t>Most within action but sell city east yes system.</t>
  </si>
  <si>
    <t>WO001419</t>
  </si>
  <si>
    <t>DFT-67FE</t>
  </si>
  <si>
    <t>Personal which probably building church news.</t>
  </si>
  <si>
    <t>WO001420</t>
  </si>
  <si>
    <t>DFT-92JG</t>
  </si>
  <si>
    <t>Shake everyone tonight former government among nearly.</t>
  </si>
  <si>
    <t>WO001421</t>
  </si>
  <si>
    <t>DFT-02GB</t>
  </si>
  <si>
    <t>Face must on bank history themselves already matter life.</t>
  </si>
  <si>
    <t>WO001422</t>
  </si>
  <si>
    <t>DFT-13DG</t>
  </si>
  <si>
    <t>Month see president set realize evening hospital catch although stuff their middle.</t>
  </si>
  <si>
    <t>wo001423</t>
  </si>
  <si>
    <t>DFT-64CJ</t>
  </si>
  <si>
    <t>Yeah crime plant sometimes Congress baby.</t>
  </si>
  <si>
    <t>wo001424</t>
  </si>
  <si>
    <t>DFT-31CH</t>
  </si>
  <si>
    <t>Season subject must nation onto program fish adult city effect.</t>
  </si>
  <si>
    <t>WO001425</t>
  </si>
  <si>
    <t>DFT-54GF</t>
  </si>
  <si>
    <t>Production training across contain several technology down few.</t>
  </si>
  <si>
    <t>WO001426</t>
  </si>
  <si>
    <t>Page about Congress parent radio staff value culture suddenly here during career.</t>
  </si>
  <si>
    <t>WO001427</t>
  </si>
  <si>
    <t>DFT-62JD</t>
  </si>
  <si>
    <t>Argue system responsibility forget bad indeed industry push option all.</t>
  </si>
  <si>
    <t>WO001428</t>
  </si>
  <si>
    <t>DFT-86CI</t>
  </si>
  <si>
    <t>Effort interesting although ago letter social suddenly.</t>
  </si>
  <si>
    <t>WO001429</t>
  </si>
  <si>
    <t>DFT-86BH</t>
  </si>
  <si>
    <t>Age reason question hand Mr not case technology adult.</t>
  </si>
  <si>
    <t>WO001430</t>
  </si>
  <si>
    <t>DFT-24JA</t>
  </si>
  <si>
    <t>Probably people capital pressure born certain scene top.</t>
  </si>
  <si>
    <t>WO001431</t>
  </si>
  <si>
    <t>DFT-44AA</t>
  </si>
  <si>
    <t>A trial minute over its can campaign thing.</t>
  </si>
  <si>
    <t>WO001432</t>
  </si>
  <si>
    <t>DFT-08GC</t>
  </si>
  <si>
    <t>Too arrive wait market difference available others however example guess direction.</t>
  </si>
  <si>
    <t>WO001433</t>
  </si>
  <si>
    <t>DFT-24BD</t>
  </si>
  <si>
    <t>Reflect pull threat week run skill situation computer doctor pressure.</t>
  </si>
  <si>
    <t>WO001434</t>
  </si>
  <si>
    <t>DFT-47ID</t>
  </si>
  <si>
    <t>Bag forward ask very establish benefit.</t>
  </si>
  <si>
    <t>WO001435</t>
  </si>
  <si>
    <t>Important fine view teacher sound although experience treatment education seek star.</t>
  </si>
  <si>
    <t>WO001436</t>
  </si>
  <si>
    <t>DFT-73JI</t>
  </si>
  <si>
    <t>Candidate assume money if college tell claim.</t>
  </si>
  <si>
    <t>WO001437</t>
  </si>
  <si>
    <t>DFT-86CG</t>
  </si>
  <si>
    <t>Maybe contain easy somebody maybe than stand.</t>
  </si>
  <si>
    <t>WO001438</t>
  </si>
  <si>
    <t>DFT-69JB</t>
  </si>
  <si>
    <t>Upon exist letter run Republican point month shake imagine edge staff power left.</t>
  </si>
  <si>
    <t>WO001439</t>
  </si>
  <si>
    <t>DFT-05AD</t>
  </si>
  <si>
    <t>Again attention everything will across run exactly.</t>
  </si>
  <si>
    <t>WO001440</t>
  </si>
  <si>
    <t>DFT-87DG</t>
  </si>
  <si>
    <t>Tax until military little material high fact director.</t>
  </si>
  <si>
    <t>WO001441</t>
  </si>
  <si>
    <t>DFT-70CF</t>
  </si>
  <si>
    <t>National kitchen game cost idea join professor change.</t>
  </si>
  <si>
    <t>WO001442</t>
  </si>
  <si>
    <t>DFT-06HF</t>
  </si>
  <si>
    <t>Your idea blue if visit interview result lose table response thought address.</t>
  </si>
  <si>
    <t>WO001443</t>
  </si>
  <si>
    <t>DFT-89FC</t>
  </si>
  <si>
    <t>Stock same put concern power lay natural my road carry expert.</t>
  </si>
  <si>
    <t>WO001444</t>
  </si>
  <si>
    <t>DFT-56DH</t>
  </si>
  <si>
    <t>Capital number area piece represent avoid citizen push population team.</t>
  </si>
  <si>
    <t>WO001445</t>
  </si>
  <si>
    <t>DFT-75ED</t>
  </si>
  <si>
    <t>Type western near vote impact writer especially bag many their although indeed sea.</t>
  </si>
  <si>
    <t>WO001446</t>
  </si>
  <si>
    <t>DFT-08GB</t>
  </si>
  <si>
    <t>Plant everyone quality outside fill rich thank mention.</t>
  </si>
  <si>
    <t>WO001447</t>
  </si>
  <si>
    <t>DFT-07EF</t>
  </si>
  <si>
    <t>Poor organization expect view behavior doctor must.</t>
  </si>
  <si>
    <t>WO001448</t>
  </si>
  <si>
    <t>DFT-57GI</t>
  </si>
  <si>
    <t>Thus consumer also bit those remain care five attention hotel company story win.</t>
  </si>
  <si>
    <t>WO001449</t>
  </si>
  <si>
    <t>DFT-78AJ</t>
  </si>
  <si>
    <t>Increase democratic second job wait evening use born.</t>
  </si>
  <si>
    <t>WO001450</t>
  </si>
  <si>
    <t>DFT-95GG</t>
  </si>
  <si>
    <t>Response and far consider practice book interesting suggest.</t>
  </si>
  <si>
    <t>WO001451</t>
  </si>
  <si>
    <t>DFT-65EC</t>
  </si>
  <si>
    <t>Technology visit responsibility support here perhaps to memory arrive.</t>
  </si>
  <si>
    <t>WO001452</t>
  </si>
  <si>
    <t>DFT-73CH</t>
  </si>
  <si>
    <t>Camera particular no friend value drop song tend speak example bank another.</t>
  </si>
  <si>
    <t>WO001453</t>
  </si>
  <si>
    <t>DFT-88DJ</t>
  </si>
  <si>
    <t>Coach office north official evidence bed believe avoid main.</t>
  </si>
  <si>
    <t>WO001454</t>
  </si>
  <si>
    <t>DFT-75GE</t>
  </si>
  <si>
    <t>Bring foreign everything after never along must.</t>
  </si>
  <si>
    <t>WO001455</t>
  </si>
  <si>
    <t>DFT-91AJ</t>
  </si>
  <si>
    <t>Especially beyond source bad score baby subject turn room first involve way.</t>
  </si>
  <si>
    <t>WO001456</t>
  </si>
  <si>
    <t>DFT-20JG</t>
  </si>
  <si>
    <t>Between teach entire senior simple your deep season always experience money yard.</t>
  </si>
  <si>
    <t>WO001457</t>
  </si>
  <si>
    <t>DFT-79AB</t>
  </si>
  <si>
    <t>However attack population its live let standard man type act brother wall.</t>
  </si>
  <si>
    <t>WO001458</t>
  </si>
  <si>
    <t>Any store cultural speak baby what her.</t>
  </si>
  <si>
    <t>WO001459</t>
  </si>
  <si>
    <t>DFT-67EB</t>
  </si>
  <si>
    <t>Recently develop son top word side race war soldier off try military.</t>
  </si>
  <si>
    <t>WO001460</t>
  </si>
  <si>
    <t>DFT-25HI</t>
  </si>
  <si>
    <t>Food word after animal buy sell no child his medical.</t>
  </si>
  <si>
    <t>WO001461</t>
  </si>
  <si>
    <t>DFT-07CG</t>
  </si>
  <si>
    <t>Yes recognize standard month statement drop.</t>
  </si>
  <si>
    <t>WO001462</t>
  </si>
  <si>
    <t>DFT-23CC</t>
  </si>
  <si>
    <t>Nothing deep list enjoy baby wear memory must address statement yourself.</t>
  </si>
  <si>
    <t>WO001463</t>
  </si>
  <si>
    <t>DFT-85EI</t>
  </si>
  <si>
    <t>So western already ball eye south specific everyone white record.</t>
  </si>
  <si>
    <t>WO001464</t>
  </si>
  <si>
    <t>DFT-20CF</t>
  </si>
  <si>
    <t>Begin like surface property but give employee industry quality student approach necessary billion.</t>
  </si>
  <si>
    <t>wo001465</t>
  </si>
  <si>
    <t>Available single condition play marriage morning agent.</t>
  </si>
  <si>
    <t>wo001466</t>
  </si>
  <si>
    <t>DFT-03DI</t>
  </si>
  <si>
    <t>Management difficult civil crime within accept pretty tend unit act within.</t>
  </si>
  <si>
    <t>WO001467</t>
  </si>
  <si>
    <t>Performance store south until manager movie think major.</t>
  </si>
  <si>
    <t>WO001468</t>
  </si>
  <si>
    <t>DFT-58AB</t>
  </si>
  <si>
    <t>Anyone machine even raise create arm although prepare hard middle.</t>
  </si>
  <si>
    <t>WO001469</t>
  </si>
  <si>
    <t>DFT-88EI</t>
  </si>
  <si>
    <t>Order expect much particularly cultural condition democratic argue.</t>
  </si>
  <si>
    <t>WO001470</t>
  </si>
  <si>
    <t>DFT-88DF</t>
  </si>
  <si>
    <t>Even cold tend across bring president.</t>
  </si>
  <si>
    <t>WO001471</t>
  </si>
  <si>
    <t>DFT-12EF</t>
  </si>
  <si>
    <t>Weight where turn doctor life small when big action father very word general.</t>
  </si>
  <si>
    <t>WO001472</t>
  </si>
  <si>
    <t>DFT-41FC</t>
  </si>
  <si>
    <t>Or painting leader international such manager prove.</t>
  </si>
  <si>
    <t>WO001473</t>
  </si>
  <si>
    <t>DFT-78HE</t>
  </si>
  <si>
    <t>Land after assume foreign attack hope change nation near campaign what man arrive.</t>
  </si>
  <si>
    <t>WO001474</t>
  </si>
  <si>
    <t>Return operation sort PM party across up part somebody including table.</t>
  </si>
  <si>
    <t>WO001475</t>
  </si>
  <si>
    <t>DFT-82JB</t>
  </si>
  <si>
    <t>Law suddenly property protect be evidence store not since pretty every.</t>
  </si>
  <si>
    <t>WO001476</t>
  </si>
  <si>
    <t>DFT-10JH</t>
  </si>
  <si>
    <t>Word key degree five effect month although become.</t>
  </si>
  <si>
    <t>WO001477</t>
  </si>
  <si>
    <t>DFT-54FA</t>
  </si>
  <si>
    <t>Available who be she help not.</t>
  </si>
  <si>
    <t>WO001478</t>
  </si>
  <si>
    <t>DFT-98EI</t>
  </si>
  <si>
    <t>Edge guess sign leader art change agency reason.</t>
  </si>
  <si>
    <t>WO001479</t>
  </si>
  <si>
    <t>DFT-73GC</t>
  </si>
  <si>
    <t>Section same challenge president brother their like full bill range.</t>
  </si>
  <si>
    <t>WO001480</t>
  </si>
  <si>
    <t>DFT-36AC</t>
  </si>
  <si>
    <t>Career trade himself service itself class capital week civil.</t>
  </si>
  <si>
    <t>WO001481</t>
  </si>
  <si>
    <t>DFT-65FF</t>
  </si>
  <si>
    <t>Economic talk effort well kid window.</t>
  </si>
  <si>
    <t>WO001482</t>
  </si>
  <si>
    <t>DFT-41GA</t>
  </si>
  <si>
    <t>Ago sister about song five parent decide show day.</t>
  </si>
  <si>
    <t>WO001483</t>
  </si>
  <si>
    <t>DFT-03CC</t>
  </si>
  <si>
    <t>Thought watch leave effect less speech teacher do wide arm middle office ground.</t>
  </si>
  <si>
    <t>WO001484</t>
  </si>
  <si>
    <t>DFT-78CE</t>
  </si>
  <si>
    <t>National matter the hold easy cut yes.</t>
  </si>
  <si>
    <t>WO001485</t>
  </si>
  <si>
    <t>DFT-26BD</t>
  </si>
  <si>
    <t>Air interesting answer near church standard.</t>
  </si>
  <si>
    <t>WO001486</t>
  </si>
  <si>
    <t>Actually beyond under enough feel would shake decade many always draw research language.</t>
  </si>
  <si>
    <t>WO001487</t>
  </si>
  <si>
    <t>Challenge send develop leave talk pick feel interest science.</t>
  </si>
  <si>
    <t>WO001488</t>
  </si>
  <si>
    <t>DFT-32BE</t>
  </si>
  <si>
    <t>Cell campaign road live leg sell.</t>
  </si>
  <si>
    <t>WO001489</t>
  </si>
  <si>
    <t>DFT-70IF</t>
  </si>
  <si>
    <t>Who check idea according head water cultural.</t>
  </si>
  <si>
    <t>WO001490</t>
  </si>
  <si>
    <t>DFT-01AH</t>
  </si>
  <si>
    <t>Pattern believe avoid unit citizen draw within society.</t>
  </si>
  <si>
    <t>WO001491</t>
  </si>
  <si>
    <t>DFT-83EJ</t>
  </si>
  <si>
    <t>Cold best red rock save third work exist ok.</t>
  </si>
  <si>
    <t>WO001492</t>
  </si>
  <si>
    <t>PT0085</t>
  </si>
  <si>
    <t>DFT-76DH</t>
  </si>
  <si>
    <t>That ready couple accept pattern well play thought street because since.</t>
  </si>
  <si>
    <t>WO001493</t>
  </si>
  <si>
    <t>DFT-30FE</t>
  </si>
  <si>
    <t>Population yes course bit behind response cut worker away world sort important either.</t>
  </si>
  <si>
    <t>WO001494</t>
  </si>
  <si>
    <t>DFT-16FG</t>
  </si>
  <si>
    <t>Player which there music fish ground beyond some car wonder improve.</t>
  </si>
  <si>
    <t>WO001495</t>
  </si>
  <si>
    <t>DFT-80DH</t>
  </si>
  <si>
    <t>Short choice within all hair story.</t>
  </si>
  <si>
    <t>WO001496</t>
  </si>
  <si>
    <t>DFT-60GJ</t>
  </si>
  <si>
    <t>Sometimes where will get prevent life culture north task.</t>
  </si>
  <si>
    <t>WO001497</t>
  </si>
  <si>
    <t>DFT-77EJ</t>
  </si>
  <si>
    <t>Less conference price despite accept buy charge cost against involve once capital fast.</t>
  </si>
  <si>
    <t>WO001498</t>
  </si>
  <si>
    <t>DFT-47HD</t>
  </si>
  <si>
    <t>Lawyer decide a fight member capital class laugh individual represent.</t>
  </si>
  <si>
    <t>WO001499</t>
  </si>
  <si>
    <t>DFT-33EG</t>
  </si>
  <si>
    <t>Treatment image everything sure produce expect.</t>
  </si>
  <si>
    <t>WO001500</t>
  </si>
  <si>
    <t>DFT-87CH</t>
  </si>
  <si>
    <t>Manager plant hard night like ahead account painting marriage campaign anyone.</t>
  </si>
  <si>
    <t>WO001501</t>
  </si>
  <si>
    <t>DFT-49FI</t>
  </si>
  <si>
    <t>Finish hot radio then bed baby action than soldier bank.</t>
  </si>
  <si>
    <t>WO001502</t>
  </si>
  <si>
    <t>Amount may fly trade wait raise.</t>
  </si>
  <si>
    <t>WO001503</t>
  </si>
  <si>
    <t>DFT-96GI</t>
  </si>
  <si>
    <t>Finally seek generation ten ready now.</t>
  </si>
  <si>
    <t>WO001504</t>
  </si>
  <si>
    <t>DFT-22CC</t>
  </si>
  <si>
    <t>Those close majority president country speech participant look way.</t>
  </si>
  <si>
    <t>WO001505</t>
  </si>
  <si>
    <t>DFT-43DB</t>
  </si>
  <si>
    <t>About appear friend finally military school interesting choice tonight surface country remember pay.</t>
  </si>
  <si>
    <t>WO001506</t>
  </si>
  <si>
    <t>DFT-91ID</t>
  </si>
  <si>
    <t>Image though produce describe husband arrive both current change central.</t>
  </si>
  <si>
    <t>WO001507</t>
  </si>
  <si>
    <t>DFT-83IG</t>
  </si>
  <si>
    <t>Wide can base happen along nor production while if one tend defense.</t>
  </si>
  <si>
    <t>WO001508</t>
  </si>
  <si>
    <t>DFT-30EE</t>
  </si>
  <si>
    <t>Husband cover claim realize evening sea.</t>
  </si>
  <si>
    <t>WO001509</t>
  </si>
  <si>
    <t>Care attack improve surface investment yet personal billion weight performance yet.</t>
  </si>
  <si>
    <t>WO001510</t>
  </si>
  <si>
    <t>DFT-35BA</t>
  </si>
  <si>
    <t>Conference relationship various sit character pretty several.</t>
  </si>
  <si>
    <t>WO001511</t>
  </si>
  <si>
    <t>DFT-72GB</t>
  </si>
  <si>
    <t>Daughter wife artist four store response window learn while ready improve institution pressure.</t>
  </si>
  <si>
    <t>WO001512</t>
  </si>
  <si>
    <t>DFT-63BJ</t>
  </si>
  <si>
    <t>Yard official prove economic chance cultural up point.</t>
  </si>
  <si>
    <t>WO001513</t>
  </si>
  <si>
    <t>DFT-24GJ</t>
  </si>
  <si>
    <t>Trip down possible deep age institution record arrive top ability catch.</t>
  </si>
  <si>
    <t>WO001514</t>
  </si>
  <si>
    <t>Result act discussion nearly there true change care.</t>
  </si>
  <si>
    <t>WO001515</t>
  </si>
  <si>
    <t>DFT-52AB</t>
  </si>
  <si>
    <t>Fly beyond much forget card country such and you station different manage.</t>
  </si>
  <si>
    <t>WO001516</t>
  </si>
  <si>
    <t>DFT-50GA</t>
  </si>
  <si>
    <t>Stock rather first business dinner big capital skin.</t>
  </si>
  <si>
    <t>WO001517</t>
  </si>
  <si>
    <t>DFT-74BI</t>
  </si>
  <si>
    <t>Understand phone few prove base special brother structure.</t>
  </si>
  <si>
    <t>WO001518</t>
  </si>
  <si>
    <t>DFT-88BJ</t>
  </si>
  <si>
    <t>Staff section stand teach perform see model staff similar growth measure.</t>
  </si>
  <si>
    <t>WO001519</t>
  </si>
  <si>
    <t>DFT-12JD</t>
  </si>
  <si>
    <t>Remain force argue home hope future record treatment meet current hotel inside remain.</t>
  </si>
  <si>
    <t>WO001520</t>
  </si>
  <si>
    <t>PT0101</t>
  </si>
  <si>
    <t>DFT-81HA</t>
  </si>
  <si>
    <t>May subject fear risk play way.</t>
  </si>
  <si>
    <t>WO001521</t>
  </si>
  <si>
    <t>DFT-51IC</t>
  </si>
  <si>
    <t>Little well public benefit compare window evening perform between citizen.</t>
  </si>
  <si>
    <t>WO001522</t>
  </si>
  <si>
    <t>DFT-58IA</t>
  </si>
  <si>
    <t>Member subject to send television worker president white.</t>
  </si>
  <si>
    <t>WO001523</t>
  </si>
  <si>
    <t>DFT-94EJ</t>
  </si>
  <si>
    <t>Media wife individual process section born entire.</t>
  </si>
  <si>
    <t>WO001524</t>
  </si>
  <si>
    <t>DFT-02FA</t>
  </si>
  <si>
    <t>Mission toward food first friend right billion.</t>
  </si>
  <si>
    <t>WO001525</t>
  </si>
  <si>
    <t>DFT-30CE</t>
  </si>
  <si>
    <t>Around trip design trade firm marriage evidence poor.</t>
  </si>
  <si>
    <t>WO001526</t>
  </si>
  <si>
    <t>DFT-11AC</t>
  </si>
  <si>
    <t>Apply operation rest friend time course language treatment program.</t>
  </si>
  <si>
    <t>WO001527</t>
  </si>
  <si>
    <t>DFT-22JF</t>
  </si>
  <si>
    <t>Him smile vote ground themselves world back determine though dark respond.</t>
  </si>
  <si>
    <t>WO001528</t>
  </si>
  <si>
    <t>DFT-68BB</t>
  </si>
  <si>
    <t>Real receive computer bank prepare subject course everyone education.</t>
  </si>
  <si>
    <t>WO001529</t>
  </si>
  <si>
    <t>DFT-84FD</t>
  </si>
  <si>
    <t>Former professor perform its deal safe left.</t>
  </si>
  <si>
    <t>WO001530</t>
  </si>
  <si>
    <t>DFT-03GB</t>
  </si>
  <si>
    <t>My officer deal physical collection offer toward step and structure.</t>
  </si>
  <si>
    <t>WO001531</t>
  </si>
  <si>
    <t>DFT-86BE</t>
  </si>
  <si>
    <t>Not above who avoid book central.</t>
  </si>
  <si>
    <t>WO001532</t>
  </si>
  <si>
    <t>DFT-59CG</t>
  </si>
  <si>
    <t>Between help politics action seek act across quite technology message fight.</t>
  </si>
  <si>
    <t>WO001533</t>
  </si>
  <si>
    <t>Congress effort watch store painting staff party because what.</t>
  </si>
  <si>
    <t>WO001534</t>
  </si>
  <si>
    <t>DFT-82FC</t>
  </si>
  <si>
    <t>World treatment across fact also ever person believe heart difficult fill politics buy.</t>
  </si>
  <si>
    <t>WO001535</t>
  </si>
  <si>
    <t>DFT-83HD</t>
  </si>
  <si>
    <t>Discuss alone serious continue purpose view.</t>
  </si>
  <si>
    <t>WO001536</t>
  </si>
  <si>
    <t>DFT-20HH</t>
  </si>
  <si>
    <t>As politics join he focus main coach talk major property.</t>
  </si>
  <si>
    <t>WO001537</t>
  </si>
  <si>
    <t>DFT-40DG</t>
  </si>
  <si>
    <t>Word our bag five quickly may hair hope seek lawyer.</t>
  </si>
  <si>
    <t>WO001538</t>
  </si>
  <si>
    <t>DFT-47DC</t>
  </si>
  <si>
    <t>Energy easy imagine into yard trial trip although great.</t>
  </si>
  <si>
    <t>WO001539</t>
  </si>
  <si>
    <t>PT0177</t>
  </si>
  <si>
    <t>DFT-09FF</t>
  </si>
  <si>
    <t>Success early event billion heavy century human meet discuss require.</t>
  </si>
  <si>
    <t>WO001540</t>
  </si>
  <si>
    <t>DFT-01IH</t>
  </si>
  <si>
    <t>None walk student culture citizen step which to wind student police.</t>
  </si>
  <si>
    <t>WO001541</t>
  </si>
  <si>
    <t>DFT-25GE</t>
  </si>
  <si>
    <t>Summer next organization degree political water step eight such safe well why.</t>
  </si>
  <si>
    <t>WO001542</t>
  </si>
  <si>
    <t>PT0234</t>
  </si>
  <si>
    <t>From father boy trial college last table under rich evidence.</t>
  </si>
  <si>
    <t>WO001543</t>
  </si>
  <si>
    <t>DFT-69BB</t>
  </si>
  <si>
    <t>Follow pull machine dinner interesting television if American either interest.</t>
  </si>
  <si>
    <t>WO001544</t>
  </si>
  <si>
    <t>Economic black college born campaign us.</t>
  </si>
  <si>
    <t>WO001545</t>
  </si>
  <si>
    <t>DFT-17CI</t>
  </si>
  <si>
    <t>Huge he issue interesting rather responsibility fast finally above able.</t>
  </si>
  <si>
    <t>wo001546</t>
  </si>
  <si>
    <t>DFT-87EE</t>
  </si>
  <si>
    <t>Age town however military week hear one finish institution one draw until professor.</t>
  </si>
  <si>
    <t>WO001547</t>
  </si>
  <si>
    <t>War number marriage item summer hear employee within if financial fund threat.</t>
  </si>
  <si>
    <t>WO001548</t>
  </si>
  <si>
    <t>DFT-16JJ</t>
  </si>
  <si>
    <t>Manage bring tell appear party pretty anyone play until easy read pay receive.</t>
  </si>
  <si>
    <t>WO001549</t>
  </si>
  <si>
    <t>DFT-34CA</t>
  </si>
  <si>
    <t>Situation yard walk any road indicate.</t>
  </si>
  <si>
    <t>WO001550</t>
  </si>
  <si>
    <t>DFT-45BG</t>
  </si>
  <si>
    <t>Seek man artist natural ok it work.</t>
  </si>
  <si>
    <t>WO001551</t>
  </si>
  <si>
    <t>DFT-51IB</t>
  </si>
  <si>
    <t>Unit Democrat you go room in.</t>
  </si>
  <si>
    <t>WO001552</t>
  </si>
  <si>
    <t>DFT-11IB</t>
  </si>
  <si>
    <t>Prevent total check week field trial laugh foot key who example.</t>
  </si>
  <si>
    <t>WO001553</t>
  </si>
  <si>
    <t>DFT-19FB</t>
  </si>
  <si>
    <t>Forget agent cell blood charge again author country occur.</t>
  </si>
  <si>
    <t>WO001554</t>
  </si>
  <si>
    <t>DFT-39IB</t>
  </si>
  <si>
    <t>Trade left develop position case local.</t>
  </si>
  <si>
    <t>WO001555</t>
  </si>
  <si>
    <t>DFT-90HJ</t>
  </si>
  <si>
    <t>Usually east president look investment my serve happy space author top about.</t>
  </si>
  <si>
    <t>WO001556</t>
  </si>
  <si>
    <t>DFT-71IJ</t>
  </si>
  <si>
    <t>Soon but month than effect interesting need could agree indicate talk.</t>
  </si>
  <si>
    <t>WO001557</t>
  </si>
  <si>
    <t>DFT-83AH</t>
  </si>
  <si>
    <t>Although protect than simple own thus probably.</t>
  </si>
  <si>
    <t>WO001558</t>
  </si>
  <si>
    <t>DFT-46FD</t>
  </si>
  <si>
    <t>Cause contain low vote third already worker challenge her.</t>
  </si>
  <si>
    <t>WO001559</t>
  </si>
  <si>
    <t>DFT-22GB</t>
  </si>
  <si>
    <t>Community wall good lay me meet lose company drive pressure.</t>
  </si>
  <si>
    <t>WO001560</t>
  </si>
  <si>
    <t>DFT-48EH</t>
  </si>
  <si>
    <t>Him water identify boy line end reflect simple.</t>
  </si>
  <si>
    <t>WO001561</t>
  </si>
  <si>
    <t>DFT-07AH</t>
  </si>
  <si>
    <t>Top technology do debate kind service.</t>
  </si>
  <si>
    <t>WO001562</t>
  </si>
  <si>
    <t>DFT-25JF</t>
  </si>
  <si>
    <t>Window administration phone cup learn about hope increase administration claim worry it condition.</t>
  </si>
  <si>
    <t>WO001563</t>
  </si>
  <si>
    <t>DFT-61BE</t>
  </si>
  <si>
    <t>Movement six energy reflect kid community home husband north bank.</t>
  </si>
  <si>
    <t>wo001564</t>
  </si>
  <si>
    <t>DFT-79GC</t>
  </si>
  <si>
    <t>Boy although alone officer whatever against financial relate list close manager stuff.</t>
  </si>
  <si>
    <t>WO001565</t>
  </si>
  <si>
    <t>DFT-94BB</t>
  </si>
  <si>
    <t>People piece may democratic area garden since power possible fall adult case hot.</t>
  </si>
  <si>
    <t>WO001566</t>
  </si>
  <si>
    <t>DFT-08DE</t>
  </si>
  <si>
    <t>Wish peace might fast suddenly likely office.</t>
  </si>
  <si>
    <t>WO001567</t>
  </si>
  <si>
    <t>DFT-84CC</t>
  </si>
  <si>
    <t>Positive left finish group end cell own support defense energy Democrat seat understand.</t>
  </si>
  <si>
    <t>wo001568</t>
  </si>
  <si>
    <t>DFT-94AG</t>
  </si>
  <si>
    <t>Make bring site while minute common adult tonight these democratic theory place high.</t>
  </si>
  <si>
    <t>WO001569</t>
  </si>
  <si>
    <t>Feel current network public performance reach film protect.</t>
  </si>
  <si>
    <t>WO001570</t>
  </si>
  <si>
    <t>DFT-88HG</t>
  </si>
  <si>
    <t>Feeling very purpose management ready author son situation market anything writer relate politics.</t>
  </si>
  <si>
    <t>WO001571</t>
  </si>
  <si>
    <t>DFT-55DH</t>
  </si>
  <si>
    <t>Add charge effect other task size fast.</t>
  </si>
  <si>
    <t>WO001572</t>
  </si>
  <si>
    <t>DFT-07FF</t>
  </si>
  <si>
    <t>Old himself system teacher staff form.</t>
  </si>
  <si>
    <t>WO001573</t>
  </si>
  <si>
    <t>DFT-64HD</t>
  </si>
  <si>
    <t>Would now record toward expert face population indicate.</t>
  </si>
  <si>
    <t>WO001574</t>
  </si>
  <si>
    <t>DFT-71HC</t>
  </si>
  <si>
    <t>Phone best science gun between so scene focus ago of stop item rock.</t>
  </si>
  <si>
    <t>WO001575</t>
  </si>
  <si>
    <t>Eye write peace maybe collection teacher these explain hospital guess science answer consider.</t>
  </si>
  <si>
    <t>WO001576</t>
  </si>
  <si>
    <t>DFT-38CB</t>
  </si>
  <si>
    <t>Quality issue story do fire ago scene wind sell policy animal.</t>
  </si>
  <si>
    <t>WO001577</t>
  </si>
  <si>
    <t>DFT-51GA</t>
  </si>
  <si>
    <t>Fly population school small stand their government.</t>
  </si>
  <si>
    <t>WO001578</t>
  </si>
  <si>
    <t>DFT-12JI</t>
  </si>
  <si>
    <t>Parent nice out tonight role she open state people imagine return town show.</t>
  </si>
  <si>
    <t>WO001579</t>
  </si>
  <si>
    <t>DFT-90GE</t>
  </si>
  <si>
    <t>Majority according best she place act response perform growth rate.</t>
  </si>
  <si>
    <t>WO001580</t>
  </si>
  <si>
    <t>DFT-74AH</t>
  </si>
  <si>
    <t>Thank unit sure treat pick wrong school green model apply.</t>
  </si>
  <si>
    <t>WO001581</t>
  </si>
  <si>
    <t>DFT-65GH</t>
  </si>
  <si>
    <t>Spend common under senior seat measure forget career do he.</t>
  </si>
  <si>
    <t>WO001582</t>
  </si>
  <si>
    <t>DFT-45GH</t>
  </si>
  <si>
    <t>Care buy language second rest seek growth physical eat college structure.</t>
  </si>
  <si>
    <t>WO001583</t>
  </si>
  <si>
    <t>DFT-59IA</t>
  </si>
  <si>
    <t>Something subject role fight process cup.</t>
  </si>
  <si>
    <t>WO001584</t>
  </si>
  <si>
    <t>DFT-92FD</t>
  </si>
  <si>
    <t>Worker management compare issue quality lead tough past him attack challenge painting.</t>
  </si>
  <si>
    <t>WO001585</t>
  </si>
  <si>
    <t>DFT-46AJ</t>
  </si>
  <si>
    <t>Show matter federal reveal direction bill across give prove plant ten.</t>
  </si>
  <si>
    <t>WO001586</t>
  </si>
  <si>
    <t>DFT-45AB</t>
  </si>
  <si>
    <t>Character into popular suggest act after risk far.</t>
  </si>
  <si>
    <t>WO001587</t>
  </si>
  <si>
    <t>DFT-22AE</t>
  </si>
  <si>
    <t>Create its reveal why ground education program.</t>
  </si>
  <si>
    <t>WO001588</t>
  </si>
  <si>
    <t>DFT-85BD</t>
  </si>
  <si>
    <t>Out cover front then risk ever method generation position law social while.</t>
  </si>
  <si>
    <t>WO001589</t>
  </si>
  <si>
    <t>DFT-87IG</t>
  </si>
  <si>
    <t>Wish new common information time respond need know him fine ball international.</t>
  </si>
  <si>
    <t>WO001590</t>
  </si>
  <si>
    <t>DFT-03AJ</t>
  </si>
  <si>
    <t>Never head in buy prevent administration film religious win direction music our.</t>
  </si>
  <si>
    <t>wo001591</t>
  </si>
  <si>
    <t>DFT-06JB</t>
  </si>
  <si>
    <t>Need technology fire smile modern eight old attention coach test oil serious develop.</t>
  </si>
  <si>
    <t>WO001592</t>
  </si>
  <si>
    <t>DFT-85FD</t>
  </si>
  <si>
    <t>Executive piece everyone run only statement rate well great check war red.</t>
  </si>
  <si>
    <t>WO001593</t>
  </si>
  <si>
    <t>DFT-38JE</t>
  </si>
  <si>
    <t>Beautiful gas body suffer create care two special want former lose.</t>
  </si>
  <si>
    <t>WO001594</t>
  </si>
  <si>
    <t>DFT-80AE</t>
  </si>
  <si>
    <t>Play blue wind wife draw positive against prove under surface may.</t>
  </si>
  <si>
    <t>WO001595</t>
  </si>
  <si>
    <t>DFT-54FG</t>
  </si>
  <si>
    <t>Development activity city true factor character road question anyone.</t>
  </si>
  <si>
    <t>wo001596</t>
  </si>
  <si>
    <t>DFT-45JE</t>
  </si>
  <si>
    <t>Example society will their particular hand.</t>
  </si>
  <si>
    <t>WO001597</t>
  </si>
  <si>
    <t>DFT-85CB</t>
  </si>
  <si>
    <t>Song product another garden beat trade middle tax leave base dinner performance usually door.</t>
  </si>
  <si>
    <t>WO001598</t>
  </si>
  <si>
    <t>DFT-43HH</t>
  </si>
  <si>
    <t>Smile use enough bad to doctor wall never its whether safe.</t>
  </si>
  <si>
    <t>WO001599</t>
  </si>
  <si>
    <t>DFT-01BB</t>
  </si>
  <si>
    <t>Catch assume generation tree these fight.</t>
  </si>
  <si>
    <t>WO001600</t>
  </si>
  <si>
    <t>DFT-47JC</t>
  </si>
  <si>
    <t>Trade response sea manage record card.</t>
  </si>
  <si>
    <t>WO001601</t>
  </si>
  <si>
    <t>DFT-83BE</t>
  </si>
  <si>
    <t>Pm writer produce writer thus shoulder keep series think then.</t>
  </si>
  <si>
    <t>WO001602</t>
  </si>
  <si>
    <t>DFT-42EC</t>
  </si>
  <si>
    <t>Already individual expect fish media view weight.</t>
  </si>
  <si>
    <t>WO001603</t>
  </si>
  <si>
    <t>DFT-07AI</t>
  </si>
  <si>
    <t>Father again hair wife suffer left later character television could.</t>
  </si>
  <si>
    <t>WO001604</t>
  </si>
  <si>
    <t>DFT-25AH</t>
  </si>
  <si>
    <t>Bar address past identify however hundred stuff.</t>
  </si>
  <si>
    <t>wo001605</t>
  </si>
  <si>
    <t>DFT-36EG</t>
  </si>
  <si>
    <t>Week eye too structure true recent since.</t>
  </si>
  <si>
    <t>wo001606</t>
  </si>
  <si>
    <t>DFT-07IA</t>
  </si>
  <si>
    <t>Next safe question experience charge mention challenge rest world new.</t>
  </si>
  <si>
    <t>WO001607</t>
  </si>
  <si>
    <t>DFT-57CC</t>
  </si>
  <si>
    <t>Spend American mother chance crime week.</t>
  </si>
  <si>
    <t>WO001608</t>
  </si>
  <si>
    <t>DFT-48AF</t>
  </si>
  <si>
    <t>Away best cup onto you guess specific information few cup cost service.</t>
  </si>
  <si>
    <t>WO001609</t>
  </si>
  <si>
    <t>DFT-36JC</t>
  </si>
  <si>
    <t>Full amount building buy buy however security yes less picture mission.</t>
  </si>
  <si>
    <t>WO001610</t>
  </si>
  <si>
    <t>DFT-37GE</t>
  </si>
  <si>
    <t>Language poor history send best most feel.</t>
  </si>
  <si>
    <t>wo001611</t>
  </si>
  <si>
    <t>DFT-43BH</t>
  </si>
  <si>
    <t>Question conference understand per real yeah very meeting military ago unit.</t>
  </si>
  <si>
    <t>WO001612</t>
  </si>
  <si>
    <t>DFT-07EG</t>
  </si>
  <si>
    <t>Health police fund base full though site alone.</t>
  </si>
  <si>
    <t>WO001613</t>
  </si>
  <si>
    <t>DFT-34FG</t>
  </si>
  <si>
    <t>Firm young such single check rise life safe true nothing.</t>
  </si>
  <si>
    <t>wo001614</t>
  </si>
  <si>
    <t>DFT-45BI</t>
  </si>
  <si>
    <t>Other number clear attack window industry many.</t>
  </si>
  <si>
    <t>WO001615</t>
  </si>
  <si>
    <t>DFT-91EJ</t>
  </si>
  <si>
    <t>Hear conference indeed small hour music issue several.</t>
  </si>
  <si>
    <t>WO001616</t>
  </si>
  <si>
    <t>DFT-33BH</t>
  </si>
  <si>
    <t>Likely contain young even because identify read cut build eight sell real year.</t>
  </si>
  <si>
    <t>WO001617</t>
  </si>
  <si>
    <t>DFT-32BC</t>
  </si>
  <si>
    <t>Common three music important consider enter paper course onto country inside never score.</t>
  </si>
  <si>
    <t>WO001618</t>
  </si>
  <si>
    <t>DFT-84EI</t>
  </si>
  <si>
    <t>Bank within indeed also various player class side event foot fast.</t>
  </si>
  <si>
    <t>WO001619</t>
  </si>
  <si>
    <t>DFT-52IC</t>
  </si>
  <si>
    <t>Report ahead sense collection that allow none.</t>
  </si>
  <si>
    <t>WO001620</t>
  </si>
  <si>
    <t>Part resource over case your start.</t>
  </si>
  <si>
    <t>WO001621</t>
  </si>
  <si>
    <t>DFT-31FE</t>
  </si>
  <si>
    <t>Stage present with relationship second actually arm nation source.</t>
  </si>
  <si>
    <t>WO001622</t>
  </si>
  <si>
    <t>DFT-77BG</t>
  </si>
  <si>
    <t>Born benefit case read author sister fire.</t>
  </si>
  <si>
    <t>WO001623</t>
  </si>
  <si>
    <t>DFT-23IF</t>
  </si>
  <si>
    <t>Late win return child sell professor charge.</t>
  </si>
  <si>
    <t>WO001624</t>
  </si>
  <si>
    <t>DFT-39JH</t>
  </si>
  <si>
    <t>Material however strong stuff assume leave.</t>
  </si>
  <si>
    <t>WO001625</t>
  </si>
  <si>
    <t>DFT-82EB</t>
  </si>
  <si>
    <t>Just purpose pattern kid teach build police budget such training against name.</t>
  </si>
  <si>
    <t>WO001626</t>
  </si>
  <si>
    <t>DFT-32GD</t>
  </si>
  <si>
    <t>Young analysis air that his civil sea specific.</t>
  </si>
  <si>
    <t>WO001627</t>
  </si>
  <si>
    <t>Pretty image life buy foot never whatever ground husband race school possible relate.</t>
  </si>
  <si>
    <t>WO001628</t>
  </si>
  <si>
    <t>DFT-56BE</t>
  </si>
  <si>
    <t>Effect themselves task accept miss human be really middle large memory why.</t>
  </si>
  <si>
    <t>wo001629</t>
  </si>
  <si>
    <t>DFT-48BB</t>
  </si>
  <si>
    <t>Important check prove soon knowledge charge success.</t>
  </si>
  <si>
    <t>wo001630</t>
  </si>
  <si>
    <t>DFT-37HI</t>
  </si>
  <si>
    <t>White side art of security door model part I.</t>
  </si>
  <si>
    <t>WO001631</t>
  </si>
  <si>
    <t>DFT-84HF</t>
  </si>
  <si>
    <t>Pattern boy result style prepare bill newspaper either ok four.</t>
  </si>
  <si>
    <t>WO001632</t>
  </si>
  <si>
    <t>Almost talk support hospital poor ok.</t>
  </si>
  <si>
    <t>WO001633</t>
  </si>
  <si>
    <t>DFT-47EB</t>
  </si>
  <si>
    <t>Partner watch prove current check two red.</t>
  </si>
  <si>
    <t>WO001634</t>
  </si>
  <si>
    <t>Individual meeting phone toward family game claim spend question quickly long assume this.</t>
  </si>
  <si>
    <t>WO001635</t>
  </si>
  <si>
    <t>DFT-05EH</t>
  </si>
  <si>
    <t>Coach as late stuff commercial blood.</t>
  </si>
  <si>
    <t>WO001636</t>
  </si>
  <si>
    <t>DFT-74EC</t>
  </si>
  <si>
    <t>Unit travel someone firm health table near tend wife order.</t>
  </si>
  <si>
    <t>WO001637</t>
  </si>
  <si>
    <t>DFT-61DD</t>
  </si>
  <si>
    <t>Nearly ready couple defense condition traditional computer look too every too yes.</t>
  </si>
  <si>
    <t>WO001638</t>
  </si>
  <si>
    <t>DFT-92DB</t>
  </si>
  <si>
    <t>Heavy may him certain but note particularly.</t>
  </si>
  <si>
    <t>WO001639</t>
  </si>
  <si>
    <t>DFT-80AF</t>
  </si>
  <si>
    <t>Question animal happen fish friend two.</t>
  </si>
  <si>
    <t>WO001640</t>
  </si>
  <si>
    <t>Person white report image any themselves might about cause themselves argue when.</t>
  </si>
  <si>
    <t>WO001641</t>
  </si>
  <si>
    <t>DFT-84FH</t>
  </si>
  <si>
    <t>Establish forget big sense onto choose blue customer thought through Mr military.</t>
  </si>
  <si>
    <t>WO001642</t>
  </si>
  <si>
    <t>DFT-07JE</t>
  </si>
  <si>
    <t>Professor senior eat over environmental sign tonight.</t>
  </si>
  <si>
    <t>WO001643</t>
  </si>
  <si>
    <t>DFT-81JH</t>
  </si>
  <si>
    <t>Mouth number public front similar election seat.</t>
  </si>
  <si>
    <t>WO001644</t>
  </si>
  <si>
    <t>DFT-32CA</t>
  </si>
  <si>
    <t>Air treatment push prepare result lot voice none.</t>
  </si>
  <si>
    <t>WO001645</t>
  </si>
  <si>
    <t>DFT-83JI</t>
  </si>
  <si>
    <t>Four audience performance month future grow near student.</t>
  </si>
  <si>
    <t>WO001646</t>
  </si>
  <si>
    <t>Fish all like speak across local way form last exist.</t>
  </si>
  <si>
    <t>WO001647</t>
  </si>
  <si>
    <t>DFT-58GI</t>
  </si>
  <si>
    <t>Manager while decade debate direction environment hold support under.</t>
  </si>
  <si>
    <t>WO001648</t>
  </si>
  <si>
    <t>DFT-42BG</t>
  </si>
  <si>
    <t>Trade face live own road spring whom decade TV money begin.</t>
  </si>
  <si>
    <t>WO001649</t>
  </si>
  <si>
    <t>DFT-64AJ</t>
  </si>
  <si>
    <t>Our miss young carry piece meet recognize support defense those.</t>
  </si>
  <si>
    <t>WO001650</t>
  </si>
  <si>
    <t>DFT-90AF</t>
  </si>
  <si>
    <t>Responsibility use image enjoy most value director class respond.</t>
  </si>
  <si>
    <t>WO001651</t>
  </si>
  <si>
    <t>Argue at each watch pick performance common.</t>
  </si>
  <si>
    <t>wo001652</t>
  </si>
  <si>
    <t>DFT-57BE</t>
  </si>
  <si>
    <t>And business right now seek sometimes short new ball indeed him.</t>
  </si>
  <si>
    <t>WO001653</t>
  </si>
  <si>
    <t>DFT-63HG</t>
  </si>
  <si>
    <t>Suggest rate task team network identify site live always among thought.</t>
  </si>
  <si>
    <t>WO001654</t>
  </si>
  <si>
    <t>DFT-04DG</t>
  </si>
  <si>
    <t>Phone hope represent training work one.</t>
  </si>
  <si>
    <t>WO001655</t>
  </si>
  <si>
    <t>Shake military military truth work wish leader method cost senior speak section spring.</t>
  </si>
  <si>
    <t>WO001656</t>
  </si>
  <si>
    <t>DFT-18IH</t>
  </si>
  <si>
    <t>Win hot yard hear sometimes identify pressure people drive.</t>
  </si>
  <si>
    <t>WO001657</t>
  </si>
  <si>
    <t>DFT-72HI</t>
  </si>
  <si>
    <t>Land network reason forget despite summer woman while nearly lead.</t>
  </si>
  <si>
    <t>WO001658</t>
  </si>
  <si>
    <t>DFT-59CE</t>
  </si>
  <si>
    <t>Today to compare just song personal across focus piece weight.</t>
  </si>
  <si>
    <t>WO001659</t>
  </si>
  <si>
    <t>DFT-07FD</t>
  </si>
  <si>
    <t>Government herself share window follow data voice produce old rate.</t>
  </si>
  <si>
    <t>WO001660</t>
  </si>
  <si>
    <t>DFT-23GD</t>
  </si>
  <si>
    <t>Thus ability approach might nor risk teach recently paper represent various.</t>
  </si>
  <si>
    <t>WO001661</t>
  </si>
  <si>
    <t>DFT-37IH</t>
  </si>
  <si>
    <t>Clearly base option long try mind prove how room personal.</t>
  </si>
  <si>
    <t>WO001662</t>
  </si>
  <si>
    <t>DFT-61EA</t>
  </si>
  <si>
    <t>News at table certainly new fact somebody lead.</t>
  </si>
  <si>
    <t>WO001663</t>
  </si>
  <si>
    <t>DFT-63AB</t>
  </si>
  <si>
    <t>Ok official north back finish prepare.</t>
  </si>
  <si>
    <t>WO001664</t>
  </si>
  <si>
    <t>DFT-03CH</t>
  </si>
  <si>
    <t>Toward open soon town wrong movement have drive me evidence car.</t>
  </si>
  <si>
    <t>WO001665</t>
  </si>
  <si>
    <t>DFT-34EF</t>
  </si>
  <si>
    <t>Follow investment power prove enter increase here toward maybe worry federal despite.</t>
  </si>
  <si>
    <t>WO001666</t>
  </si>
  <si>
    <t>DFT-74JB</t>
  </si>
  <si>
    <t>Either available positive small coach student might travel field his billion focus.</t>
  </si>
  <si>
    <t>WO001667</t>
  </si>
  <si>
    <t>DFT-91FJ</t>
  </si>
  <si>
    <t>Production opportunity fire citizen happy rule factor yet claim share several prove.</t>
  </si>
  <si>
    <t>wo001668</t>
  </si>
  <si>
    <t>Apply Mr necessary thus wish despite early today city sign follow person entire.</t>
  </si>
  <si>
    <t>WO001669</t>
  </si>
  <si>
    <t>DFT-53AC</t>
  </si>
  <si>
    <t>Understand energy law in bar although fact worker and perform argue or.</t>
  </si>
  <si>
    <t>WO001670</t>
  </si>
  <si>
    <t>DFT-94DH</t>
  </si>
  <si>
    <t>Career anything memory finally effort free someone attorney.</t>
  </si>
  <si>
    <t>WO001671</t>
  </si>
  <si>
    <t>DFT-59FF</t>
  </si>
  <si>
    <t>Either worry position off meet increase price kitchen financial.</t>
  </si>
  <si>
    <t>WO001672</t>
  </si>
  <si>
    <t>Still when avoid take water choose.</t>
  </si>
  <si>
    <t>WO001673</t>
  </si>
  <si>
    <t>DFT-91AI</t>
  </si>
  <si>
    <t>Interest food know usually truth against of end out soldier.</t>
  </si>
  <si>
    <t>WO001674</t>
  </si>
  <si>
    <t>Exactly little position sing design stop police leg guy hour police movie.</t>
  </si>
  <si>
    <t>WO001675</t>
  </si>
  <si>
    <t>My teacher south pass somebody strong degree agree activity consider measure walk friend.</t>
  </si>
  <si>
    <t>WO001676</t>
  </si>
  <si>
    <t>Full environment information discuss join field.</t>
  </si>
  <si>
    <t>WO001677</t>
  </si>
  <si>
    <t>DFT-74CC</t>
  </si>
  <si>
    <t>Stand main must include guy agency general budget enough table past size.</t>
  </si>
  <si>
    <t>WO001678</t>
  </si>
  <si>
    <t>DFT-12HF</t>
  </si>
  <si>
    <t>Cold important wide particular business kind.</t>
  </si>
  <si>
    <t>WO001679</t>
  </si>
  <si>
    <t>DFT-43JB</t>
  </si>
  <si>
    <t>Child at guy me cost discussion anything view.</t>
  </si>
  <si>
    <t>WO001680</t>
  </si>
  <si>
    <t>DFT-60BI</t>
  </si>
  <si>
    <t>Popular policy serious campaign not recognize too perhaps oil save seem.</t>
  </si>
  <si>
    <t>WO001681</t>
  </si>
  <si>
    <t>DFT-49JC</t>
  </si>
  <si>
    <t>Quality we without concern same address instead build middle seven stay serve.</t>
  </si>
  <si>
    <t>WO001682</t>
  </si>
  <si>
    <t>DFT-50BC</t>
  </si>
  <si>
    <t>Little how whole later artist general moment account.</t>
  </si>
  <si>
    <t>WO001683</t>
  </si>
  <si>
    <t>DFT-61HA</t>
  </si>
  <si>
    <t>One anyone like discuss most main car green player.</t>
  </si>
  <si>
    <t>WO001684</t>
  </si>
  <si>
    <t>Later financial kitchen court final party piece tree table assume soldier.</t>
  </si>
  <si>
    <t>WO001685</t>
  </si>
  <si>
    <t>Sign against season rich drug that decide prevent more.</t>
  </si>
  <si>
    <t>WO001686</t>
  </si>
  <si>
    <t>DFT-81GA</t>
  </si>
  <si>
    <t>Receive large home federal message site wide throw message hold million performance.</t>
  </si>
  <si>
    <t>WO001687</t>
  </si>
  <si>
    <t>DFT-95DJ</t>
  </si>
  <si>
    <t>Might watch generation move police benefit without simple open president.</t>
  </si>
  <si>
    <t>WO001688</t>
  </si>
  <si>
    <t>DFT-27HB</t>
  </si>
  <si>
    <t>Hotel science town usually everyone involve bring under should once behind reflect.</t>
  </si>
  <si>
    <t>WO001689</t>
  </si>
  <si>
    <t>DFT-81CC</t>
  </si>
  <si>
    <t>We knowledge piece appear two building beautiful fish mouth itself south hope.</t>
  </si>
  <si>
    <t>WO001690</t>
  </si>
  <si>
    <t>DFT-99IC</t>
  </si>
  <si>
    <t>Different tonight attorney base key second.</t>
  </si>
  <si>
    <t>WO001691</t>
  </si>
  <si>
    <t>DFT-19IG</t>
  </si>
  <si>
    <t>Shake often far expect assume support kind say letter perform ground future.</t>
  </si>
  <si>
    <t>WO001692</t>
  </si>
  <si>
    <t>DFT-14FB</t>
  </si>
  <si>
    <t>State reveal because whole value protect personal study because draw reduce one.</t>
  </si>
  <si>
    <t>WO001693</t>
  </si>
  <si>
    <t>DFT-79DE</t>
  </si>
  <si>
    <t>Break story citizen thing while easy.</t>
  </si>
  <si>
    <t>wo001694</t>
  </si>
  <si>
    <t>DFT-96DC</t>
  </si>
  <si>
    <t>Still find see send three expert travel social control stuff information church various.</t>
  </si>
  <si>
    <t>WO001695</t>
  </si>
  <si>
    <t>DFT-13IG</t>
  </si>
  <si>
    <t>Former garden several say from turn themselves outside dinner stop.</t>
  </si>
  <si>
    <t>WO001696</t>
  </si>
  <si>
    <t>DFT-97AB</t>
  </si>
  <si>
    <t>Building forward she technology fly federal prevent.</t>
  </si>
  <si>
    <t>WO001697</t>
  </si>
  <si>
    <t>DFT-62ED</t>
  </si>
  <si>
    <t>Commercial six senior church town white listen after heavy item.</t>
  </si>
  <si>
    <t>WO001698</t>
  </si>
  <si>
    <t>Art though account crime country great through inside.</t>
  </si>
  <si>
    <t>WO001699</t>
  </si>
  <si>
    <t>DFT-17JG</t>
  </si>
  <si>
    <t>Sea sing evening fire watch special bag fight individual.</t>
  </si>
  <si>
    <t>WO001700</t>
  </si>
  <si>
    <t>DFT-21DB</t>
  </si>
  <si>
    <t>Management really money stay language alone fill.</t>
  </si>
  <si>
    <t>WO001701</t>
  </si>
  <si>
    <t>Network future special sense little soon fear consider entire short.</t>
  </si>
  <si>
    <t>WO001702</t>
  </si>
  <si>
    <t>DFT-69IG</t>
  </si>
  <si>
    <t>Natural huge note accept second edge claim everyone.</t>
  </si>
  <si>
    <t>WO001703</t>
  </si>
  <si>
    <t>Easy idea house live skill so staff simple.</t>
  </si>
  <si>
    <t>wo001704</t>
  </si>
  <si>
    <t>DFT-11IG</t>
  </si>
  <si>
    <t>Base security report form civil create he.</t>
  </si>
  <si>
    <t>WO001705</t>
  </si>
  <si>
    <t>DFT-28DE</t>
  </si>
  <si>
    <t>Last while box law would sea play performance so significant some cultural role.</t>
  </si>
  <si>
    <t>WO001706</t>
  </si>
  <si>
    <t>Like feeling peace high personal job understand concern no.</t>
  </si>
  <si>
    <t>WO001707</t>
  </si>
  <si>
    <t>DFT-58GH</t>
  </si>
  <si>
    <t>Appear Congress either network gas institution.</t>
  </si>
  <si>
    <t>WO001708</t>
  </si>
  <si>
    <t>Recognize wait nearly various thousand guess beat agreement federal maintain all theory.</t>
  </si>
  <si>
    <t>WO001709</t>
  </si>
  <si>
    <t>DFT-61BG</t>
  </si>
  <si>
    <t>Reach candidate he sort least money.</t>
  </si>
  <si>
    <t>WO001710</t>
  </si>
  <si>
    <t>DFT-22HH</t>
  </si>
  <si>
    <t>Production child tell choose seven marriage when often image.</t>
  </si>
  <si>
    <t>WO001711</t>
  </si>
  <si>
    <t>DFT-76IA</t>
  </si>
  <si>
    <t>Indicate nature fine when wait game value somebody focus experience listen.</t>
  </si>
  <si>
    <t>WO001712</t>
  </si>
  <si>
    <t>Huge huge determine brother everything figure cause.</t>
  </si>
  <si>
    <t>WO001713</t>
  </si>
  <si>
    <t>DFT-09EA</t>
  </si>
  <si>
    <t>Military usually the financial local base stock three catch exist hand.</t>
  </si>
  <si>
    <t>WO001714</t>
  </si>
  <si>
    <t>DFT-72IH</t>
  </si>
  <si>
    <t>But sort current later talk sit possible.</t>
  </si>
  <si>
    <t>WO001715</t>
  </si>
  <si>
    <t>DFT-07FE</t>
  </si>
  <si>
    <t>Put style business total our star actually sport growth generation.</t>
  </si>
  <si>
    <t>WO001716</t>
  </si>
  <si>
    <t>DFT-49IA</t>
  </si>
  <si>
    <t>Third poor picture wind natural through.</t>
  </si>
  <si>
    <t>WO001717</t>
  </si>
  <si>
    <t>DFT-98HG</t>
  </si>
  <si>
    <t>Within thing person however stock see attorney between event safe build might.</t>
  </si>
  <si>
    <t>WO001718</t>
  </si>
  <si>
    <t>DFT-72IB</t>
  </si>
  <si>
    <t>Quickly say history stand within short compare green.</t>
  </si>
  <si>
    <t>WO001719</t>
  </si>
  <si>
    <t>DFT-64EJ</t>
  </si>
  <si>
    <t>Difference question whole law moment those all religious quite.</t>
  </si>
  <si>
    <t>WO001720</t>
  </si>
  <si>
    <t>DFT-39CA</t>
  </si>
  <si>
    <t>Alone staff support early this save factor husband.</t>
  </si>
  <si>
    <t>WO001721</t>
  </si>
  <si>
    <t>DFT-03DF</t>
  </si>
  <si>
    <t>Tough until growth these bag leader game imagine from size see center cell.</t>
  </si>
  <si>
    <t>WO001722</t>
  </si>
  <si>
    <t>DFT-68BD</t>
  </si>
  <si>
    <t>Of house wait good work wear different.</t>
  </si>
  <si>
    <t>WO001723</t>
  </si>
  <si>
    <t>DFT-17DI</t>
  </si>
  <si>
    <t>Cut paper nor amount safe he cultural above.</t>
  </si>
  <si>
    <t>WO001724</t>
  </si>
  <si>
    <t>DFT-03CF</t>
  </si>
  <si>
    <t>Free edge stay TV officer learn fish century clear dog.</t>
  </si>
  <si>
    <t>WO001725</t>
  </si>
  <si>
    <t>DFT-89ID</t>
  </si>
  <si>
    <t>Positive style above institution ball economy green.</t>
  </si>
  <si>
    <t>WO001726</t>
  </si>
  <si>
    <t>DFT-16BG</t>
  </si>
  <si>
    <t>Scene when of mouth conference parent buy.</t>
  </si>
  <si>
    <t>WO001727</t>
  </si>
  <si>
    <t>DFT-61FC</t>
  </si>
  <si>
    <t>Billion see world discuss such institution politics traditional red.</t>
  </si>
  <si>
    <t>WO001728</t>
  </si>
  <si>
    <t>DFT-46FG</t>
  </si>
  <si>
    <t>Environment smile charge subject serve close.</t>
  </si>
  <si>
    <t>WO001729</t>
  </si>
  <si>
    <t>DFT-40FA</t>
  </si>
  <si>
    <t>Certain price through mission economy thank until close.</t>
  </si>
  <si>
    <t>WO001730</t>
  </si>
  <si>
    <t>DFT-90JF</t>
  </si>
  <si>
    <t>Model action specific wife traditional outside light best consumer.</t>
  </si>
  <si>
    <t>WO001731</t>
  </si>
  <si>
    <t>DFT-84IA</t>
  </si>
  <si>
    <t>Lose significant start decision everything right character laugh rich.</t>
  </si>
  <si>
    <t>WO001732</t>
  </si>
  <si>
    <t>DFT-85AB</t>
  </si>
  <si>
    <t>Either will trip everyone team rock speak finally have rock.</t>
  </si>
  <si>
    <t>WO001733</t>
  </si>
  <si>
    <t>DFT-21DF</t>
  </si>
  <si>
    <t>Reflect specific admit green if site coach decision just.</t>
  </si>
  <si>
    <t>WO001734</t>
  </si>
  <si>
    <t>Able every author always single find economy Democrat back agency go.</t>
  </si>
  <si>
    <t>WO001735</t>
  </si>
  <si>
    <t>DFT-32EJ</t>
  </si>
  <si>
    <t>Enough middle along crime into year argue teacher town central into although.</t>
  </si>
  <si>
    <t>WO001736</t>
  </si>
  <si>
    <t>DFT-33JI</t>
  </si>
  <si>
    <t>Direction quite industry perhaps job account store score rest more and sea.</t>
  </si>
  <si>
    <t>WO001737</t>
  </si>
  <si>
    <t>DFT-13IC</t>
  </si>
  <si>
    <t>Early court within behind standard really gas sometimes product.</t>
  </si>
  <si>
    <t>WO001738</t>
  </si>
  <si>
    <t>DFT-93HA</t>
  </si>
  <si>
    <t>Spend meet what message fly say ago particularly challenge nothing win only.</t>
  </si>
  <si>
    <t>WO001739</t>
  </si>
  <si>
    <t>DFT-89DC</t>
  </si>
  <si>
    <t>Fly road interest game special human change.</t>
  </si>
  <si>
    <t>WO001740</t>
  </si>
  <si>
    <t>DFT-48DJ</t>
  </si>
  <si>
    <t>Vote we whom purpose coach picture such easy.</t>
  </si>
  <si>
    <t>WO001741</t>
  </si>
  <si>
    <t>DFT-44EA</t>
  </si>
  <si>
    <t>Your people they behavior term investment.</t>
  </si>
  <si>
    <t>WO001742</t>
  </si>
  <si>
    <t>DFT-77AB</t>
  </si>
  <si>
    <t>Card mission property century above action enjoy.</t>
  </si>
  <si>
    <t>WO001743</t>
  </si>
  <si>
    <t>DFT-63CG</t>
  </si>
  <si>
    <t>Without meeting society response argue final country seven interest clear relate drug.</t>
  </si>
  <si>
    <t>wo001744</t>
  </si>
  <si>
    <t>DFT-74CI</t>
  </si>
  <si>
    <t>Management not recognize else news front final drop still fund law.</t>
  </si>
  <si>
    <t>WO001745</t>
  </si>
  <si>
    <t>DFT-17HG</t>
  </si>
  <si>
    <t>Job dog which program career store already turn.</t>
  </si>
  <si>
    <t>WO001746</t>
  </si>
  <si>
    <t>DFT-19AA</t>
  </si>
  <si>
    <t>Ball federal attack policy practice economic push reason actually fly surface discuss.</t>
  </si>
  <si>
    <t>WO001747</t>
  </si>
  <si>
    <t>Lot environmental oil pull all bring discuss.</t>
  </si>
  <si>
    <t>WO001748</t>
  </si>
  <si>
    <t>DFT-39DB</t>
  </si>
  <si>
    <t>Lawyer say personal world person during likely laugh.</t>
  </si>
  <si>
    <t>WO001749</t>
  </si>
  <si>
    <t>When TV capital minute until remain stock it little skill language.</t>
  </si>
  <si>
    <t>WO001750</t>
  </si>
  <si>
    <t>DFT-77JB</t>
  </si>
  <si>
    <t>Candidate news conference staff remain hope them available machine offer onto.</t>
  </si>
  <si>
    <t>WO001751</t>
  </si>
  <si>
    <t>We ready buy personal yet street eye according force meeting two station really many.</t>
  </si>
  <si>
    <t>WO001752</t>
  </si>
  <si>
    <t>Media pull friend build race card opportunity after current indicate order either kitchen.</t>
  </si>
  <si>
    <t>WO001753</t>
  </si>
  <si>
    <t>DFT-57JB</t>
  </si>
  <si>
    <t>Hear capital arrive both chance share look trial remember.</t>
  </si>
  <si>
    <t>WO001754</t>
  </si>
  <si>
    <t>DFT-98HF</t>
  </si>
  <si>
    <t>State lead media or same impact structure stage.</t>
  </si>
  <si>
    <t>WO001755</t>
  </si>
  <si>
    <t>DFT-95CA</t>
  </si>
  <si>
    <t>Field win yourself memory you name skin next however.</t>
  </si>
  <si>
    <t>WO001756</t>
  </si>
  <si>
    <t>Central actually week feel she affect.</t>
  </si>
  <si>
    <t>WO001757</t>
  </si>
  <si>
    <t>DFT-59GJ</t>
  </si>
  <si>
    <t>Glass air mean popular up inside laugh bag wife sound.</t>
  </si>
  <si>
    <t>WO001758</t>
  </si>
  <si>
    <t>DFT-72IC</t>
  </si>
  <si>
    <t>Space east recently answer reveal time magazine born sense why recognize yard.</t>
  </si>
  <si>
    <t>WO001759</t>
  </si>
  <si>
    <t>DFT-45FH</t>
  </si>
  <si>
    <t>Tell follow water simply term lay full learn possible lawyer physical.</t>
  </si>
  <si>
    <t>WO001760</t>
  </si>
  <si>
    <t>DFT-90HC</t>
  </si>
  <si>
    <t>Rich them meeting investment me vote be.</t>
  </si>
  <si>
    <t>WO001761</t>
  </si>
  <si>
    <t>DFT-28FB</t>
  </si>
  <si>
    <t>Feeling main their rock family arm.</t>
  </si>
  <si>
    <t>WO001762</t>
  </si>
  <si>
    <t>DFT-92HF</t>
  </si>
  <si>
    <t>Hair far protect center central Democrat child dog live bar.</t>
  </si>
  <si>
    <t>WO001763</t>
  </si>
  <si>
    <t>DFT-66EC</t>
  </si>
  <si>
    <t>Item up dark first year first Democrat carry reason.</t>
  </si>
  <si>
    <t>WO001764</t>
  </si>
  <si>
    <t>DFT-71AG</t>
  </si>
  <si>
    <t>Design sometimes require program late line market.</t>
  </si>
  <si>
    <t>WO001765</t>
  </si>
  <si>
    <t>Interest let right worry north need.</t>
  </si>
  <si>
    <t>WO001766</t>
  </si>
  <si>
    <t>DFT-87FF</t>
  </si>
  <si>
    <t>Possible box must son would artist join finish professor my thought same.</t>
  </si>
  <si>
    <t>WO001767</t>
  </si>
  <si>
    <t>News situation yet boy deal almost issue tax important price go century various.</t>
  </si>
  <si>
    <t>WO001768</t>
  </si>
  <si>
    <t>DFT-59IJ</t>
  </si>
  <si>
    <t>Analysis pick reason leave foot back real knowledge above community.</t>
  </si>
  <si>
    <t>WO001769</t>
  </si>
  <si>
    <t>DFT-73ID</t>
  </si>
  <si>
    <t>Them matter central add political interest dinner wall foot change.</t>
  </si>
  <si>
    <t>WO001770</t>
  </si>
  <si>
    <t>Well image rise image contain protect agreement great indeed beyond.</t>
  </si>
  <si>
    <t>WO001771</t>
  </si>
  <si>
    <t>DFT-20CI</t>
  </si>
  <si>
    <t>Then season less sell professor former fight participant push free.</t>
  </si>
  <si>
    <t>WO001772</t>
  </si>
  <si>
    <t>Property certainly fall real opportunity marriage.</t>
  </si>
  <si>
    <t>WO001773</t>
  </si>
  <si>
    <t>DFT-95CH</t>
  </si>
  <si>
    <t>Score carry check believe current difference receive protect figure soldier west.</t>
  </si>
  <si>
    <t>WO001774</t>
  </si>
  <si>
    <t>DFT-88AC</t>
  </si>
  <si>
    <t>About summer though we need decision hotel.</t>
  </si>
  <si>
    <t>WO001775</t>
  </si>
  <si>
    <t>DFT-82ED</t>
  </si>
  <si>
    <t>From attack current industry treatment attention school recent trade like coach.</t>
  </si>
  <si>
    <t>WO001776</t>
  </si>
  <si>
    <t>DFT-56JG</t>
  </si>
  <si>
    <t>Seven ago look make five table now certainly.</t>
  </si>
  <si>
    <t>WO001777</t>
  </si>
  <si>
    <t>DFT-04FC</t>
  </si>
  <si>
    <t>All couple deep low describe people.</t>
  </si>
  <si>
    <t>WO001778</t>
  </si>
  <si>
    <t>DFT-04HG</t>
  </si>
  <si>
    <t>Protect real class listen drop about knowledge break election true similar.</t>
  </si>
  <si>
    <t>WO001779</t>
  </si>
  <si>
    <t>DFT-70GH</t>
  </si>
  <si>
    <t>Letter officer kind light seem bag off sign TV type citizen early.</t>
  </si>
  <si>
    <t>WO001780</t>
  </si>
  <si>
    <t>DFT-99CE</t>
  </si>
  <si>
    <t>Use born candidate camera little always author.</t>
  </si>
  <si>
    <t>WO001781</t>
  </si>
  <si>
    <t>DFT-91JI</t>
  </si>
  <si>
    <t>Yourself appear up only economic maybe about leg specific draw identify include actually.</t>
  </si>
  <si>
    <t>WO001782</t>
  </si>
  <si>
    <t>DFT-11FH</t>
  </si>
  <si>
    <t>Mr daughter study pretty lot week sit onto second you.</t>
  </si>
  <si>
    <t>WO001783</t>
  </si>
  <si>
    <t>DFT-60HB</t>
  </si>
  <si>
    <t>Sea whatever number parent street teacher little claim lot.</t>
  </si>
  <si>
    <t>WO001784</t>
  </si>
  <si>
    <t>DFT-21HH</t>
  </si>
  <si>
    <t>Quickly market simple career PM member produce arm white cover.</t>
  </si>
  <si>
    <t>WO001785</t>
  </si>
  <si>
    <t>DFT-37ED</t>
  </si>
  <si>
    <t>Indeed score there country teacher ago then.</t>
  </si>
  <si>
    <t>WO001786</t>
  </si>
  <si>
    <t>DFT-23GI</t>
  </si>
  <si>
    <t>Onto economy floor road civil mission field until perform win foot political goal.</t>
  </si>
  <si>
    <t>WO001787</t>
  </si>
  <si>
    <t>DFT-23FC</t>
  </si>
  <si>
    <t>Until far happy finish what conference TV majority since strong give.</t>
  </si>
  <si>
    <t>WO001788</t>
  </si>
  <si>
    <t>DFT-44GC</t>
  </si>
  <si>
    <t>Score nothing author record defense language great anything price.</t>
  </si>
  <si>
    <t>WO001789</t>
  </si>
  <si>
    <t>DFT-14DG</t>
  </si>
  <si>
    <t>Final local as a both help officer star.</t>
  </si>
  <si>
    <t>WO001790</t>
  </si>
  <si>
    <t>DFT-74II</t>
  </si>
  <si>
    <t>Can short affect our describe can less them cut never guy within.</t>
  </si>
  <si>
    <t>WO001791</t>
  </si>
  <si>
    <t>Middle avoid safe whom great plan particular.</t>
  </si>
  <si>
    <t>WO001792</t>
  </si>
  <si>
    <t>DFT-37CB</t>
  </si>
  <si>
    <t>Job friend sign society land article save woman military several him.</t>
  </si>
  <si>
    <t>WO001793</t>
  </si>
  <si>
    <t>Would involve against without such billion score fear minute poor per maybe red.</t>
  </si>
  <si>
    <t>WO001794</t>
  </si>
  <si>
    <t>DFT-65IC</t>
  </si>
  <si>
    <t>Sort morning bill news physical establish situation indicate.</t>
  </si>
  <si>
    <t>WO001795</t>
  </si>
  <si>
    <t>It plan strong or yet movement wall development indeed boy dog national.</t>
  </si>
  <si>
    <t>WO001796</t>
  </si>
  <si>
    <t>Bar here line short sit through.</t>
  </si>
  <si>
    <t>WO001797</t>
  </si>
  <si>
    <t>DFT-38EA</t>
  </si>
  <si>
    <t>Cell outside imagine behavior yet across tend marriage why store.</t>
  </si>
  <si>
    <t>WO001798</t>
  </si>
  <si>
    <t>DFT-14FG</t>
  </si>
  <si>
    <t>Land condition wide these order she then perform model central head.</t>
  </si>
  <si>
    <t>WO001799</t>
  </si>
  <si>
    <t>DFT-66CJ</t>
  </si>
  <si>
    <t>Degree blue region describe increase peace whom growth mention word dark.</t>
  </si>
  <si>
    <t>wo001800</t>
  </si>
  <si>
    <t>A do identify world read level specific safe important soon suggest east.</t>
  </si>
  <si>
    <t>wo001801</t>
  </si>
  <si>
    <t>DFT-43GD</t>
  </si>
  <si>
    <t>Official service represent conference force stand list western available treat.</t>
  </si>
  <si>
    <t>WO001802</t>
  </si>
  <si>
    <t>DFT-53ID</t>
  </si>
  <si>
    <t>Least son four compare another four seek hand guess.</t>
  </si>
  <si>
    <t>WO001803</t>
  </si>
  <si>
    <t>DFT-55HA</t>
  </si>
  <si>
    <t>Despite offer leader best article performance home rock population.</t>
  </si>
  <si>
    <t>WO001804</t>
  </si>
  <si>
    <t>DFT-25GI</t>
  </si>
  <si>
    <t>Assume between piece score same case five him save at economic never.</t>
  </si>
  <si>
    <t>WO001805</t>
  </si>
  <si>
    <t>Go author piece part peace focus total name themselves by.</t>
  </si>
  <si>
    <t>WO001806</t>
  </si>
  <si>
    <t>DFT-10BD</t>
  </si>
  <si>
    <t>Generation can view television image raise baby.</t>
  </si>
  <si>
    <t>WO001807</t>
  </si>
  <si>
    <t>DFT-05JI</t>
  </si>
  <si>
    <t>Around trial ahead military look a.</t>
  </si>
  <si>
    <t>WO001808</t>
  </si>
  <si>
    <t>DFT-38EF</t>
  </si>
  <si>
    <t>Forward themselves both might few goal occur be style begin.</t>
  </si>
  <si>
    <t>WO001809</t>
  </si>
  <si>
    <t>DFT-58AA</t>
  </si>
  <si>
    <t>Hundred capital rate old partner current guess own child.</t>
  </si>
  <si>
    <t>WO001810</t>
  </si>
  <si>
    <t>DFT-83GC</t>
  </si>
  <si>
    <t>Focus my measure their money response necessary goal door natural.</t>
  </si>
  <si>
    <t>WO001811</t>
  </si>
  <si>
    <t>DFT-06HJ</t>
  </si>
  <si>
    <t>Life become happy argue turn charge full office already send office task.</t>
  </si>
  <si>
    <t>WO001812</t>
  </si>
  <si>
    <t>DFT-68GI</t>
  </si>
  <si>
    <t>Force and language watch story member anything out low option garden.</t>
  </si>
  <si>
    <t>WO001813</t>
  </si>
  <si>
    <t>DFT-80EE</t>
  </si>
  <si>
    <t>Fish head organization scene seat would wait per.</t>
  </si>
  <si>
    <t>WO001814</t>
  </si>
  <si>
    <t>DFT-55IA</t>
  </si>
  <si>
    <t>Director fill officer service feeling letter continue our too enjoy budget spring.</t>
  </si>
  <si>
    <t>WO001815</t>
  </si>
  <si>
    <t>DFT-46BI</t>
  </si>
  <si>
    <t>Policy policy hair address democratic vote organization particularly boy body.</t>
  </si>
  <si>
    <t>WO001816</t>
  </si>
  <si>
    <t>DFT-33GI</t>
  </si>
  <si>
    <t>Tonight season role family himself close reveal beat plan their fall cause four.</t>
  </si>
  <si>
    <t>WO001817</t>
  </si>
  <si>
    <t>DFT-36GC</t>
  </si>
  <si>
    <t>Reflect wear arrive way protect drug several push these behavior cause speak board.</t>
  </si>
  <si>
    <t>WO001818</t>
  </si>
  <si>
    <t>DFT-22EG</t>
  </si>
  <si>
    <t>High style between trip among single.</t>
  </si>
  <si>
    <t>WO001819</t>
  </si>
  <si>
    <t>DFT-58HE</t>
  </si>
  <si>
    <t>House local each job blue law various study real page.</t>
  </si>
  <si>
    <t>WO001820</t>
  </si>
  <si>
    <t>DFT-24AD</t>
  </si>
  <si>
    <t>Per concern here name training customer floor Mr case.</t>
  </si>
  <si>
    <t>WO001821</t>
  </si>
  <si>
    <t>DFT-89IG</t>
  </si>
  <si>
    <t>Instead the friend never lot live east.</t>
  </si>
  <si>
    <t>WO001822</t>
  </si>
  <si>
    <t>DFT-15GI</t>
  </si>
  <si>
    <t>Too lose past or itself pressure along most suggest outside find may contain suffer.</t>
  </si>
  <si>
    <t>WO001823</t>
  </si>
  <si>
    <t>DFT-51FC</t>
  </si>
  <si>
    <t>Throughout impact actually low travel food they.</t>
  </si>
  <si>
    <t>WO001824</t>
  </si>
  <si>
    <t>DFT-99FE</t>
  </si>
  <si>
    <t>Different get year necessary science short.</t>
  </si>
  <si>
    <t>WO001825</t>
  </si>
  <si>
    <t>DFT-03JA</t>
  </si>
  <si>
    <t>Agree green discussion much state assume crime book usually travel have apply space.</t>
  </si>
  <si>
    <t>WO001826</t>
  </si>
  <si>
    <t>DFT-34EH</t>
  </si>
  <si>
    <t>Energy medical century mission window chance land writer.</t>
  </si>
  <si>
    <t>WO001827</t>
  </si>
  <si>
    <t>According hold yet cold foreign wonder newspaper season class very.</t>
  </si>
  <si>
    <t>WO001828</t>
  </si>
  <si>
    <t>DFT-26AI</t>
  </si>
  <si>
    <t>Life black group answer shake and sell when Mrs offer nor itself.</t>
  </si>
  <si>
    <t>WO001829</t>
  </si>
  <si>
    <t>Follow hospital would her media race open power brother investment who.</t>
  </si>
  <si>
    <t>WO001830</t>
  </si>
  <si>
    <t>Newspaper effect cause especially true without discussion explain.</t>
  </si>
  <si>
    <t>WO001831</t>
  </si>
  <si>
    <t>DFT-89JF</t>
  </si>
  <si>
    <t>Letter hour service mean contain TV good begin physical.</t>
  </si>
  <si>
    <t>WO001832</t>
  </si>
  <si>
    <t>DFT-01BD</t>
  </si>
  <si>
    <t>Sell number fly long at avoid TV deal account walk which.</t>
  </si>
  <si>
    <t>WO001833</t>
  </si>
  <si>
    <t>DFT-33II</t>
  </si>
  <si>
    <t>Congress responsibility through until place it mean class.</t>
  </si>
  <si>
    <t>WO001834</t>
  </si>
  <si>
    <t>DFT-60FF</t>
  </si>
  <si>
    <t>Goal allow that little ball participant drug account according must stop.</t>
  </si>
  <si>
    <t>WO001835</t>
  </si>
  <si>
    <t>DFT-09GC</t>
  </si>
  <si>
    <t>Table much last each safe your firm although.</t>
  </si>
  <si>
    <t>WO001836</t>
  </si>
  <si>
    <t>DFT-04II</t>
  </si>
  <si>
    <t>Force simply star fact record work know including direction require song capital.</t>
  </si>
  <si>
    <t>WO001837</t>
  </si>
  <si>
    <t>DFT-80GD</t>
  </si>
  <si>
    <t>Identify watch investment ten deep as.</t>
  </si>
  <si>
    <t>WO001838</t>
  </si>
  <si>
    <t>Item decision fast person would effort family.</t>
  </si>
  <si>
    <t>WO001839</t>
  </si>
  <si>
    <t>DFT-17IF</t>
  </si>
  <si>
    <t>President hair education item easy between that treatment friend dark network.</t>
  </si>
  <si>
    <t>WO001840</t>
  </si>
  <si>
    <t>Data bring fast same peace party standard trial good.</t>
  </si>
  <si>
    <t>WO001841</t>
  </si>
  <si>
    <t>Not upon standard tough third state war writer produce safe possible.</t>
  </si>
  <si>
    <t>WO001842</t>
  </si>
  <si>
    <t>DFT-47EH</t>
  </si>
  <si>
    <t>Consider star add attack yet order.</t>
  </si>
  <si>
    <t>WO001843</t>
  </si>
  <si>
    <t>Raise hotel staff health full interest law customer.</t>
  </si>
  <si>
    <t>WO001844</t>
  </si>
  <si>
    <t>DFT-54DA</t>
  </si>
  <si>
    <t>Few debate thank week sense shake car lot level base community audience close.</t>
  </si>
  <si>
    <t>WO001845</t>
  </si>
  <si>
    <t>DFT-46JE</t>
  </si>
  <si>
    <t>Occur image ever government dream short on especially practice successful news later agency.</t>
  </si>
  <si>
    <t>WO001846</t>
  </si>
  <si>
    <t>DFT-02DI</t>
  </si>
  <si>
    <t>Early administration candidate film court approach well eye every.</t>
  </si>
  <si>
    <t>WO001847</t>
  </si>
  <si>
    <t>DFT-61EE</t>
  </si>
  <si>
    <t>Whole three end production yard suggest rock card community hope wind situation.</t>
  </si>
  <si>
    <t>WO001848</t>
  </si>
  <si>
    <t>DFT-39JF</t>
  </si>
  <si>
    <t>A middle north follow population wrong listen.</t>
  </si>
  <si>
    <t>WO001849</t>
  </si>
  <si>
    <t>DFT-05EI</t>
  </si>
  <si>
    <t>Study common such research military ago thing entire herself today board.</t>
  </si>
  <si>
    <t>WO001850</t>
  </si>
  <si>
    <t>Easy world industry such else positive million chance maintain his out.</t>
  </si>
  <si>
    <t>WO001851</t>
  </si>
  <si>
    <t>DFT-26GA</t>
  </si>
  <si>
    <t>Life since concern record seek law market party.</t>
  </si>
  <si>
    <t>WO001852</t>
  </si>
  <si>
    <t>DFT-33EH</t>
  </si>
  <si>
    <t>Provide training each during side late out.</t>
  </si>
  <si>
    <t>WO001853</t>
  </si>
  <si>
    <t>DFT-74DF</t>
  </si>
  <si>
    <t>Half manager police she point campaign sea performance compare read response.</t>
  </si>
  <si>
    <t>WO001854</t>
  </si>
  <si>
    <t>DFT-27GB</t>
  </si>
  <si>
    <t>Business age far about moment real police science.</t>
  </si>
  <si>
    <t>WO001855</t>
  </si>
  <si>
    <t>Role represent before light poor single language without opportunity change player.</t>
  </si>
  <si>
    <t>WO001856</t>
  </si>
  <si>
    <t>DFT-30JE</t>
  </si>
  <si>
    <t>Leave night she involve unit at clearly.</t>
  </si>
  <si>
    <t>WO001857</t>
  </si>
  <si>
    <t>DFT-96ID</t>
  </si>
  <si>
    <t>Company nature course see standard man machine pick her available population.</t>
  </si>
  <si>
    <t>WO001858</t>
  </si>
  <si>
    <t>Discussion purpose face speech history drug.</t>
  </si>
  <si>
    <t>WO001859</t>
  </si>
  <si>
    <t>Both four star democratic behind star guy.</t>
  </si>
  <si>
    <t>WO001860</t>
  </si>
  <si>
    <t>DFT-46CA</t>
  </si>
  <si>
    <t>College picture last early despite voice enter key but.</t>
  </si>
  <si>
    <t>WO001861</t>
  </si>
  <si>
    <t>DFT-76EH</t>
  </si>
  <si>
    <t>Large weight police stand order recent ahead city less painting.</t>
  </si>
  <si>
    <t>WO001862</t>
  </si>
  <si>
    <t>DFT-02CB</t>
  </si>
  <si>
    <t>Improve factor international environment growth become computer whole far sister garden.</t>
  </si>
  <si>
    <t>WO001863</t>
  </si>
  <si>
    <t>Set wish service result never collection personal similar explain voice break.</t>
  </si>
  <si>
    <t>WO001864</t>
  </si>
  <si>
    <t>DFT-11DE</t>
  </si>
  <si>
    <t>Out answer every quite organization huge south child movement option.</t>
  </si>
  <si>
    <t>WO001865</t>
  </si>
  <si>
    <t>DFT-30DH</t>
  </si>
  <si>
    <t>Fund floor base happen season worker similar a despite figure green its wear bar.</t>
  </si>
  <si>
    <t>WO001866</t>
  </si>
  <si>
    <t>DFT-15JD</t>
  </si>
  <si>
    <t>Travel decision dark challenge factor myself.</t>
  </si>
  <si>
    <t>wo001867</t>
  </si>
  <si>
    <t>DFT-31HD</t>
  </si>
  <si>
    <t>Small south deal your day successful almost main small structure.</t>
  </si>
  <si>
    <t>wo001868</t>
  </si>
  <si>
    <t>DFT-20DG</t>
  </si>
  <si>
    <t>Food camera everybody care according away.</t>
  </si>
  <si>
    <t>wo001869</t>
  </si>
  <si>
    <t>DFT-34AC</t>
  </si>
  <si>
    <t>Eye lot rather fast Mrs none few within draw right.</t>
  </si>
  <si>
    <t>WO001870</t>
  </si>
  <si>
    <t>DFT-82EH</t>
  </si>
  <si>
    <t>Perform pass example wish report environment two financial better leg.</t>
  </si>
  <si>
    <t>wo001871</t>
  </si>
  <si>
    <t>DFT-57EA</t>
  </si>
  <si>
    <t>Total even direction final democratic individual read yes unit.</t>
  </si>
  <si>
    <t>WO001872</t>
  </si>
  <si>
    <t>DFT-76HI</t>
  </si>
  <si>
    <t>Scene family nature education one out cold TV.</t>
  </si>
  <si>
    <t>WO001873</t>
  </si>
  <si>
    <t>Another amount want majority human camera almost firm not help responsibility institution compare.</t>
  </si>
  <si>
    <t>WO001874</t>
  </si>
  <si>
    <t>DFT-35DA</t>
  </si>
  <si>
    <t>Center sign general so environment base determine contain.</t>
  </si>
  <si>
    <t>WO001875</t>
  </si>
  <si>
    <t>DFT-09DE</t>
  </si>
  <si>
    <t>Task computer newspaper expert sure experience interesting relationship value around cover whether.</t>
  </si>
  <si>
    <t>WO001876</t>
  </si>
  <si>
    <t>DFT-51DA</t>
  </si>
  <si>
    <t>Decision ago build education charge sing add throughout live edge technology detail under.</t>
  </si>
  <si>
    <t>WO001877</t>
  </si>
  <si>
    <t>DFT-83IE</t>
  </si>
  <si>
    <t>Republican ahead feel offer both worry particularly white citizen play.</t>
  </si>
  <si>
    <t>WO001878</t>
  </si>
  <si>
    <t>DFT-96HD</t>
  </si>
  <si>
    <t>Drive house strong station prepare field heavy share authority staff should industry ahead.</t>
  </si>
  <si>
    <t>WO001879</t>
  </si>
  <si>
    <t>DFT-76HF</t>
  </si>
  <si>
    <t>Grow human last big response a low choice old girl budget when seat.</t>
  </si>
  <si>
    <t>WO001880</t>
  </si>
  <si>
    <t>DFT-90IH</t>
  </si>
  <si>
    <t>Happen authority note doctor artist last hit.</t>
  </si>
  <si>
    <t>WO001881</t>
  </si>
  <si>
    <t>DFT-86FA</t>
  </si>
  <si>
    <t>Least cell yet suggest throw alone picture add way well.</t>
  </si>
  <si>
    <t>wo001882</t>
  </si>
  <si>
    <t>DFT-57IE</t>
  </si>
  <si>
    <t>Beyond life behavior win bad debate final ago note and plant special eat.</t>
  </si>
  <si>
    <t>WO001883</t>
  </si>
  <si>
    <t>DFT-89IB</t>
  </si>
  <si>
    <t>Role admit stand force night side mention effort.</t>
  </si>
  <si>
    <t>wo001884</t>
  </si>
  <si>
    <t>DFT-80IC</t>
  </si>
  <si>
    <t>Military daughter station miss account president arrive always.</t>
  </si>
  <si>
    <t>WO001885</t>
  </si>
  <si>
    <t>DFT-12IF</t>
  </si>
  <si>
    <t>Want ago woman decide center attack life side color his.</t>
  </si>
  <si>
    <t>WO001886</t>
  </si>
  <si>
    <t>DFT-43FF</t>
  </si>
  <si>
    <t>Peace movement seem without possible question.</t>
  </si>
  <si>
    <t>WO001887</t>
  </si>
  <si>
    <t>DFT-65FH</t>
  </si>
  <si>
    <t>Low can shake present conference important own.</t>
  </si>
  <si>
    <t>WO001888</t>
  </si>
  <si>
    <t>DFT-28JC</t>
  </si>
  <si>
    <t>Significant fast during drive must remember tax energy worker whatever create listen after.</t>
  </si>
  <si>
    <t>WO001889</t>
  </si>
  <si>
    <t>DFT-86AC</t>
  </si>
  <si>
    <t>Itself age act PM mother dog toward page six.</t>
  </si>
  <si>
    <t>WO001890</t>
  </si>
  <si>
    <t>DFT-52CC</t>
  </si>
  <si>
    <t>Hundred church interview try about discuss drive apply.</t>
  </si>
  <si>
    <t>WO001891</t>
  </si>
  <si>
    <t>DFT-01HF</t>
  </si>
  <si>
    <t>Down cut thousand provide entire learn perform.</t>
  </si>
  <si>
    <t>WO001892</t>
  </si>
  <si>
    <t>Trouble upon skill American always picture need food.</t>
  </si>
  <si>
    <t>WO001893</t>
  </si>
  <si>
    <t>DFT-09CH</t>
  </si>
  <si>
    <t>Claim color whatever husband decision responsibility center any citizen throughout society.</t>
  </si>
  <si>
    <t>WO001894</t>
  </si>
  <si>
    <t>Set drug bad wide international may wall next particular.</t>
  </si>
  <si>
    <t>WO001895</t>
  </si>
  <si>
    <t>DFT-80GH</t>
  </si>
  <si>
    <t>Sing practice south national structure break knowledge draw grow training surface authority.</t>
  </si>
  <si>
    <t>WO001896</t>
  </si>
  <si>
    <t>DFT-63HA</t>
  </si>
  <si>
    <t>Common company then believe general range summer information old age part program until.</t>
  </si>
  <si>
    <t>WO001897</t>
  </si>
  <si>
    <t>Win learn it college treat cause hot option born available computer analysis later.</t>
  </si>
  <si>
    <t>WO001898</t>
  </si>
  <si>
    <t>DFT-61DE</t>
  </si>
  <si>
    <t>Successful watch argue develop remain cover bed short tough real on.</t>
  </si>
  <si>
    <t>WO001899</t>
  </si>
  <si>
    <t>DFT-66IF</t>
  </si>
  <si>
    <t>State standard couple since include recently foreign.</t>
  </si>
  <si>
    <t>WO001900</t>
  </si>
  <si>
    <t>Consumer sometimes keep rise certainly local paper.</t>
  </si>
  <si>
    <t>WO001901</t>
  </si>
  <si>
    <t>DFT-04DB</t>
  </si>
  <si>
    <t>Would purpose sell recognize cup price discover visit important.</t>
  </si>
  <si>
    <t>WO001902</t>
  </si>
  <si>
    <t>DFT-68BF</t>
  </si>
  <si>
    <t>Suggest by these able rich production market boy discuss especially commercial.</t>
  </si>
  <si>
    <t>WO001903</t>
  </si>
  <si>
    <t>DFT-84ED</t>
  </si>
  <si>
    <t>Economic mind himself friend democratic very.</t>
  </si>
  <si>
    <t>WO001904</t>
  </si>
  <si>
    <t>DFT-25BH</t>
  </si>
  <si>
    <t>We employee than resource usually agree current fine difficult standard left focus nothing according.</t>
  </si>
  <si>
    <t>WO001905</t>
  </si>
  <si>
    <t>DFT-10DH</t>
  </si>
  <si>
    <t>Early age deal third phone summer enjoy.</t>
  </si>
  <si>
    <t>WO001906</t>
  </si>
  <si>
    <t>DFT-97CC</t>
  </si>
  <si>
    <t>Then both resource agree town yes morning son what white could.</t>
  </si>
  <si>
    <t>WO001907</t>
  </si>
  <si>
    <t>DFT-31HF</t>
  </si>
  <si>
    <t>Animal figure fall expect much role outside goal north.</t>
  </si>
  <si>
    <t>WO001908</t>
  </si>
  <si>
    <t>DFT-59HB</t>
  </si>
  <si>
    <t>Although catch wide behavior ball few mind station.</t>
  </si>
  <si>
    <t>WO001909</t>
  </si>
  <si>
    <t>Subject director democratic big instead quite food real heavy throw individual area we.</t>
  </si>
  <si>
    <t>WO001910</t>
  </si>
  <si>
    <t>DFT-53EE</t>
  </si>
  <si>
    <t>Let hope key push available professor line produce across right those view.</t>
  </si>
  <si>
    <t>WO001911</t>
  </si>
  <si>
    <t>DFT-61HH</t>
  </si>
  <si>
    <t>Player better benefit into south behavior generation story young here drive.</t>
  </si>
  <si>
    <t>WO001912</t>
  </si>
  <si>
    <t>DFT-15FE</t>
  </si>
  <si>
    <t>Sport environment mind probably staff act.</t>
  </si>
  <si>
    <t>WO001913</t>
  </si>
  <si>
    <t>DFT-71EI</t>
  </si>
  <si>
    <t>Resource after participant quickly stop environmental manage.</t>
  </si>
  <si>
    <t>WO001914</t>
  </si>
  <si>
    <t>Shake floor usually color hospital work.</t>
  </si>
  <si>
    <t>WO001915</t>
  </si>
  <si>
    <t>DFT-00IB</t>
  </si>
  <si>
    <t>Key eat kitchen Mrs huge teach.</t>
  </si>
  <si>
    <t>WO001916</t>
  </si>
  <si>
    <t>Realize performance bed wind check show whose sometimes mention.</t>
  </si>
  <si>
    <t>WO001917</t>
  </si>
  <si>
    <t>DFT-19EH</t>
  </si>
  <si>
    <t>Plan half laugh four car participant some place allow.</t>
  </si>
  <si>
    <t>WO001918</t>
  </si>
  <si>
    <t>DFT-54DE</t>
  </si>
  <si>
    <t>Rather born plant nor debate physical director two early.</t>
  </si>
  <si>
    <t>WO001919</t>
  </si>
  <si>
    <t>DFT-48JJ</t>
  </si>
  <si>
    <t>Choose kid message offer lot training response account health.</t>
  </si>
  <si>
    <t>WO001920</t>
  </si>
  <si>
    <t>DFT-25IF</t>
  </si>
  <si>
    <t>Key research state their remember explain change other hot speech.</t>
  </si>
  <si>
    <t>wo001921</t>
  </si>
  <si>
    <t>DFT-44GI</t>
  </si>
  <si>
    <t>Happen quite bit recognize one specific product.</t>
  </si>
  <si>
    <t>WO001922</t>
  </si>
  <si>
    <t>DFT-41JF</t>
  </si>
  <si>
    <t>Former film PM win local its carry section turn.</t>
  </si>
  <si>
    <t>WO001923</t>
  </si>
  <si>
    <t>DFT-65EA</t>
  </si>
  <si>
    <t>Attention adult surface adult describe gun science against south night.</t>
  </si>
  <si>
    <t>WO001924</t>
  </si>
  <si>
    <t>Stand pressure contain drop card card try investment activity.</t>
  </si>
  <si>
    <t>WO001925</t>
  </si>
  <si>
    <t>DFT-36FD</t>
  </si>
  <si>
    <t>Yourself body medical health evening already least last once improve fact fear.</t>
  </si>
  <si>
    <t>WO001926</t>
  </si>
  <si>
    <t>DFT-53AE</t>
  </si>
  <si>
    <t>Subject decade like most price despite participant company near almost five.</t>
  </si>
  <si>
    <t>WO001927</t>
  </si>
  <si>
    <t>DFT-33DA</t>
  </si>
  <si>
    <t>Peace gas prepare sure against east its picture community.</t>
  </si>
  <si>
    <t>wo001928</t>
  </si>
  <si>
    <t>DFT-08JI</t>
  </si>
  <si>
    <t>Poor my health evidence owner way record.</t>
  </si>
  <si>
    <t>WO001929</t>
  </si>
  <si>
    <t>DFT-89GC</t>
  </si>
  <si>
    <t>Bring part answer baby mission easy pattern have least foreign.</t>
  </si>
  <si>
    <t>WO001930</t>
  </si>
  <si>
    <t>Group environmental just meet week back reveal describe.</t>
  </si>
  <si>
    <t>WO001931</t>
  </si>
  <si>
    <t>Arrive act let new opportunity full bar specific American.</t>
  </si>
  <si>
    <t>WO001932</t>
  </si>
  <si>
    <t>DFT-79ED</t>
  </si>
  <si>
    <t>Four perform ground successful college paper attention sport mind type wife.</t>
  </si>
  <si>
    <t>WO001933</t>
  </si>
  <si>
    <t>Mean stock wall significant discover Mr.</t>
  </si>
  <si>
    <t>WO001934</t>
  </si>
  <si>
    <t>DFT-29AI</t>
  </si>
  <si>
    <t>Late time all society Mrs say floor official station building eye.</t>
  </si>
  <si>
    <t>WO001935</t>
  </si>
  <si>
    <t>DFT-17FF</t>
  </si>
  <si>
    <t>Baby actually growth least national choose time clear daughter help.</t>
  </si>
  <si>
    <t>WO001936</t>
  </si>
  <si>
    <t>Enjoy product the discussion cultural next modern prepare go.</t>
  </si>
  <si>
    <t>WO001937</t>
  </si>
  <si>
    <t>DFT-00BH</t>
  </si>
  <si>
    <t>Wonder whatever customer the during oil interview.</t>
  </si>
  <si>
    <t>WO001938</t>
  </si>
  <si>
    <t>Think process top rock walk focus sea professor audience avoid trial.</t>
  </si>
  <si>
    <t>WO001939</t>
  </si>
  <si>
    <t>DFT-26CB</t>
  </si>
  <si>
    <t>Personal reason group industry be you bed note small with toward.</t>
  </si>
  <si>
    <t>WO001940</t>
  </si>
  <si>
    <t>DFT-69BJ</t>
  </si>
  <si>
    <t>Medical performance to save traditional change possible eat street doctor game less may.</t>
  </si>
  <si>
    <t>WO001941</t>
  </si>
  <si>
    <t>Fly include rise question plant window always ever sound push expert.</t>
  </si>
  <si>
    <t>WO001942</t>
  </si>
  <si>
    <t>DFT-66FB</t>
  </si>
  <si>
    <t>Box visit glass free number strong bed middle seem allow.</t>
  </si>
  <si>
    <t>WO001943</t>
  </si>
  <si>
    <t>DFT-82AH</t>
  </si>
  <si>
    <t>Kitchen six matter task church decide sound shake.</t>
  </si>
  <si>
    <t>WO001944</t>
  </si>
  <si>
    <t>DFT-76DA</t>
  </si>
  <si>
    <t>Race kid so material feel world staff catch last off billion.</t>
  </si>
  <si>
    <t>WO001945</t>
  </si>
  <si>
    <t>DFT-28FD</t>
  </si>
  <si>
    <t>Factor leader close manage reduce writer.</t>
  </si>
  <si>
    <t>WO001946</t>
  </si>
  <si>
    <t>DFT-61JI</t>
  </si>
  <si>
    <t>Rich wrong choose career interesting purpose true imagine single.</t>
  </si>
  <si>
    <t>WO001947</t>
  </si>
  <si>
    <t>Thank modern imagine prove speak look few enter safe why enjoy.</t>
  </si>
  <si>
    <t>WO001948</t>
  </si>
  <si>
    <t>DFT-74DA</t>
  </si>
  <si>
    <t>Expert sing such specific reflect nature cover nearly leg high.</t>
  </si>
  <si>
    <t>wo001949</t>
  </si>
  <si>
    <t>DFT-31FI</t>
  </si>
  <si>
    <t>Despite really name much help soldier.</t>
  </si>
  <si>
    <t>WO001950</t>
  </si>
  <si>
    <t>DFT-99AE</t>
  </si>
  <si>
    <t>Mean must management remember one reduce.</t>
  </si>
  <si>
    <t>WO001951</t>
  </si>
  <si>
    <t>Alone foot win little sound evening thousand from every.</t>
  </si>
  <si>
    <t>WO001952</t>
  </si>
  <si>
    <t>DFT-12EG</t>
  </si>
  <si>
    <t>Guess number blood growth action half make response brother spring there.</t>
  </si>
  <si>
    <t>WO001953</t>
  </si>
  <si>
    <t>DFT-69EH</t>
  </si>
  <si>
    <t>Tend particular admit before build not indicate management particularly scientist race among.</t>
  </si>
  <si>
    <t>WO001954</t>
  </si>
  <si>
    <t>Son early project although interesting bad lead usually election.</t>
  </si>
  <si>
    <t>WO001955</t>
  </si>
  <si>
    <t>DFT-88IG</t>
  </si>
  <si>
    <t>Degree remember property hundred easy main student not.</t>
  </si>
  <si>
    <t>WO001956</t>
  </si>
  <si>
    <t>DFT-11GG</t>
  </si>
  <si>
    <t>Wait so interview trip sell we into evidence far budget skill recent.</t>
  </si>
  <si>
    <t>WO001957</t>
  </si>
  <si>
    <t>DFT-88EC</t>
  </si>
  <si>
    <t>Trade not deep break mind Democrat power report even indeed industry true peace.</t>
  </si>
  <si>
    <t>WO001958</t>
  </si>
  <si>
    <t>Structure ready plant raise make enjoy party since measure on event upon lose.</t>
  </si>
  <si>
    <t>wo001959</t>
  </si>
  <si>
    <t>DFT-42GA</t>
  </si>
  <si>
    <t>Member miss everything contain player study agree job push performance bring accept cold.</t>
  </si>
  <si>
    <t>WO001960</t>
  </si>
  <si>
    <t>Week current rule or when soon within painting head direction wide let.</t>
  </si>
  <si>
    <t>WO001961</t>
  </si>
  <si>
    <t>DFT-53EJ</t>
  </si>
  <si>
    <t>Whole level prevent page truth book collection hard.</t>
  </si>
  <si>
    <t>WO001962</t>
  </si>
  <si>
    <t>DFT-40EE</t>
  </si>
  <si>
    <t>Book old little race throw artist.</t>
  </si>
  <si>
    <t>WO001963</t>
  </si>
  <si>
    <t>DFT-39IH</t>
  </si>
  <si>
    <t>Those factor grow film fast executive decide vote.</t>
  </si>
  <si>
    <t>WO001964</t>
  </si>
  <si>
    <t>DFT-23FA</t>
  </si>
  <si>
    <t>Billion capital line certainly game must candidate.</t>
  </si>
  <si>
    <t>WO001965</t>
  </si>
  <si>
    <t>DFT-17CC</t>
  </si>
  <si>
    <t>Skin everyone manage stuff parent show pay benefit animal lawyer week professional give.</t>
  </si>
  <si>
    <t>wo001966</t>
  </si>
  <si>
    <t>DFT-13DF</t>
  </si>
  <si>
    <t>Dream majority training so begin eye crime benefit.</t>
  </si>
  <si>
    <t>wo001967</t>
  </si>
  <si>
    <t>DFT-24HB</t>
  </si>
  <si>
    <t>Join garden great building movie bar bank offer first.</t>
  </si>
  <si>
    <t>WO001968</t>
  </si>
  <si>
    <t>DFT-76FG</t>
  </si>
  <si>
    <t>Year soon in movement individual our him watch share seven.</t>
  </si>
  <si>
    <t>WO001969</t>
  </si>
  <si>
    <t>DFT-11DD</t>
  </si>
  <si>
    <t>Speech fine memory country where never between free as seem commercial.</t>
  </si>
  <si>
    <t>WO001970</t>
  </si>
  <si>
    <t>DFT-10GF</t>
  </si>
  <si>
    <t>Number skill first treat somebody member.</t>
  </si>
  <si>
    <t>WO001971</t>
  </si>
  <si>
    <t>DFT-63IG</t>
  </si>
  <si>
    <t>Include east style set beautiful not including next message hear section strategy area.</t>
  </si>
  <si>
    <t>WO001972</t>
  </si>
  <si>
    <t>DFT-43IF</t>
  </si>
  <si>
    <t>Represent pass box include senior house big couple.</t>
  </si>
  <si>
    <t>WO001973</t>
  </si>
  <si>
    <t>DFT-49JD</t>
  </si>
  <si>
    <t>Sense I apply player against station arm measure pretty end.</t>
  </si>
  <si>
    <t>WO001974</t>
  </si>
  <si>
    <t>Health official red learn behind wife current why enough beat manage.</t>
  </si>
  <si>
    <t>WO001975</t>
  </si>
  <si>
    <t>DFT-52BI</t>
  </si>
  <si>
    <t>Education almost strategy coach magazine wonder success measure perform interview southern.</t>
  </si>
  <si>
    <t>WO001976</t>
  </si>
  <si>
    <t>DFT-89DA</t>
  </si>
  <si>
    <t>Business TV impact matter spring practice their able writer reveal record.</t>
  </si>
  <si>
    <t>WO001977</t>
  </si>
  <si>
    <t>DFT-88EE</t>
  </si>
  <si>
    <t>Fall really citizen wonder defense kind thus type.</t>
  </si>
  <si>
    <t>WO001978</t>
  </si>
  <si>
    <t>DFT-20GH</t>
  </si>
  <si>
    <t>Cut use writer accept process heavy none score sound.</t>
  </si>
  <si>
    <t>WO001979</t>
  </si>
  <si>
    <t>DFT-90AI</t>
  </si>
  <si>
    <t>Section middle film site person standard recently because window rate early recently.</t>
  </si>
  <si>
    <t>wo001980</t>
  </si>
  <si>
    <t>DFT-76CE</t>
  </si>
  <si>
    <t>Or medical special create deal collection treat usually despite.</t>
  </si>
  <si>
    <t>WO001981</t>
  </si>
  <si>
    <t>DFT-49DC</t>
  </si>
  <si>
    <t>Morning spend herself upon who create better group time.</t>
  </si>
  <si>
    <t>WO001982</t>
  </si>
  <si>
    <t>DFT-88FG</t>
  </si>
  <si>
    <t>Significant nor player always suddenly clearly.</t>
  </si>
  <si>
    <t>WO001983</t>
  </si>
  <si>
    <t>DFT-34JC</t>
  </si>
  <si>
    <t>Expect part bill sort evening smile force mean yeah interview type.</t>
  </si>
  <si>
    <t>WO001984</t>
  </si>
  <si>
    <t>DFT-71CE</t>
  </si>
  <si>
    <t>Sing run get coach wear onto woman daughter simple professor more media.</t>
  </si>
  <si>
    <t>WO001985</t>
  </si>
  <si>
    <t>DFT-31IA</t>
  </si>
  <si>
    <t>Tell stage game order safe security sell.</t>
  </si>
  <si>
    <t>WO001986</t>
  </si>
  <si>
    <t>DFT-49GB</t>
  </si>
  <si>
    <t>Business require human physical stand letter thing as.</t>
  </si>
  <si>
    <t>WO001987</t>
  </si>
  <si>
    <t>Billion up political number friend could couple pass ten region.</t>
  </si>
  <si>
    <t>WO001988</t>
  </si>
  <si>
    <t>Among peace score less teach Democrat list girl argue machine bag prepare.</t>
  </si>
  <si>
    <t>WO001989</t>
  </si>
  <si>
    <t>DFT-33FI</t>
  </si>
  <si>
    <t>Sell southern listen throughout according always free.</t>
  </si>
  <si>
    <t>WO001990</t>
  </si>
  <si>
    <t>DFT-56FI</t>
  </si>
  <si>
    <t>You population your anyone room goal campaign owner.</t>
  </si>
  <si>
    <t>WO001991</t>
  </si>
  <si>
    <t>Leader recent best serious outside give college here difficult cause major.</t>
  </si>
  <si>
    <t>WO001992</t>
  </si>
  <si>
    <t>DFT-16FA</t>
  </si>
  <si>
    <t>American affect tree enter share short form run office add right nature.</t>
  </si>
  <si>
    <t>WO001993</t>
  </si>
  <si>
    <t>DFT-10JA</t>
  </si>
  <si>
    <t>Get executive down shake peace rather better guy score difficult.</t>
  </si>
  <si>
    <t>WO001994</t>
  </si>
  <si>
    <t>DFT-61IC</t>
  </si>
  <si>
    <t>Worry speech pay let piece material pretty.</t>
  </si>
  <si>
    <t>WO001995</t>
  </si>
  <si>
    <t>DFT-40DA</t>
  </si>
  <si>
    <t>Street understand detail wide business contain toward someone decade hour project service dinner.</t>
  </si>
  <si>
    <t>WO001996</t>
  </si>
  <si>
    <t>DFT-84CB</t>
  </si>
  <si>
    <t>Seat issue education large indicate baby brother difficult even.</t>
  </si>
  <si>
    <t>WO001997</t>
  </si>
  <si>
    <t>DFT-43ID</t>
  </si>
  <si>
    <t>Economic shake ever north determine land special several.</t>
  </si>
  <si>
    <t>WO001998</t>
  </si>
  <si>
    <t>DFT-54ID</t>
  </si>
  <si>
    <t>Movement attack team technology age budget.</t>
  </si>
  <si>
    <t>WO001999</t>
  </si>
  <si>
    <t>DFT-01HG</t>
  </si>
  <si>
    <t>Success approach attorney bit family benefit point.</t>
  </si>
  <si>
    <t>WO002000</t>
  </si>
  <si>
    <t>Perhaps goal success hit mind leg political my be very series own opportunity.</t>
  </si>
  <si>
    <t>MRO Financial KPI Dashboard</t>
  </si>
  <si>
    <t>Airline MRO Cost Overrun Analysis</t>
  </si>
  <si>
    <t>KPI</t>
  </si>
  <si>
    <t>Value</t>
  </si>
  <si>
    <t>Formula Used</t>
  </si>
  <si>
    <t>Total Work Orders</t>
  </si>
  <si>
    <t>Total Labour Cost (INR)</t>
  </si>
  <si>
    <t>Total Parts Cost (INR)</t>
  </si>
  <si>
    <t>Total Overhead Cost (INR)</t>
  </si>
  <si>
    <t>Total MRO Cost (INR)</t>
  </si>
  <si>
    <t>Average Delay Days</t>
  </si>
  <si>
    <t>Max Delay Days</t>
  </si>
  <si>
    <t>Closed WO Count</t>
  </si>
  <si>
    <t>AOG Work Orders</t>
  </si>
  <si>
    <t>Average Cost Overrun %</t>
  </si>
  <si>
    <t>COUNTA - Counts all work orders</t>
  </si>
  <si>
    <t>SUM - Total labour cost</t>
  </si>
  <si>
    <t>SUMPRODUCT - Handles text values in parts cost</t>
  </si>
  <si>
    <t>SUM - Total overhead cost</t>
  </si>
  <si>
    <t>B6+B7+B8 - Sum of all costs</t>
  </si>
  <si>
    <t>AVERAGE - Mean delay days</t>
  </si>
  <si>
    <t>MAX - Highest delay recorded</t>
  </si>
  <si>
    <t>COUNTIF - Count where status=Closed</t>
  </si>
  <si>
    <t>COUNTIF - Count where type=AOG</t>
  </si>
  <si>
    <t>AVERAGE of actual vs planned duration ratio</t>
  </si>
  <si>
    <t>MRO Maintenance Cost Scenario Analysis</t>
  </si>
  <si>
    <t>What-If Model: Proactive vs Reactive Maintenance</t>
  </si>
  <si>
    <t>INPUT ASSUMPTIONS</t>
  </si>
  <si>
    <t>Daily AOG Revenue Loss (INR)</t>
  </si>
  <si>
    <t>Average AOG Events Per Year</t>
  </si>
  <si>
    <t>Proactive Inspection Cost Per Aircraft</t>
  </si>
  <si>
    <t>Number of High Risk Aircraft</t>
  </si>
  <si>
    <t>Discount Rate</t>
  </si>
  <si>
    <t>Years of Analysis</t>
  </si>
  <si>
    <t>SCENARIO CALCULATIONS</t>
  </si>
  <si>
    <t>Reactive Maintenance Cost (Annual)</t>
  </si>
  <si>
    <t>Proactive Maintenance Cost (Annual)</t>
  </si>
  <si>
    <t>Annual Savings from Proactive</t>
  </si>
  <si>
    <t>3 Year NPV of Savings</t>
  </si>
  <si>
    <t>Break Even AOG Events</t>
  </si>
  <si>
    <t>Return on Investment %</t>
  </si>
  <si>
    <t>WHAT-IF SENSITIVITY TABLE</t>
  </si>
  <si>
    <t>NPV at different AOG counts and Discount Rates</t>
  </si>
  <si>
    <t>8 AOG Events</t>
  </si>
  <si>
    <t>12 AOG Events</t>
  </si>
  <si>
    <t>16 AOG Events</t>
  </si>
  <si>
    <t>MRO Maintenance Break-Even Analysis</t>
  </si>
  <si>
    <t>At what point does Proactive Maintenance pay for itself?</t>
  </si>
  <si>
    <t>BREAK-EVEN INPUTS</t>
  </si>
  <si>
    <t>Proactive Inspection Cost Per Aircraft (INR)</t>
  </si>
  <si>
    <t>Average AOG Duration (Days)</t>
  </si>
  <si>
    <t>Probability of Catching Fault Early (%)</t>
  </si>
  <si>
    <t>Number of Aircraft Inspected</t>
  </si>
  <si>
    <t>BREAK-EVEN CALCULATIONS</t>
  </si>
  <si>
    <t>Total Inspection Investment</t>
  </si>
  <si>
    <t>Expected AOG Loss Prevented Per Aircraft</t>
  </si>
  <si>
    <t>Total Expected Savings</t>
  </si>
  <si>
    <t>Net Benefit</t>
  </si>
  <si>
    <t>Break-Even Number of Aircraft</t>
  </si>
  <si>
    <t>Break-Even AOG Duration (Days)</t>
  </si>
  <si>
    <t>Payback Period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</si>
</sst>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&quot;₹&quot;\ #,##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164" fontId="1" fillId="0" borderId="1" xfId="0" applyNumberFormat="1" applyFont="1" applyBorder="1"/>
    <xf numFmtId="164" fontId="0" fillId="0" borderId="1" xfId="0" applyNumberFormat="1" applyBorder="1"/>
    <xf numFmtId="0" fontId="1" fillId="0" borderId="1" xfId="0" applyFont="1" applyBorder="1" applyAlignment="1">
      <alignment vertical="center" wrapText="1"/>
    </xf>
    <xf numFmtId="8" fontId="1" fillId="0" borderId="1" xfId="0" applyNumberFormat="1" applyFont="1" applyBorder="1"/>
    <xf numFmtId="0" fontId="0" fillId="0" borderId="1" xfId="0" applyBorder="1" applyAlignment="1">
      <alignment vertical="center" wrapText="1"/>
    </xf>
    <xf numFmtId="0" fontId="1" fillId="0" borderId="2" xfId="0" applyFont="1" applyBorder="1"/>
    <xf numFmtId="0" fontId="0" fillId="0" borderId="2" xfId="0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9" fontId="1" fillId="0" borderId="1" xfId="0" applyNumberFormat="1" applyFont="1" applyBorder="1"/>
    <xf numFmtId="9" fontId="0" fillId="0" borderId="1" xfId="0" applyNumberFormat="1" applyBorder="1"/>
    <xf numFmtId="8" fontId="0" fillId="0" borderId="1" xfId="0" applyNumberFormat="1" applyBorder="1"/>
    <xf numFmtId="0" fontId="2" fillId="2" borderId="1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0C5F98-3C4B-4AE1-BFC4-3C8E2578C249}" autoFormatId="16" applyNumberFormats="0" applyBorderFormats="0" applyFontFormats="0" applyPatternFormats="0" applyAlignmentFormats="0" applyWidthHeightFormats="0">
  <queryTableRefresh nextId="21">
    <queryTableFields count="20">
      <queryTableField id="1" name="work_order_id" tableColumnId="1"/>
      <queryTableField id="2" name="aircraft_id" tableColumnId="2"/>
      <queryTableField id="3" name="primary_part_id" tableColumnId="3"/>
      <queryTableField id="4" name="lead_technician_id" tableColumnId="4"/>
      <queryTableField id="5" name="wo_type" tableColumnId="5"/>
      <queryTableField id="6" name="status" tableColumnId="6"/>
      <queryTableField id="7" name="Date" tableColumnId="7"/>
      <queryTableField id="8" name="close_date" tableColumnId="8"/>
      <queryTableField id="9" name="planned_duration_days" tableColumnId="9"/>
      <queryTableField id="10" name="actual_duration_days" tableColumnId="10"/>
      <queryTableField id="11" name="delay_days" tableColumnId="11"/>
      <queryTableField id="12" name="delay_reason" tableColumnId="12"/>
      <queryTableField id="13" name="labour_hours" tableColumnId="13"/>
      <queryTableField id="14" name="labour_cost_inr" tableColumnId="14"/>
      <queryTableField id="15" name="parts_cost_inr" tableColumnId="15"/>
      <queryTableField id="16" name="overhead_cost_inr" tableColumnId="16"/>
      <queryTableField id="17" name="defect_code" tableColumnId="17"/>
      <queryTableField id="18" name="ata_chapter" tableColumnId="18"/>
      <queryTableField id="19" name="findings_summary" tableColumnId="19"/>
      <queryTableField id="20" name="nrc_raised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487AEC-6879-4F06-8ED6-C704FB989C33}" name="Raw_Data" displayName="Raw_Data" ref="A1:T2001" tableType="queryTable" totalsRowShown="0">
  <autoFilter ref="A1:T2001" xr:uid="{544D1839-9064-4237-B2A9-BFE3B2BA957E}"/>
  <tableColumns count="20">
    <tableColumn id="1" xr3:uid="{A2244494-5DD2-493F-B6FA-1473E41881EB}" uniqueName="1" name="work_order_id" queryTableFieldId="1" dataDxfId="10"/>
    <tableColumn id="2" xr3:uid="{7523C4D8-9D37-4E8F-8647-546B99651007}" uniqueName="2" name="aircraft_id" queryTableFieldId="2" dataDxfId="9"/>
    <tableColumn id="3" xr3:uid="{D75348C2-F0BD-4F19-9586-6EDE31C237A0}" uniqueName="3" name="primary_part_id" queryTableFieldId="3" dataDxfId="8"/>
    <tableColumn id="4" xr3:uid="{14AAAC37-6832-4BBA-AC98-12044E7C9943}" uniqueName="4" name="lead_technician_id" queryTableFieldId="4" dataDxfId="7"/>
    <tableColumn id="5" xr3:uid="{7071AC82-7407-4BFA-BFCE-9699CD95BD7D}" uniqueName="5" name="wo_type" queryTableFieldId="5" dataDxfId="6"/>
    <tableColumn id="6" xr3:uid="{6D5F1511-9FB0-4C4A-877E-9C1D7AE27AEF}" uniqueName="6" name="status" queryTableFieldId="6" dataDxfId="5"/>
    <tableColumn id="7" xr3:uid="{2EA2C84F-BC03-434D-88FB-A00613078C1C}" uniqueName="7" name="Date" queryTableFieldId="7" dataDxfId="4"/>
    <tableColumn id="8" xr3:uid="{C1544E0E-5975-48E7-9B6C-FEE4968E36BA}" uniqueName="8" name="close_date" queryTableFieldId="8" dataDxfId="3"/>
    <tableColumn id="9" xr3:uid="{D5A1A258-A29B-4489-8791-CE620E93ECC7}" uniqueName="9" name="planned_duration_days" queryTableFieldId="9"/>
    <tableColumn id="10" xr3:uid="{97972042-6ADF-44E3-9886-C4AFC3383328}" uniqueName="10" name="actual_duration_days" queryTableFieldId="10"/>
    <tableColumn id="11" xr3:uid="{23874F66-3120-427B-8A83-0D10D8A6A700}" uniqueName="11" name="delay_days" queryTableFieldId="11"/>
    <tableColumn id="12" xr3:uid="{ABA29202-9436-460A-B3AA-D86B6CCFBC6C}" uniqueName="12" name="delay_reason" queryTableFieldId="12" dataDxfId="2"/>
    <tableColumn id="13" xr3:uid="{AD7A517C-D13E-47DC-A665-D300915165B4}" uniqueName="13" name="labour_hours" queryTableFieldId="13"/>
    <tableColumn id="14" xr3:uid="{4305591E-AE1D-46BE-9830-549B698265F3}" uniqueName="14" name="labour_cost_inr" queryTableFieldId="14"/>
    <tableColumn id="15" xr3:uid="{3C0FD11B-419D-44DF-8A0C-0392AC95A67E}" uniqueName="15" name="parts_cost_inr" queryTableFieldId="15"/>
    <tableColumn id="16" xr3:uid="{F3279D96-64DE-4B78-9FBB-C7A4DA9BF83F}" uniqueName="16" name="overhead_cost_inr" queryTableFieldId="16"/>
    <tableColumn id="17" xr3:uid="{C813EB88-220E-4D4C-9A3D-935D69F8F050}" uniqueName="17" name="defect_code" queryTableFieldId="17" dataDxfId="1"/>
    <tableColumn id="18" xr3:uid="{C59B135F-0B8C-4E92-A236-6025EB38280C}" uniqueName="18" name="ata_chapter" queryTableFieldId="18"/>
    <tableColumn id="19" xr3:uid="{95F031D3-0138-4056-A0C6-F4025C7D1C27}" uniqueName="19" name="findings_summary" queryTableFieldId="19" dataDxfId="0"/>
    <tableColumn id="20" xr3:uid="{87890639-58B5-480C-836F-5D174CA02B89}" uniqueName="20" name="nrc_raised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EF4E-8D57-4208-88B8-75A169FCD2B5}">
  <sheetPr codeName="Sheet1"/>
  <dimension ref="A1:T2001"/>
  <sheetViews>
    <sheetView topLeftCell="A52" workbookViewId="0">
      <selection activeCell="A5" sqref="A5"/>
    </sheetView>
  </sheetViews>
  <sheetFormatPr defaultRowHeight="15" x14ac:dyDescent="0.25"/>
  <cols>
    <col min="1" max="1" width="16.42578125" bestFit="1" customWidth="1"/>
    <col min="2" max="2" width="12.28515625" bestFit="1" customWidth="1"/>
    <col min="3" max="3" width="17.5703125" bestFit="1" customWidth="1"/>
    <col min="4" max="5" width="20.28515625" bestFit="1" customWidth="1"/>
    <col min="6" max="6" width="10.7109375" bestFit="1" customWidth="1"/>
    <col min="7" max="7" width="10.42578125" bestFit="1" customWidth="1"/>
    <col min="8" max="8" width="12.85546875" bestFit="1" customWidth="1"/>
    <col min="9" max="9" width="24.5703125" bestFit="1" customWidth="1"/>
    <col min="10" max="10" width="22.42578125" bestFit="1" customWidth="1"/>
    <col min="11" max="11" width="13.140625" bestFit="1" customWidth="1"/>
    <col min="12" max="12" width="26.5703125" bestFit="1" customWidth="1"/>
    <col min="13" max="13" width="15" bestFit="1" customWidth="1"/>
    <col min="14" max="14" width="17.140625" bestFit="1" customWidth="1"/>
    <col min="15" max="15" width="15.85546875" bestFit="1" customWidth="1"/>
    <col min="16" max="16" width="20" bestFit="1" customWidth="1"/>
    <col min="17" max="17" width="14.28515625" bestFit="1" customWidth="1"/>
    <col min="18" max="18" width="13.7109375" bestFit="1" customWidth="1"/>
    <col min="19" max="19" width="81.140625" bestFit="1" customWidth="1"/>
    <col min="20" max="20" width="12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2">
        <v>45403</v>
      </c>
      <c r="H2" s="2">
        <v>45407</v>
      </c>
      <c r="I2">
        <v>3</v>
      </c>
      <c r="J2">
        <v>4</v>
      </c>
      <c r="K2">
        <v>1</v>
      </c>
      <c r="L2" s="1" t="s">
        <v>26</v>
      </c>
      <c r="M2">
        <v>43.5</v>
      </c>
      <c r="N2">
        <v>133859.32999999999</v>
      </c>
      <c r="O2">
        <v>869276.64</v>
      </c>
      <c r="P2">
        <v>140737.35999999999</v>
      </c>
      <c r="Q2" s="1" t="s">
        <v>27</v>
      </c>
      <c r="R2">
        <v>76</v>
      </c>
      <c r="S2" s="1" t="s">
        <v>28</v>
      </c>
      <c r="T2" t="b">
        <v>0</v>
      </c>
    </row>
    <row r="3" spans="1:20" x14ac:dyDescent="0.25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2">
        <v>45048</v>
      </c>
      <c r="H3" s="2"/>
      <c r="I3">
        <v>12</v>
      </c>
      <c r="J3">
        <v>13</v>
      </c>
      <c r="K3">
        <v>1</v>
      </c>
      <c r="L3" s="1" t="s">
        <v>26</v>
      </c>
      <c r="M3">
        <v>195.7</v>
      </c>
      <c r="N3">
        <v>826242.4</v>
      </c>
      <c r="O3">
        <v>110962.11</v>
      </c>
      <c r="P3">
        <v>170326.23</v>
      </c>
      <c r="Q3" s="1" t="s">
        <v>35</v>
      </c>
      <c r="R3">
        <v>34</v>
      </c>
      <c r="S3" s="1" t="s">
        <v>36</v>
      </c>
      <c r="T3" t="b">
        <v>1</v>
      </c>
    </row>
    <row r="4" spans="1:20" x14ac:dyDescent="0.2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25</v>
      </c>
      <c r="G4" s="2">
        <v>45177</v>
      </c>
      <c r="H4" s="2">
        <v>45192</v>
      </c>
      <c r="I4">
        <v>9</v>
      </c>
      <c r="J4">
        <v>15</v>
      </c>
      <c r="K4">
        <v>6</v>
      </c>
      <c r="L4" s="1" t="s">
        <v>42</v>
      </c>
      <c r="M4">
        <v>208.6</v>
      </c>
      <c r="N4">
        <v>527222.72</v>
      </c>
      <c r="O4">
        <v>2089695.91</v>
      </c>
      <c r="P4">
        <v>430628.3</v>
      </c>
      <c r="Q4" s="1" t="s">
        <v>43</v>
      </c>
      <c r="R4">
        <v>53</v>
      </c>
      <c r="S4" s="1" t="s">
        <v>44</v>
      </c>
      <c r="T4" t="b">
        <v>0</v>
      </c>
    </row>
    <row r="5" spans="1:20" x14ac:dyDescent="0.2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2">
        <v>44677</v>
      </c>
      <c r="H5" s="2"/>
      <c r="I5">
        <v>25</v>
      </c>
      <c r="J5">
        <v>15</v>
      </c>
      <c r="K5">
        <v>0</v>
      </c>
      <c r="L5" s="1" t="s">
        <v>26</v>
      </c>
      <c r="M5">
        <v>71.8</v>
      </c>
      <c r="N5">
        <v>266797.12</v>
      </c>
      <c r="O5">
        <v>2022891.85</v>
      </c>
      <c r="P5">
        <v>407682.88</v>
      </c>
      <c r="Q5" s="1" t="s">
        <v>51</v>
      </c>
      <c r="R5">
        <v>73</v>
      </c>
      <c r="S5" s="1" t="s">
        <v>52</v>
      </c>
      <c r="T5" t="b">
        <v>1</v>
      </c>
    </row>
    <row r="6" spans="1:20" x14ac:dyDescent="0.25">
      <c r="A6" s="1" t="s">
        <v>53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25</v>
      </c>
      <c r="G6" s="2">
        <v>44680</v>
      </c>
      <c r="H6" s="2">
        <v>44729</v>
      </c>
      <c r="I6">
        <v>40</v>
      </c>
      <c r="J6">
        <v>49</v>
      </c>
      <c r="K6">
        <v>9</v>
      </c>
      <c r="L6" s="1" t="s">
        <v>58</v>
      </c>
      <c r="M6">
        <v>225.7</v>
      </c>
      <c r="N6">
        <v>625868.97</v>
      </c>
      <c r="O6">
        <v>1003557.76</v>
      </c>
      <c r="P6">
        <v>222962.92</v>
      </c>
      <c r="Q6" s="1" t="s">
        <v>59</v>
      </c>
      <c r="R6">
        <v>51</v>
      </c>
      <c r="S6" s="1" t="s">
        <v>60</v>
      </c>
      <c r="T6" t="b">
        <v>0</v>
      </c>
    </row>
    <row r="7" spans="1:20" x14ac:dyDescent="0.25">
      <c r="A7" s="1" t="s">
        <v>61</v>
      </c>
      <c r="B7" s="1" t="s">
        <v>62</v>
      </c>
      <c r="C7" s="1" t="s">
        <v>63</v>
      </c>
      <c r="D7" s="1" t="s">
        <v>64</v>
      </c>
      <c r="E7" s="1" t="s">
        <v>65</v>
      </c>
      <c r="F7" s="1" t="s">
        <v>66</v>
      </c>
      <c r="G7" s="2">
        <v>44925</v>
      </c>
      <c r="H7" s="2"/>
      <c r="I7">
        <v>4</v>
      </c>
      <c r="J7">
        <v>6</v>
      </c>
      <c r="K7">
        <v>1.5</v>
      </c>
      <c r="L7" s="1" t="s">
        <v>26</v>
      </c>
      <c r="M7">
        <v>48.8</v>
      </c>
      <c r="N7">
        <v>198209.26</v>
      </c>
      <c r="O7">
        <v>1300713.04</v>
      </c>
      <c r="P7">
        <v>274433.21999999997</v>
      </c>
      <c r="Q7" s="1" t="s">
        <v>67</v>
      </c>
      <c r="R7">
        <v>56</v>
      </c>
      <c r="S7" s="1" t="s">
        <v>68</v>
      </c>
      <c r="T7" t="b">
        <v>1</v>
      </c>
    </row>
    <row r="8" spans="1:20" x14ac:dyDescent="0.25">
      <c r="A8" s="1" t="s">
        <v>69</v>
      </c>
      <c r="B8" s="1" t="s">
        <v>70</v>
      </c>
      <c r="C8" s="1" t="s">
        <v>71</v>
      </c>
      <c r="D8" s="1" t="s">
        <v>72</v>
      </c>
      <c r="E8" s="1" t="s">
        <v>41</v>
      </c>
      <c r="F8" s="1" t="s">
        <v>25</v>
      </c>
      <c r="G8" s="2">
        <v>45015</v>
      </c>
      <c r="H8" s="2">
        <v>45028</v>
      </c>
      <c r="I8">
        <v>9</v>
      </c>
      <c r="J8">
        <v>13</v>
      </c>
      <c r="K8">
        <v>4</v>
      </c>
      <c r="L8" s="1" t="s">
        <v>26</v>
      </c>
      <c r="M8">
        <v>84.3</v>
      </c>
      <c r="N8">
        <v>300047.78999999998</v>
      </c>
      <c r="O8">
        <v>2571273.36</v>
      </c>
      <c r="P8">
        <v>535395.14</v>
      </c>
      <c r="Q8" s="1" t="s">
        <v>73</v>
      </c>
      <c r="R8">
        <v>71</v>
      </c>
      <c r="S8" s="1" t="s">
        <v>74</v>
      </c>
      <c r="T8" t="b">
        <v>1</v>
      </c>
    </row>
    <row r="9" spans="1:20" x14ac:dyDescent="0.25">
      <c r="A9" s="1" t="s">
        <v>75</v>
      </c>
      <c r="B9" s="1" t="s">
        <v>76</v>
      </c>
      <c r="C9" s="1" t="s">
        <v>77</v>
      </c>
      <c r="D9" s="1" t="s">
        <v>78</v>
      </c>
      <c r="E9" s="1" t="s">
        <v>24</v>
      </c>
      <c r="F9" s="1" t="s">
        <v>66</v>
      </c>
      <c r="G9" s="2">
        <v>45020</v>
      </c>
      <c r="H9" s="2"/>
      <c r="I9">
        <v>3</v>
      </c>
      <c r="J9">
        <v>3</v>
      </c>
      <c r="K9">
        <v>0</v>
      </c>
      <c r="L9" s="1" t="s">
        <v>26</v>
      </c>
      <c r="M9">
        <v>37.700000000000003</v>
      </c>
      <c r="N9">
        <v>140066.59</v>
      </c>
      <c r="O9">
        <v>1384139.01</v>
      </c>
      <c r="P9">
        <v>288910.58</v>
      </c>
      <c r="Q9" s="1" t="s">
        <v>79</v>
      </c>
      <c r="R9">
        <v>63</v>
      </c>
      <c r="S9" s="1" t="s">
        <v>80</v>
      </c>
      <c r="T9" t="b">
        <v>0</v>
      </c>
    </row>
    <row r="10" spans="1:20" x14ac:dyDescent="0.25">
      <c r="A10" s="1" t="s">
        <v>81</v>
      </c>
      <c r="B10" s="1" t="s">
        <v>82</v>
      </c>
      <c r="C10" s="1" t="s">
        <v>83</v>
      </c>
      <c r="D10" s="1" t="s">
        <v>84</v>
      </c>
      <c r="E10" s="1" t="s">
        <v>33</v>
      </c>
      <c r="F10" s="1" t="s">
        <v>66</v>
      </c>
      <c r="G10" s="2">
        <v>44771</v>
      </c>
      <c r="H10" s="2"/>
      <c r="I10">
        <v>12</v>
      </c>
      <c r="J10">
        <v>16</v>
      </c>
      <c r="K10">
        <v>4</v>
      </c>
      <c r="L10" s="1" t="s">
        <v>26</v>
      </c>
      <c r="M10">
        <v>249.6</v>
      </c>
      <c r="N10">
        <v>1014953.9</v>
      </c>
      <c r="O10">
        <v>2811671.02</v>
      </c>
      <c r="P10">
        <v>609876.97</v>
      </c>
      <c r="Q10" s="1" t="s">
        <v>85</v>
      </c>
      <c r="R10">
        <v>60</v>
      </c>
      <c r="S10" s="1" t="s">
        <v>86</v>
      </c>
      <c r="T10" t="b">
        <v>0</v>
      </c>
    </row>
    <row r="11" spans="1:20" x14ac:dyDescent="0.25">
      <c r="A11" s="1" t="s">
        <v>87</v>
      </c>
      <c r="B11" s="1" t="s">
        <v>21</v>
      </c>
      <c r="C11" s="1" t="s">
        <v>88</v>
      </c>
      <c r="D11" s="1" t="s">
        <v>89</v>
      </c>
      <c r="E11" s="1" t="s">
        <v>24</v>
      </c>
      <c r="F11" s="1" t="s">
        <v>34</v>
      </c>
      <c r="G11" s="2">
        <v>45129</v>
      </c>
      <c r="H11" s="2"/>
      <c r="I11">
        <v>3</v>
      </c>
      <c r="J11">
        <v>3</v>
      </c>
      <c r="K11">
        <v>0</v>
      </c>
      <c r="L11" s="1" t="s">
        <v>26</v>
      </c>
      <c r="M11">
        <v>18.8</v>
      </c>
      <c r="N11">
        <v>60097.82</v>
      </c>
      <c r="O11">
        <v>1209107.3700000001</v>
      </c>
      <c r="P11">
        <v>134126.39000000001</v>
      </c>
      <c r="Q11" s="1" t="s">
        <v>90</v>
      </c>
      <c r="R11">
        <v>28</v>
      </c>
      <c r="S11" s="1" t="s">
        <v>91</v>
      </c>
      <c r="T11" t="b">
        <v>1</v>
      </c>
    </row>
    <row r="12" spans="1:20" x14ac:dyDescent="0.25">
      <c r="A12" s="1" t="s">
        <v>92</v>
      </c>
      <c r="B12" s="1" t="s">
        <v>93</v>
      </c>
      <c r="C12" s="1" t="s">
        <v>94</v>
      </c>
      <c r="D12" s="1" t="s">
        <v>95</v>
      </c>
      <c r="E12" s="1" t="s">
        <v>24</v>
      </c>
      <c r="F12" s="1" t="s">
        <v>25</v>
      </c>
      <c r="G12" s="2">
        <v>45580</v>
      </c>
      <c r="H12" s="2">
        <v>45584</v>
      </c>
      <c r="I12">
        <v>3</v>
      </c>
      <c r="J12">
        <v>4</v>
      </c>
      <c r="K12">
        <v>1</v>
      </c>
      <c r="L12" s="1" t="s">
        <v>26</v>
      </c>
      <c r="M12">
        <v>35.4</v>
      </c>
      <c r="N12">
        <v>134136.85</v>
      </c>
      <c r="O12">
        <v>2919288.28</v>
      </c>
      <c r="P12">
        <v>609083.12</v>
      </c>
      <c r="Q12" s="1" t="s">
        <v>96</v>
      </c>
      <c r="R12">
        <v>70</v>
      </c>
      <c r="S12" s="1" t="s">
        <v>97</v>
      </c>
      <c r="T12" t="b">
        <v>0</v>
      </c>
    </row>
    <row r="13" spans="1:20" x14ac:dyDescent="0.25">
      <c r="A13" s="1" t="s">
        <v>98</v>
      </c>
      <c r="B13" s="1" t="s">
        <v>99</v>
      </c>
      <c r="C13" s="1" t="s">
        <v>100</v>
      </c>
      <c r="D13" s="1" t="s">
        <v>89</v>
      </c>
      <c r="E13" s="1" t="s">
        <v>49</v>
      </c>
      <c r="F13" s="1" t="s">
        <v>25</v>
      </c>
      <c r="G13" s="2">
        <v>45296</v>
      </c>
      <c r="H13" s="2">
        <v>45333</v>
      </c>
      <c r="I13">
        <v>25</v>
      </c>
      <c r="J13">
        <v>37</v>
      </c>
      <c r="K13">
        <v>12</v>
      </c>
      <c r="L13" s="1" t="s">
        <v>101</v>
      </c>
      <c r="M13">
        <v>223.5</v>
      </c>
      <c r="N13">
        <v>799137.58</v>
      </c>
      <c r="O13">
        <v>2795657.74</v>
      </c>
      <c r="P13">
        <v>465088.89</v>
      </c>
      <c r="Q13" s="1" t="s">
        <v>102</v>
      </c>
      <c r="R13">
        <v>77</v>
      </c>
      <c r="S13" s="1" t="s">
        <v>103</v>
      </c>
      <c r="T13" t="b">
        <v>0</v>
      </c>
    </row>
    <row r="14" spans="1:20" x14ac:dyDescent="0.25">
      <c r="A14" s="1" t="s">
        <v>104</v>
      </c>
      <c r="B14" s="1" t="s">
        <v>105</v>
      </c>
      <c r="C14" s="1" t="s">
        <v>106</v>
      </c>
      <c r="D14" s="1" t="s">
        <v>107</v>
      </c>
      <c r="E14" s="1" t="s">
        <v>57</v>
      </c>
      <c r="F14" s="1" t="s">
        <v>25</v>
      </c>
      <c r="G14" s="2">
        <v>44744</v>
      </c>
      <c r="H14" s="2">
        <v>44778</v>
      </c>
      <c r="I14">
        <v>40</v>
      </c>
      <c r="J14">
        <v>34</v>
      </c>
      <c r="K14">
        <v>0</v>
      </c>
      <c r="L14" s="1" t="s">
        <v>26</v>
      </c>
      <c r="M14">
        <v>439.6</v>
      </c>
      <c r="N14">
        <v>1155765.6499999999</v>
      </c>
      <c r="O14">
        <v>3942571.28</v>
      </c>
      <c r="P14">
        <v>678750.33</v>
      </c>
      <c r="Q14" s="1" t="s">
        <v>108</v>
      </c>
      <c r="R14">
        <v>75</v>
      </c>
      <c r="S14" s="1" t="s">
        <v>109</v>
      </c>
      <c r="T14" t="b">
        <v>1</v>
      </c>
    </row>
    <row r="15" spans="1:20" x14ac:dyDescent="0.25">
      <c r="A15" s="1" t="s">
        <v>110</v>
      </c>
      <c r="B15" s="1" t="s">
        <v>111</v>
      </c>
      <c r="C15" s="1" t="s">
        <v>112</v>
      </c>
      <c r="D15" s="1" t="s">
        <v>113</v>
      </c>
      <c r="E15" s="1" t="s">
        <v>57</v>
      </c>
      <c r="F15" s="1" t="s">
        <v>66</v>
      </c>
      <c r="G15" s="2">
        <v>45529</v>
      </c>
      <c r="H15" s="2"/>
      <c r="I15">
        <v>40</v>
      </c>
      <c r="J15">
        <v>27</v>
      </c>
      <c r="K15">
        <v>0</v>
      </c>
      <c r="L15" s="1" t="s">
        <v>26</v>
      </c>
      <c r="M15">
        <v>389.1</v>
      </c>
      <c r="N15">
        <v>1101350.23</v>
      </c>
      <c r="O15">
        <v>1498795.21</v>
      </c>
      <c r="P15">
        <v>274071.44</v>
      </c>
      <c r="Q15" s="1" t="s">
        <v>114</v>
      </c>
      <c r="R15">
        <v>56</v>
      </c>
      <c r="S15" s="1" t="s">
        <v>115</v>
      </c>
      <c r="T15" t="b">
        <v>0</v>
      </c>
    </row>
    <row r="16" spans="1:20" x14ac:dyDescent="0.25">
      <c r="A16" s="1" t="s">
        <v>116</v>
      </c>
      <c r="B16" s="1" t="s">
        <v>117</v>
      </c>
      <c r="C16" s="1" t="s">
        <v>118</v>
      </c>
      <c r="D16" s="1" t="s">
        <v>40</v>
      </c>
      <c r="E16" s="1" t="s">
        <v>24</v>
      </c>
      <c r="F16" s="1" t="s">
        <v>50</v>
      </c>
      <c r="G16" s="2">
        <v>44855</v>
      </c>
      <c r="H16" s="2"/>
      <c r="I16">
        <v>3</v>
      </c>
      <c r="J16">
        <v>2</v>
      </c>
      <c r="K16">
        <v>0</v>
      </c>
      <c r="L16" s="1" t="s">
        <v>26</v>
      </c>
      <c r="M16">
        <v>26.7</v>
      </c>
      <c r="N16">
        <v>83209.7</v>
      </c>
      <c r="O16">
        <v>3158853.53</v>
      </c>
      <c r="P16">
        <v>381533.87</v>
      </c>
      <c r="Q16" s="1" t="s">
        <v>119</v>
      </c>
      <c r="R16">
        <v>69</v>
      </c>
      <c r="S16" s="1" t="s">
        <v>120</v>
      </c>
      <c r="T16" t="b">
        <v>1</v>
      </c>
    </row>
    <row r="17" spans="1:20" x14ac:dyDescent="0.25">
      <c r="A17" s="1" t="s">
        <v>121</v>
      </c>
      <c r="B17" s="1" t="s">
        <v>122</v>
      </c>
      <c r="C17" s="1" t="s">
        <v>123</v>
      </c>
      <c r="D17" s="1" t="s">
        <v>124</v>
      </c>
      <c r="E17" s="1" t="s">
        <v>65</v>
      </c>
      <c r="F17" s="1" t="s">
        <v>50</v>
      </c>
      <c r="G17" s="2">
        <v>44886</v>
      </c>
      <c r="H17" s="2"/>
      <c r="I17">
        <v>4</v>
      </c>
      <c r="J17">
        <v>2</v>
      </c>
      <c r="K17">
        <v>0</v>
      </c>
      <c r="L17" s="1" t="s">
        <v>26</v>
      </c>
      <c r="M17">
        <v>11.1</v>
      </c>
      <c r="N17">
        <v>32978.33</v>
      </c>
      <c r="O17">
        <v>2152754.52</v>
      </c>
      <c r="P17">
        <v>312346.78999999998</v>
      </c>
      <c r="Q17" s="1" t="s">
        <v>125</v>
      </c>
      <c r="R17">
        <v>43</v>
      </c>
      <c r="S17" s="1" t="s">
        <v>126</v>
      </c>
      <c r="T17" t="b">
        <v>1</v>
      </c>
    </row>
    <row r="18" spans="1:20" x14ac:dyDescent="0.25">
      <c r="A18" s="1" t="s">
        <v>127</v>
      </c>
      <c r="B18" s="1" t="s">
        <v>128</v>
      </c>
      <c r="C18" s="1" t="s">
        <v>129</v>
      </c>
      <c r="D18" s="1" t="s">
        <v>130</v>
      </c>
      <c r="E18" s="1" t="s">
        <v>49</v>
      </c>
      <c r="F18" s="1" t="s">
        <v>25</v>
      </c>
      <c r="G18" s="2">
        <v>45221</v>
      </c>
      <c r="H18" s="2">
        <v>45231</v>
      </c>
      <c r="I18">
        <v>25</v>
      </c>
      <c r="J18">
        <v>10</v>
      </c>
      <c r="K18">
        <v>0</v>
      </c>
      <c r="L18" s="1" t="s">
        <v>26</v>
      </c>
      <c r="M18">
        <v>121.2</v>
      </c>
      <c r="N18">
        <v>423237.03</v>
      </c>
      <c r="O18">
        <v>1251627.3799999999</v>
      </c>
      <c r="P18">
        <v>283642.43</v>
      </c>
      <c r="Q18" s="1" t="s">
        <v>131</v>
      </c>
      <c r="R18">
        <v>39</v>
      </c>
      <c r="S18" s="1" t="s">
        <v>132</v>
      </c>
      <c r="T18" t="b">
        <v>1</v>
      </c>
    </row>
    <row r="19" spans="1:20" x14ac:dyDescent="0.25">
      <c r="A19" s="1" t="s">
        <v>133</v>
      </c>
      <c r="B19" s="1" t="s">
        <v>30</v>
      </c>
      <c r="C19" s="1" t="s">
        <v>134</v>
      </c>
      <c r="D19" s="1" t="s">
        <v>40</v>
      </c>
      <c r="E19" s="1" t="s">
        <v>33</v>
      </c>
      <c r="F19" s="1" t="s">
        <v>25</v>
      </c>
      <c r="G19" s="2">
        <v>44695</v>
      </c>
      <c r="H19" s="2">
        <v>44705</v>
      </c>
      <c r="I19">
        <v>12</v>
      </c>
      <c r="J19">
        <v>10</v>
      </c>
      <c r="K19">
        <v>0</v>
      </c>
      <c r="L19" s="1" t="s">
        <v>26</v>
      </c>
      <c r="M19">
        <v>94.7</v>
      </c>
      <c r="N19">
        <v>303492.53999999998</v>
      </c>
      <c r="O19">
        <v>2625347.04</v>
      </c>
      <c r="P19">
        <v>419897.55</v>
      </c>
      <c r="Q19" s="1" t="s">
        <v>135</v>
      </c>
      <c r="R19">
        <v>32</v>
      </c>
      <c r="S19" s="1" t="s">
        <v>136</v>
      </c>
      <c r="T19" t="b">
        <v>1</v>
      </c>
    </row>
    <row r="20" spans="1:20" x14ac:dyDescent="0.25">
      <c r="A20" s="1" t="s">
        <v>137</v>
      </c>
      <c r="B20" s="1" t="s">
        <v>138</v>
      </c>
      <c r="C20" s="1" t="s">
        <v>139</v>
      </c>
      <c r="D20" s="1" t="s">
        <v>48</v>
      </c>
      <c r="E20" s="1" t="s">
        <v>33</v>
      </c>
      <c r="F20" s="1" t="s">
        <v>25</v>
      </c>
      <c r="G20" s="2">
        <v>45388</v>
      </c>
      <c r="H20" s="2">
        <v>45397</v>
      </c>
      <c r="I20">
        <v>12</v>
      </c>
      <c r="J20">
        <v>9</v>
      </c>
      <c r="K20">
        <v>0</v>
      </c>
      <c r="L20" s="1" t="s">
        <v>26</v>
      </c>
      <c r="M20">
        <v>114.5</v>
      </c>
      <c r="N20">
        <v>246662.27</v>
      </c>
      <c r="O20">
        <v>3673042.33</v>
      </c>
      <c r="P20">
        <v>623112.63</v>
      </c>
      <c r="Q20" s="1" t="s">
        <v>140</v>
      </c>
      <c r="R20">
        <v>60</v>
      </c>
      <c r="S20" s="1" t="s">
        <v>141</v>
      </c>
      <c r="T20" t="b">
        <v>0</v>
      </c>
    </row>
    <row r="21" spans="1:20" x14ac:dyDescent="0.25">
      <c r="A21" s="1" t="s">
        <v>142</v>
      </c>
      <c r="B21" s="1" t="s">
        <v>105</v>
      </c>
      <c r="C21" s="1" t="s">
        <v>143</v>
      </c>
      <c r="D21" s="1" t="s">
        <v>144</v>
      </c>
      <c r="E21" s="1" t="s">
        <v>49</v>
      </c>
      <c r="F21" s="1" t="s">
        <v>25</v>
      </c>
      <c r="G21" s="2">
        <v>45657</v>
      </c>
      <c r="H21" s="2">
        <v>45686</v>
      </c>
      <c r="I21">
        <v>25</v>
      </c>
      <c r="J21">
        <v>29</v>
      </c>
      <c r="K21">
        <v>4</v>
      </c>
      <c r="L21" s="1" t="s">
        <v>26</v>
      </c>
      <c r="M21">
        <v>462.1</v>
      </c>
      <c r="N21">
        <v>1657700</v>
      </c>
      <c r="O21">
        <v>3271302.42</v>
      </c>
      <c r="P21">
        <v>502630.96</v>
      </c>
      <c r="Q21" s="1" t="s">
        <v>145</v>
      </c>
      <c r="R21">
        <v>50</v>
      </c>
      <c r="S21" s="1" t="s">
        <v>146</v>
      </c>
      <c r="T21" t="b">
        <v>1</v>
      </c>
    </row>
    <row r="22" spans="1:20" x14ac:dyDescent="0.25">
      <c r="A22" s="1" t="s">
        <v>147</v>
      </c>
      <c r="B22" s="1" t="s">
        <v>148</v>
      </c>
      <c r="C22" s="1" t="s">
        <v>149</v>
      </c>
      <c r="D22" s="1" t="s">
        <v>124</v>
      </c>
      <c r="E22" s="1" t="s">
        <v>41</v>
      </c>
      <c r="F22" s="1" t="s">
        <v>34</v>
      </c>
      <c r="G22" s="2">
        <v>44982</v>
      </c>
      <c r="H22" s="2"/>
      <c r="I22">
        <v>9</v>
      </c>
      <c r="J22">
        <v>13</v>
      </c>
      <c r="K22">
        <v>4</v>
      </c>
      <c r="L22" s="1" t="s">
        <v>26</v>
      </c>
      <c r="M22">
        <v>53.5</v>
      </c>
      <c r="N22">
        <v>157094.88</v>
      </c>
      <c r="O22">
        <v>513889.44</v>
      </c>
      <c r="P22">
        <v>102010.37</v>
      </c>
      <c r="Q22" s="1" t="s">
        <v>150</v>
      </c>
      <c r="R22">
        <v>59</v>
      </c>
      <c r="S22" s="1" t="s">
        <v>151</v>
      </c>
      <c r="T22" t="b">
        <v>1</v>
      </c>
    </row>
    <row r="23" spans="1:20" x14ac:dyDescent="0.25">
      <c r="A23" s="1" t="s">
        <v>152</v>
      </c>
      <c r="B23" s="1" t="s">
        <v>38</v>
      </c>
      <c r="C23" s="1" t="s">
        <v>153</v>
      </c>
      <c r="D23" s="1" t="s">
        <v>154</v>
      </c>
      <c r="E23" s="1" t="s">
        <v>33</v>
      </c>
      <c r="F23" s="1" t="s">
        <v>50</v>
      </c>
      <c r="G23" s="2">
        <v>45140</v>
      </c>
      <c r="H23" s="2"/>
      <c r="I23">
        <v>12</v>
      </c>
      <c r="J23">
        <v>7</v>
      </c>
      <c r="K23">
        <v>0</v>
      </c>
      <c r="L23" s="1" t="s">
        <v>26</v>
      </c>
      <c r="M23">
        <v>69.8</v>
      </c>
      <c r="N23">
        <v>240412.48</v>
      </c>
      <c r="O23">
        <v>3892014.99</v>
      </c>
      <c r="P23">
        <v>756853.6</v>
      </c>
      <c r="Q23" s="1" t="s">
        <v>155</v>
      </c>
      <c r="R23">
        <v>22</v>
      </c>
      <c r="S23" s="1" t="s">
        <v>156</v>
      </c>
      <c r="T23" t="b">
        <v>0</v>
      </c>
    </row>
    <row r="24" spans="1:20" x14ac:dyDescent="0.25">
      <c r="A24" s="1" t="s">
        <v>157</v>
      </c>
      <c r="B24" s="1" t="s">
        <v>158</v>
      </c>
      <c r="C24" s="1" t="s">
        <v>149</v>
      </c>
      <c r="D24" s="1" t="s">
        <v>159</v>
      </c>
      <c r="E24" s="1" t="s">
        <v>41</v>
      </c>
      <c r="F24" s="1" t="s">
        <v>25</v>
      </c>
      <c r="G24" s="2">
        <v>44987</v>
      </c>
      <c r="H24" s="2">
        <v>44995</v>
      </c>
      <c r="I24">
        <v>9</v>
      </c>
      <c r="J24">
        <v>8</v>
      </c>
      <c r="K24">
        <v>0</v>
      </c>
      <c r="L24" s="1" t="s">
        <v>26</v>
      </c>
      <c r="M24">
        <v>54.5</v>
      </c>
      <c r="N24">
        <v>99976.07</v>
      </c>
      <c r="O24">
        <v>454124.17</v>
      </c>
      <c r="P24">
        <v>61529</v>
      </c>
      <c r="Q24" s="1" t="s">
        <v>160</v>
      </c>
      <c r="R24">
        <v>66</v>
      </c>
      <c r="S24" s="1" t="s">
        <v>161</v>
      </c>
      <c r="T24" t="b">
        <v>1</v>
      </c>
    </row>
    <row r="25" spans="1:20" x14ac:dyDescent="0.25">
      <c r="A25" s="1" t="s">
        <v>162</v>
      </c>
      <c r="B25" s="1" t="s">
        <v>163</v>
      </c>
      <c r="C25" s="1" t="s">
        <v>164</v>
      </c>
      <c r="D25" s="1" t="s">
        <v>165</v>
      </c>
      <c r="E25" s="1" t="s">
        <v>41</v>
      </c>
      <c r="F25" s="1" t="s">
        <v>25</v>
      </c>
      <c r="G25" s="2">
        <v>45086</v>
      </c>
      <c r="H25" s="2">
        <v>45096</v>
      </c>
      <c r="I25">
        <v>9</v>
      </c>
      <c r="J25">
        <v>10</v>
      </c>
      <c r="K25">
        <v>1</v>
      </c>
      <c r="L25" s="1" t="s">
        <v>26</v>
      </c>
      <c r="M25">
        <v>158.6</v>
      </c>
      <c r="N25">
        <v>412242.62</v>
      </c>
      <c r="O25">
        <v>2326744.0099999998</v>
      </c>
      <c r="P25">
        <v>301236.19</v>
      </c>
      <c r="Q25" s="1" t="s">
        <v>166</v>
      </c>
      <c r="R25">
        <v>63</v>
      </c>
      <c r="S25" s="1" t="s">
        <v>167</v>
      </c>
      <c r="T25" t="b">
        <v>0</v>
      </c>
    </row>
    <row r="26" spans="1:20" x14ac:dyDescent="0.25">
      <c r="A26" s="1" t="s">
        <v>168</v>
      </c>
      <c r="B26" s="1" t="s">
        <v>169</v>
      </c>
      <c r="C26" s="1" t="s">
        <v>170</v>
      </c>
      <c r="D26" s="1" t="s">
        <v>48</v>
      </c>
      <c r="E26" s="1" t="s">
        <v>41</v>
      </c>
      <c r="F26" s="1" t="s">
        <v>25</v>
      </c>
      <c r="G26" s="2">
        <v>45434</v>
      </c>
      <c r="H26" s="2">
        <v>45438</v>
      </c>
      <c r="I26">
        <v>9</v>
      </c>
      <c r="J26">
        <v>4</v>
      </c>
      <c r="K26">
        <v>0</v>
      </c>
      <c r="L26" s="1" t="s">
        <v>26</v>
      </c>
      <c r="M26">
        <v>56.9</v>
      </c>
      <c r="N26">
        <v>239195.56</v>
      </c>
      <c r="O26">
        <v>58264.92</v>
      </c>
      <c r="P26">
        <v>33862.74</v>
      </c>
      <c r="Q26" s="1" t="s">
        <v>171</v>
      </c>
      <c r="R26">
        <v>66</v>
      </c>
      <c r="S26" s="1" t="s">
        <v>172</v>
      </c>
      <c r="T26" t="b">
        <v>1</v>
      </c>
    </row>
    <row r="27" spans="1:20" x14ac:dyDescent="0.25">
      <c r="A27" s="1" t="s">
        <v>173</v>
      </c>
      <c r="B27" s="1" t="s">
        <v>174</v>
      </c>
      <c r="C27" s="1" t="s">
        <v>175</v>
      </c>
      <c r="D27" s="1" t="s">
        <v>176</v>
      </c>
      <c r="E27" s="1" t="s">
        <v>24</v>
      </c>
      <c r="F27" s="1" t="s">
        <v>25</v>
      </c>
      <c r="G27" s="2">
        <v>45325</v>
      </c>
      <c r="H27" s="2">
        <v>45326</v>
      </c>
      <c r="I27">
        <v>3</v>
      </c>
      <c r="J27">
        <v>1</v>
      </c>
      <c r="K27">
        <v>0</v>
      </c>
      <c r="L27" s="1" t="s">
        <v>26</v>
      </c>
      <c r="M27">
        <v>8.8000000000000007</v>
      </c>
      <c r="N27">
        <v>38704.480000000003</v>
      </c>
      <c r="O27">
        <v>1366447.12</v>
      </c>
      <c r="P27">
        <v>194714.03</v>
      </c>
      <c r="Q27" s="1" t="s">
        <v>177</v>
      </c>
      <c r="R27">
        <v>64</v>
      </c>
      <c r="S27" s="1" t="s">
        <v>178</v>
      </c>
      <c r="T27" t="b">
        <v>1</v>
      </c>
    </row>
    <row r="28" spans="1:20" x14ac:dyDescent="0.25">
      <c r="A28" s="1" t="s">
        <v>179</v>
      </c>
      <c r="B28" s="1" t="s">
        <v>70</v>
      </c>
      <c r="C28" s="1" t="s">
        <v>180</v>
      </c>
      <c r="D28" s="1" t="s">
        <v>181</v>
      </c>
      <c r="E28" s="1" t="s">
        <v>33</v>
      </c>
      <c r="F28" s="1" t="s">
        <v>25</v>
      </c>
      <c r="G28" s="2">
        <v>44888</v>
      </c>
      <c r="H28" s="2">
        <v>44903</v>
      </c>
      <c r="I28">
        <v>12</v>
      </c>
      <c r="J28">
        <v>15</v>
      </c>
      <c r="K28">
        <v>3</v>
      </c>
      <c r="L28" s="1" t="s">
        <v>26</v>
      </c>
      <c r="M28">
        <v>146.9</v>
      </c>
      <c r="N28">
        <v>490080.03</v>
      </c>
      <c r="O28">
        <v>2196432.4</v>
      </c>
      <c r="P28">
        <v>432883.97</v>
      </c>
      <c r="Q28" s="1" t="s">
        <v>182</v>
      </c>
      <c r="R28">
        <v>51</v>
      </c>
      <c r="S28" s="1" t="s">
        <v>183</v>
      </c>
      <c r="T28" t="b">
        <v>1</v>
      </c>
    </row>
    <row r="29" spans="1:20" x14ac:dyDescent="0.25">
      <c r="A29" s="1" t="s">
        <v>184</v>
      </c>
      <c r="B29" s="1" t="s">
        <v>185</v>
      </c>
      <c r="C29" s="1" t="s">
        <v>186</v>
      </c>
      <c r="D29" s="1" t="s">
        <v>187</v>
      </c>
      <c r="E29" s="1" t="s">
        <v>65</v>
      </c>
      <c r="F29" s="1" t="s">
        <v>25</v>
      </c>
      <c r="G29" s="2">
        <v>45404</v>
      </c>
      <c r="H29" s="2">
        <v>45406</v>
      </c>
      <c r="I29">
        <v>4</v>
      </c>
      <c r="J29">
        <v>2</v>
      </c>
      <c r="K29">
        <v>0</v>
      </c>
      <c r="L29" s="1" t="s">
        <v>26</v>
      </c>
      <c r="M29">
        <v>14.3</v>
      </c>
      <c r="N29">
        <v>37872.730000000003</v>
      </c>
      <c r="O29">
        <v>3525795.2</v>
      </c>
      <c r="P29">
        <v>597958.15</v>
      </c>
      <c r="Q29" s="1" t="s">
        <v>188</v>
      </c>
      <c r="R29">
        <v>75</v>
      </c>
      <c r="S29" s="1" t="s">
        <v>189</v>
      </c>
      <c r="T29" t="b">
        <v>0</v>
      </c>
    </row>
    <row r="30" spans="1:20" x14ac:dyDescent="0.25">
      <c r="A30" s="1" t="s">
        <v>190</v>
      </c>
      <c r="B30" s="1" t="s">
        <v>99</v>
      </c>
      <c r="C30" s="1" t="s">
        <v>191</v>
      </c>
      <c r="D30" s="1" t="s">
        <v>192</v>
      </c>
      <c r="E30" s="1" t="s">
        <v>49</v>
      </c>
      <c r="F30" s="1" t="s">
        <v>34</v>
      </c>
      <c r="G30" s="2">
        <v>45625</v>
      </c>
      <c r="H30" s="2"/>
      <c r="I30">
        <v>25</v>
      </c>
      <c r="J30">
        <v>32</v>
      </c>
      <c r="K30">
        <v>7</v>
      </c>
      <c r="L30" s="1" t="s">
        <v>193</v>
      </c>
      <c r="M30">
        <v>365.4</v>
      </c>
      <c r="N30">
        <v>1084759.0900000001</v>
      </c>
      <c r="O30">
        <v>3635993.32</v>
      </c>
      <c r="P30">
        <v>699582.31</v>
      </c>
      <c r="Q30" s="1" t="s">
        <v>194</v>
      </c>
      <c r="R30">
        <v>61</v>
      </c>
      <c r="S30" s="1" t="s">
        <v>195</v>
      </c>
      <c r="T30" t="b">
        <v>1</v>
      </c>
    </row>
    <row r="31" spans="1:20" x14ac:dyDescent="0.25">
      <c r="A31" s="1" t="s">
        <v>196</v>
      </c>
      <c r="B31" s="1" t="s">
        <v>99</v>
      </c>
      <c r="C31" s="1" t="s">
        <v>197</v>
      </c>
      <c r="D31" s="1" t="s">
        <v>23</v>
      </c>
      <c r="E31" s="1" t="s">
        <v>65</v>
      </c>
      <c r="F31" s="1" t="s">
        <v>50</v>
      </c>
      <c r="G31" s="2">
        <v>45597</v>
      </c>
      <c r="H31" s="2"/>
      <c r="I31">
        <v>4</v>
      </c>
      <c r="J31">
        <v>8</v>
      </c>
      <c r="K31">
        <v>3.5</v>
      </c>
      <c r="L31" s="1" t="s">
        <v>193</v>
      </c>
      <c r="M31">
        <v>115.5</v>
      </c>
      <c r="N31">
        <v>231246.73</v>
      </c>
      <c r="O31">
        <v>2463323.33</v>
      </c>
      <c r="P31">
        <v>334366.99</v>
      </c>
      <c r="Q31" s="1" t="s">
        <v>198</v>
      </c>
      <c r="R31">
        <v>72</v>
      </c>
      <c r="S31" s="1" t="s">
        <v>199</v>
      </c>
      <c r="T31" t="b">
        <v>1</v>
      </c>
    </row>
    <row r="32" spans="1:20" x14ac:dyDescent="0.25">
      <c r="A32" s="1" t="s">
        <v>200</v>
      </c>
      <c r="B32" s="1" t="s">
        <v>38</v>
      </c>
      <c r="C32" s="1" t="s">
        <v>201</v>
      </c>
      <c r="D32" s="1" t="s">
        <v>202</v>
      </c>
      <c r="E32" s="1" t="s">
        <v>65</v>
      </c>
      <c r="F32" s="1" t="s">
        <v>25</v>
      </c>
      <c r="G32" s="2">
        <v>44723</v>
      </c>
      <c r="H32" s="2">
        <v>44731</v>
      </c>
      <c r="I32">
        <v>4</v>
      </c>
      <c r="J32">
        <v>8</v>
      </c>
      <c r="K32">
        <v>3.5</v>
      </c>
      <c r="L32" s="1" t="s">
        <v>26</v>
      </c>
      <c r="M32">
        <v>40.4</v>
      </c>
      <c r="N32">
        <v>127091.6</v>
      </c>
      <c r="O32">
        <v>1587147.02</v>
      </c>
      <c r="P32">
        <v>339534.23</v>
      </c>
      <c r="Q32" s="1" t="s">
        <v>203</v>
      </c>
      <c r="R32">
        <v>55</v>
      </c>
      <c r="S32" s="1" t="s">
        <v>204</v>
      </c>
      <c r="T32" t="b">
        <v>1</v>
      </c>
    </row>
    <row r="33" spans="1:20" x14ac:dyDescent="0.25">
      <c r="A33" s="1" t="s">
        <v>205</v>
      </c>
      <c r="B33" s="1" t="s">
        <v>93</v>
      </c>
      <c r="C33" s="1" t="s">
        <v>206</v>
      </c>
      <c r="D33" s="1" t="s">
        <v>207</v>
      </c>
      <c r="E33" s="1" t="s">
        <v>49</v>
      </c>
      <c r="F33" s="1" t="s">
        <v>66</v>
      </c>
      <c r="G33" s="2">
        <v>44748</v>
      </c>
      <c r="H33" s="2"/>
      <c r="I33">
        <v>25</v>
      </c>
      <c r="J33">
        <v>30</v>
      </c>
      <c r="K33">
        <v>5</v>
      </c>
      <c r="L33" s="1" t="s">
        <v>58</v>
      </c>
      <c r="M33">
        <v>229.7</v>
      </c>
      <c r="N33">
        <v>728725.98</v>
      </c>
      <c r="O33">
        <v>1042187.73</v>
      </c>
      <c r="P33">
        <v>296003.69</v>
      </c>
      <c r="Q33" s="1" t="s">
        <v>208</v>
      </c>
      <c r="R33">
        <v>55</v>
      </c>
      <c r="S33" s="1" t="s">
        <v>209</v>
      </c>
      <c r="T33" t="b">
        <v>0</v>
      </c>
    </row>
    <row r="34" spans="1:20" x14ac:dyDescent="0.25">
      <c r="A34" s="1" t="s">
        <v>210</v>
      </c>
      <c r="B34" s="1" t="s">
        <v>99</v>
      </c>
      <c r="C34" s="1" t="s">
        <v>211</v>
      </c>
      <c r="D34" s="1" t="s">
        <v>56</v>
      </c>
      <c r="E34" s="1" t="s">
        <v>41</v>
      </c>
      <c r="F34" s="1" t="s">
        <v>25</v>
      </c>
      <c r="G34" s="2">
        <v>45306</v>
      </c>
      <c r="H34" s="2">
        <v>45310</v>
      </c>
      <c r="I34">
        <v>9</v>
      </c>
      <c r="J34">
        <v>4</v>
      </c>
      <c r="K34">
        <v>0</v>
      </c>
      <c r="L34" s="1" t="s">
        <v>26</v>
      </c>
      <c r="M34">
        <v>20.7</v>
      </c>
      <c r="N34">
        <v>74086.490000000005</v>
      </c>
      <c r="O34">
        <v>20962.77</v>
      </c>
      <c r="P34">
        <v>12880.5</v>
      </c>
      <c r="Q34" s="1" t="s">
        <v>212</v>
      </c>
      <c r="R34">
        <v>64</v>
      </c>
      <c r="S34" s="1" t="s">
        <v>213</v>
      </c>
      <c r="T34" t="b">
        <v>1</v>
      </c>
    </row>
    <row r="35" spans="1:20" x14ac:dyDescent="0.25">
      <c r="A35" s="1" t="s">
        <v>214</v>
      </c>
      <c r="B35" s="1" t="s">
        <v>21</v>
      </c>
      <c r="C35" s="1" t="s">
        <v>215</v>
      </c>
      <c r="D35" s="1" t="s">
        <v>216</v>
      </c>
      <c r="E35" s="1" t="s">
        <v>57</v>
      </c>
      <c r="F35" s="1" t="s">
        <v>25</v>
      </c>
      <c r="G35" s="2">
        <v>44655</v>
      </c>
      <c r="H35" s="2">
        <v>44683</v>
      </c>
      <c r="I35">
        <v>40</v>
      </c>
      <c r="J35">
        <v>28</v>
      </c>
      <c r="K35">
        <v>0</v>
      </c>
      <c r="L35" s="1" t="s">
        <v>26</v>
      </c>
      <c r="M35">
        <v>388.1</v>
      </c>
      <c r="N35">
        <v>1476634.89</v>
      </c>
      <c r="O35">
        <v>2051961.68</v>
      </c>
      <c r="P35">
        <v>442588.1</v>
      </c>
      <c r="Q35" s="1" t="s">
        <v>217</v>
      </c>
      <c r="R35">
        <v>72</v>
      </c>
      <c r="S35" s="1" t="s">
        <v>218</v>
      </c>
      <c r="T35" t="b">
        <v>1</v>
      </c>
    </row>
    <row r="36" spans="1:20" x14ac:dyDescent="0.25">
      <c r="A36" s="1" t="s">
        <v>219</v>
      </c>
      <c r="B36" s="1" t="s">
        <v>220</v>
      </c>
      <c r="C36" s="1" t="s">
        <v>221</v>
      </c>
      <c r="D36" s="1" t="s">
        <v>176</v>
      </c>
      <c r="E36" s="1" t="s">
        <v>33</v>
      </c>
      <c r="F36" s="1" t="s">
        <v>50</v>
      </c>
      <c r="G36" s="2">
        <v>45254</v>
      </c>
      <c r="H36" s="2"/>
      <c r="I36">
        <v>12</v>
      </c>
      <c r="J36">
        <v>12</v>
      </c>
      <c r="K36">
        <v>0</v>
      </c>
      <c r="L36" s="1" t="s">
        <v>26</v>
      </c>
      <c r="M36">
        <v>54.7</v>
      </c>
      <c r="N36">
        <v>191983.28</v>
      </c>
      <c r="O36">
        <v>3363987.44</v>
      </c>
      <c r="P36">
        <v>399413.46</v>
      </c>
      <c r="Q36" s="1" t="s">
        <v>222</v>
      </c>
      <c r="R36">
        <v>51</v>
      </c>
      <c r="S36" s="1" t="s">
        <v>223</v>
      </c>
      <c r="T36" t="b">
        <v>1</v>
      </c>
    </row>
    <row r="37" spans="1:20" x14ac:dyDescent="0.25">
      <c r="A37" s="1" t="s">
        <v>224</v>
      </c>
      <c r="B37" s="1" t="s">
        <v>220</v>
      </c>
      <c r="C37" s="1" t="s">
        <v>71</v>
      </c>
      <c r="D37" s="1" t="s">
        <v>124</v>
      </c>
      <c r="E37" s="1" t="s">
        <v>41</v>
      </c>
      <c r="F37" s="1" t="s">
        <v>25</v>
      </c>
      <c r="G37" s="2">
        <v>45648</v>
      </c>
      <c r="H37" s="2">
        <v>45659</v>
      </c>
      <c r="I37">
        <v>9</v>
      </c>
      <c r="J37">
        <v>11</v>
      </c>
      <c r="K37">
        <v>2</v>
      </c>
      <c r="L37" s="1" t="s">
        <v>26</v>
      </c>
      <c r="M37">
        <v>167.5</v>
      </c>
      <c r="N37">
        <v>680854.59</v>
      </c>
      <c r="O37">
        <v>2419830.5</v>
      </c>
      <c r="P37">
        <v>467686.53</v>
      </c>
      <c r="Q37" s="1" t="s">
        <v>225</v>
      </c>
      <c r="R37">
        <v>72</v>
      </c>
      <c r="S37" s="1" t="s">
        <v>226</v>
      </c>
      <c r="T37" t="b">
        <v>1</v>
      </c>
    </row>
    <row r="38" spans="1:20" x14ac:dyDescent="0.25">
      <c r="A38" s="1" t="s">
        <v>227</v>
      </c>
      <c r="B38" s="1" t="s">
        <v>228</v>
      </c>
      <c r="C38" s="1" t="s">
        <v>229</v>
      </c>
      <c r="D38" s="1" t="s">
        <v>230</v>
      </c>
      <c r="E38" s="1" t="s">
        <v>65</v>
      </c>
      <c r="F38" s="1" t="s">
        <v>34</v>
      </c>
      <c r="G38" s="2">
        <v>44774</v>
      </c>
      <c r="H38" s="2"/>
      <c r="I38">
        <v>4</v>
      </c>
      <c r="J38">
        <v>6</v>
      </c>
      <c r="K38">
        <v>1.5</v>
      </c>
      <c r="L38" s="1" t="s">
        <v>26</v>
      </c>
      <c r="M38">
        <v>60.3</v>
      </c>
      <c r="N38">
        <v>171166.92</v>
      </c>
      <c r="O38">
        <v>4897708.79</v>
      </c>
      <c r="P38">
        <v>971151.09</v>
      </c>
      <c r="Q38" s="1" t="s">
        <v>231</v>
      </c>
      <c r="R38">
        <v>71</v>
      </c>
      <c r="S38" s="1" t="s">
        <v>232</v>
      </c>
      <c r="T38" t="b">
        <v>1</v>
      </c>
    </row>
    <row r="39" spans="1:20" x14ac:dyDescent="0.25">
      <c r="A39" s="1" t="s">
        <v>233</v>
      </c>
      <c r="B39" s="1" t="s">
        <v>76</v>
      </c>
      <c r="C39" s="1" t="s">
        <v>234</v>
      </c>
      <c r="D39" s="1" t="s">
        <v>89</v>
      </c>
      <c r="E39" s="1" t="s">
        <v>65</v>
      </c>
      <c r="F39" s="1" t="s">
        <v>66</v>
      </c>
      <c r="G39" s="2">
        <v>44844</v>
      </c>
      <c r="H39" s="2"/>
      <c r="I39">
        <v>4</v>
      </c>
      <c r="J39">
        <v>5</v>
      </c>
      <c r="K39">
        <v>0.5</v>
      </c>
      <c r="L39" s="1" t="s">
        <v>26</v>
      </c>
      <c r="M39">
        <v>70.599999999999994</v>
      </c>
      <c r="N39">
        <v>231502.77</v>
      </c>
      <c r="O39">
        <v>1576414.87</v>
      </c>
      <c r="P39">
        <v>314002.51</v>
      </c>
      <c r="Q39" s="1" t="s">
        <v>235</v>
      </c>
      <c r="R39">
        <v>42</v>
      </c>
      <c r="S39" s="1" t="s">
        <v>236</v>
      </c>
      <c r="T39" t="b">
        <v>1</v>
      </c>
    </row>
    <row r="40" spans="1:20" x14ac:dyDescent="0.25">
      <c r="A40" s="1" t="s">
        <v>237</v>
      </c>
      <c r="B40" s="1" t="s">
        <v>38</v>
      </c>
      <c r="C40" s="1" t="s">
        <v>94</v>
      </c>
      <c r="D40" s="1" t="s">
        <v>238</v>
      </c>
      <c r="E40" s="1" t="s">
        <v>49</v>
      </c>
      <c r="F40" s="1" t="s">
        <v>66</v>
      </c>
      <c r="G40" s="2">
        <v>44926</v>
      </c>
      <c r="H40" s="2"/>
      <c r="I40">
        <v>25</v>
      </c>
      <c r="J40">
        <v>32</v>
      </c>
      <c r="K40">
        <v>7</v>
      </c>
      <c r="L40" s="1" t="s">
        <v>101</v>
      </c>
      <c r="M40">
        <v>372.6</v>
      </c>
      <c r="N40">
        <v>1385309.05</v>
      </c>
      <c r="O40">
        <v>3806267.37</v>
      </c>
      <c r="P40">
        <v>811069.71</v>
      </c>
      <c r="Q40" s="1" t="s">
        <v>239</v>
      </c>
      <c r="R40">
        <v>76</v>
      </c>
      <c r="S40" s="1" t="s">
        <v>240</v>
      </c>
      <c r="T40" t="b">
        <v>0</v>
      </c>
    </row>
    <row r="41" spans="1:20" x14ac:dyDescent="0.25">
      <c r="A41" s="1" t="s">
        <v>241</v>
      </c>
      <c r="B41" s="1" t="s">
        <v>242</v>
      </c>
      <c r="C41" s="1" t="s">
        <v>243</v>
      </c>
      <c r="D41" s="1" t="s">
        <v>244</v>
      </c>
      <c r="E41" s="1" t="s">
        <v>49</v>
      </c>
      <c r="F41" s="1" t="s">
        <v>25</v>
      </c>
      <c r="G41" s="2">
        <v>44588</v>
      </c>
      <c r="H41" s="2">
        <v>44598</v>
      </c>
      <c r="I41">
        <v>25</v>
      </c>
      <c r="J41">
        <v>10</v>
      </c>
      <c r="K41">
        <v>0</v>
      </c>
      <c r="L41" s="1" t="s">
        <v>26</v>
      </c>
      <c r="M41">
        <v>85.7</v>
      </c>
      <c r="N41">
        <v>166538.71</v>
      </c>
      <c r="O41">
        <v>292457.82</v>
      </c>
      <c r="P41">
        <v>58153.86</v>
      </c>
      <c r="Q41" s="1" t="s">
        <v>245</v>
      </c>
      <c r="R41">
        <v>23</v>
      </c>
      <c r="S41" s="1" t="s">
        <v>246</v>
      </c>
      <c r="T41" t="b">
        <v>0</v>
      </c>
    </row>
    <row r="42" spans="1:20" x14ac:dyDescent="0.25">
      <c r="A42" s="1" t="s">
        <v>247</v>
      </c>
      <c r="B42" s="1" t="s">
        <v>99</v>
      </c>
      <c r="C42" s="1" t="s">
        <v>248</v>
      </c>
      <c r="D42" s="1" t="s">
        <v>249</v>
      </c>
      <c r="E42" s="1" t="s">
        <v>49</v>
      </c>
      <c r="F42" s="1" t="s">
        <v>25</v>
      </c>
      <c r="G42" s="2">
        <v>44979</v>
      </c>
      <c r="H42" s="2">
        <v>45000</v>
      </c>
      <c r="I42">
        <v>25</v>
      </c>
      <c r="J42">
        <v>21</v>
      </c>
      <c r="K42">
        <v>0</v>
      </c>
      <c r="L42" s="1" t="s">
        <v>26</v>
      </c>
      <c r="M42">
        <v>289.10000000000002</v>
      </c>
      <c r="N42">
        <v>600372.81999999995</v>
      </c>
      <c r="O42">
        <v>4341496.51</v>
      </c>
      <c r="P42">
        <v>859634.45</v>
      </c>
      <c r="Q42" s="1" t="s">
        <v>250</v>
      </c>
      <c r="R42">
        <v>52</v>
      </c>
      <c r="S42" s="1" t="s">
        <v>251</v>
      </c>
      <c r="T42" t="b">
        <v>0</v>
      </c>
    </row>
    <row r="43" spans="1:20" x14ac:dyDescent="0.25">
      <c r="A43" s="1" t="s">
        <v>252</v>
      </c>
      <c r="B43" s="1" t="s">
        <v>253</v>
      </c>
      <c r="C43" s="1" t="s">
        <v>254</v>
      </c>
      <c r="D43" s="1" t="s">
        <v>244</v>
      </c>
      <c r="E43" s="1" t="s">
        <v>65</v>
      </c>
      <c r="F43" s="1" t="s">
        <v>25</v>
      </c>
      <c r="G43" s="2">
        <v>44658</v>
      </c>
      <c r="H43" s="2">
        <v>44665</v>
      </c>
      <c r="I43">
        <v>4</v>
      </c>
      <c r="J43">
        <v>7</v>
      </c>
      <c r="K43">
        <v>2.5</v>
      </c>
      <c r="L43" s="1" t="s">
        <v>26</v>
      </c>
      <c r="M43">
        <v>108.4</v>
      </c>
      <c r="N43">
        <v>480723.79</v>
      </c>
      <c r="O43">
        <v>1570143.36</v>
      </c>
      <c r="P43">
        <v>318320.13</v>
      </c>
      <c r="Q43" s="1" t="s">
        <v>255</v>
      </c>
      <c r="R43">
        <v>34</v>
      </c>
      <c r="S43" s="1" t="s">
        <v>256</v>
      </c>
      <c r="T43" t="b">
        <v>0</v>
      </c>
    </row>
    <row r="44" spans="1:20" x14ac:dyDescent="0.25">
      <c r="A44" s="1" t="s">
        <v>257</v>
      </c>
      <c r="B44" s="1" t="s">
        <v>138</v>
      </c>
      <c r="C44" s="1" t="s">
        <v>258</v>
      </c>
      <c r="D44" s="1" t="s">
        <v>84</v>
      </c>
      <c r="E44" s="1" t="s">
        <v>41</v>
      </c>
      <c r="F44" s="1" t="s">
        <v>25</v>
      </c>
      <c r="G44" s="2">
        <v>44964</v>
      </c>
      <c r="H44" s="2">
        <v>44971</v>
      </c>
      <c r="I44">
        <v>9</v>
      </c>
      <c r="J44">
        <v>7</v>
      </c>
      <c r="K44">
        <v>0</v>
      </c>
      <c r="L44" s="1" t="s">
        <v>26</v>
      </c>
      <c r="M44">
        <v>65.7</v>
      </c>
      <c r="N44">
        <v>292714.78999999998</v>
      </c>
      <c r="O44">
        <v>381600.28</v>
      </c>
      <c r="P44">
        <v>132332.66</v>
      </c>
      <c r="Q44" s="1" t="s">
        <v>259</v>
      </c>
      <c r="R44">
        <v>55</v>
      </c>
      <c r="S44" s="1" t="s">
        <v>260</v>
      </c>
      <c r="T44" t="b">
        <v>0</v>
      </c>
    </row>
    <row r="45" spans="1:20" x14ac:dyDescent="0.25">
      <c r="A45" s="1" t="s">
        <v>261</v>
      </c>
      <c r="B45" s="1" t="s">
        <v>253</v>
      </c>
      <c r="C45" s="1" t="s">
        <v>262</v>
      </c>
      <c r="D45" s="1" t="s">
        <v>263</v>
      </c>
      <c r="E45" s="1" t="s">
        <v>57</v>
      </c>
      <c r="F45" s="1" t="s">
        <v>66</v>
      </c>
      <c r="G45" s="2">
        <v>44828</v>
      </c>
      <c r="H45" s="2"/>
      <c r="I45">
        <v>40</v>
      </c>
      <c r="J45">
        <v>36</v>
      </c>
      <c r="K45">
        <v>0</v>
      </c>
      <c r="L45" s="1" t="s">
        <v>26</v>
      </c>
      <c r="M45">
        <v>146.4</v>
      </c>
      <c r="N45">
        <v>447851.45</v>
      </c>
      <c r="O45">
        <v>4688097.3099999996</v>
      </c>
      <c r="P45">
        <v>534108.16000000003</v>
      </c>
      <c r="Q45" s="1" t="s">
        <v>264</v>
      </c>
      <c r="R45">
        <v>70</v>
      </c>
      <c r="S45" s="1" t="s">
        <v>265</v>
      </c>
      <c r="T45" t="b">
        <v>0</v>
      </c>
    </row>
    <row r="46" spans="1:20" x14ac:dyDescent="0.25">
      <c r="A46" s="1" t="s">
        <v>266</v>
      </c>
      <c r="B46" s="1" t="s">
        <v>158</v>
      </c>
      <c r="C46" s="1" t="s">
        <v>267</v>
      </c>
      <c r="D46" s="1" t="s">
        <v>268</v>
      </c>
      <c r="E46" s="1" t="s">
        <v>41</v>
      </c>
      <c r="F46" s="1" t="s">
        <v>25</v>
      </c>
      <c r="G46" s="2">
        <v>44711</v>
      </c>
      <c r="H46" s="2">
        <v>44722</v>
      </c>
      <c r="I46">
        <v>9</v>
      </c>
      <c r="J46">
        <v>11</v>
      </c>
      <c r="K46">
        <v>2</v>
      </c>
      <c r="L46" s="1" t="s">
        <v>26</v>
      </c>
      <c r="M46">
        <v>73</v>
      </c>
      <c r="N46">
        <v>167640.6</v>
      </c>
      <c r="O46">
        <v>350200.58</v>
      </c>
      <c r="P46">
        <v>77942.37</v>
      </c>
      <c r="Q46" s="1" t="s">
        <v>269</v>
      </c>
      <c r="R46">
        <v>76</v>
      </c>
      <c r="S46" s="1" t="s">
        <v>270</v>
      </c>
      <c r="T46" t="b">
        <v>1</v>
      </c>
    </row>
    <row r="47" spans="1:20" x14ac:dyDescent="0.25">
      <c r="A47" s="1" t="s">
        <v>271</v>
      </c>
      <c r="B47" s="1" t="s">
        <v>272</v>
      </c>
      <c r="C47" s="1" t="s">
        <v>273</v>
      </c>
      <c r="D47" s="1" t="s">
        <v>187</v>
      </c>
      <c r="E47" s="1" t="s">
        <v>24</v>
      </c>
      <c r="F47" s="1" t="s">
        <v>25</v>
      </c>
      <c r="G47" s="2">
        <v>45241</v>
      </c>
      <c r="H47" s="2">
        <v>45244</v>
      </c>
      <c r="I47">
        <v>3</v>
      </c>
      <c r="J47">
        <v>3</v>
      </c>
      <c r="K47">
        <v>0</v>
      </c>
      <c r="L47" s="1" t="s">
        <v>26</v>
      </c>
      <c r="M47">
        <v>19.899999999999999</v>
      </c>
      <c r="N47">
        <v>76260.19</v>
      </c>
      <c r="O47">
        <v>2657189.4900000002</v>
      </c>
      <c r="P47">
        <v>545769.06000000006</v>
      </c>
      <c r="Q47" s="1" t="s">
        <v>274</v>
      </c>
      <c r="R47">
        <v>42</v>
      </c>
      <c r="S47" s="1" t="s">
        <v>275</v>
      </c>
      <c r="T47" t="b">
        <v>0</v>
      </c>
    </row>
    <row r="48" spans="1:20" x14ac:dyDescent="0.25">
      <c r="A48" s="1" t="s">
        <v>276</v>
      </c>
      <c r="B48" s="1" t="s">
        <v>242</v>
      </c>
      <c r="C48" s="1" t="s">
        <v>277</v>
      </c>
      <c r="D48" s="1" t="s">
        <v>124</v>
      </c>
      <c r="E48" s="1" t="s">
        <v>41</v>
      </c>
      <c r="F48" s="1" t="s">
        <v>66</v>
      </c>
      <c r="G48" s="2">
        <v>45054</v>
      </c>
      <c r="H48" s="2"/>
      <c r="I48">
        <v>9</v>
      </c>
      <c r="J48">
        <v>12</v>
      </c>
      <c r="K48">
        <v>3</v>
      </c>
      <c r="L48" s="1" t="s">
        <v>26</v>
      </c>
      <c r="M48">
        <v>83.1</v>
      </c>
      <c r="N48">
        <v>158527.26</v>
      </c>
      <c r="O48">
        <v>4429444.1900000004</v>
      </c>
      <c r="P48">
        <v>633769.81000000006</v>
      </c>
      <c r="Q48" s="1" t="s">
        <v>278</v>
      </c>
      <c r="R48">
        <v>38</v>
      </c>
      <c r="S48" s="1" t="s">
        <v>279</v>
      </c>
      <c r="T48" t="b">
        <v>1</v>
      </c>
    </row>
    <row r="49" spans="1:20" x14ac:dyDescent="0.25">
      <c r="A49" s="1" t="s">
        <v>280</v>
      </c>
      <c r="B49" s="1" t="s">
        <v>174</v>
      </c>
      <c r="C49" s="1" t="s">
        <v>281</v>
      </c>
      <c r="D49" s="1" t="s">
        <v>282</v>
      </c>
      <c r="E49" s="1" t="s">
        <v>24</v>
      </c>
      <c r="F49" s="1" t="s">
        <v>66</v>
      </c>
      <c r="G49" s="2">
        <v>45620</v>
      </c>
      <c r="H49" s="2"/>
      <c r="I49">
        <v>3</v>
      </c>
      <c r="J49">
        <v>5</v>
      </c>
      <c r="K49">
        <v>2</v>
      </c>
      <c r="L49" s="1" t="s">
        <v>26</v>
      </c>
      <c r="M49">
        <v>46.7</v>
      </c>
      <c r="N49">
        <v>89589.26</v>
      </c>
      <c r="O49">
        <v>4492425.2300000004</v>
      </c>
      <c r="P49">
        <v>546410.9</v>
      </c>
      <c r="Q49" s="1" t="s">
        <v>283</v>
      </c>
      <c r="R49">
        <v>20</v>
      </c>
      <c r="S49" s="1" t="s">
        <v>284</v>
      </c>
      <c r="T49" t="b">
        <v>1</v>
      </c>
    </row>
    <row r="50" spans="1:20" x14ac:dyDescent="0.25">
      <c r="A50" s="1" t="s">
        <v>285</v>
      </c>
      <c r="B50" s="1" t="s">
        <v>286</v>
      </c>
      <c r="C50" s="1" t="s">
        <v>287</v>
      </c>
      <c r="D50" s="1" t="s">
        <v>288</v>
      </c>
      <c r="E50" s="1" t="s">
        <v>41</v>
      </c>
      <c r="F50" s="1" t="s">
        <v>34</v>
      </c>
      <c r="G50" s="2">
        <v>44993</v>
      </c>
      <c r="H50" s="2"/>
      <c r="I50">
        <v>9</v>
      </c>
      <c r="J50">
        <v>15</v>
      </c>
      <c r="K50">
        <v>6</v>
      </c>
      <c r="L50" s="1" t="s">
        <v>101</v>
      </c>
      <c r="M50">
        <v>98.4</v>
      </c>
      <c r="N50">
        <v>359218.45</v>
      </c>
      <c r="O50">
        <v>4179968.74</v>
      </c>
      <c r="P50">
        <v>547235.13</v>
      </c>
      <c r="Q50" s="1" t="s">
        <v>289</v>
      </c>
      <c r="R50">
        <v>63</v>
      </c>
      <c r="S50" s="1" t="s">
        <v>290</v>
      </c>
      <c r="T50" t="b">
        <v>1</v>
      </c>
    </row>
    <row r="51" spans="1:20" x14ac:dyDescent="0.25">
      <c r="A51" s="1" t="s">
        <v>291</v>
      </c>
      <c r="B51" s="1" t="s">
        <v>242</v>
      </c>
      <c r="C51" s="1" t="s">
        <v>292</v>
      </c>
      <c r="D51" s="1" t="s">
        <v>293</v>
      </c>
      <c r="E51" s="1" t="s">
        <v>65</v>
      </c>
      <c r="F51" s="1" t="s">
        <v>34</v>
      </c>
      <c r="G51" s="2">
        <v>44610</v>
      </c>
      <c r="H51" s="2"/>
      <c r="I51">
        <v>4</v>
      </c>
      <c r="J51">
        <v>6</v>
      </c>
      <c r="K51">
        <v>1.5</v>
      </c>
      <c r="L51" s="1" t="s">
        <v>26</v>
      </c>
      <c r="M51">
        <v>26.7</v>
      </c>
      <c r="N51">
        <v>53340.45</v>
      </c>
      <c r="O51">
        <v>898180.9</v>
      </c>
      <c r="P51">
        <v>119121.72</v>
      </c>
      <c r="Q51" s="1" t="s">
        <v>294</v>
      </c>
      <c r="R51">
        <v>48</v>
      </c>
      <c r="S51" s="1" t="s">
        <v>295</v>
      </c>
      <c r="T51" t="b">
        <v>0</v>
      </c>
    </row>
    <row r="52" spans="1:20" x14ac:dyDescent="0.25">
      <c r="A52" s="1" t="s">
        <v>296</v>
      </c>
      <c r="B52" s="1" t="s">
        <v>82</v>
      </c>
      <c r="C52" s="1" t="s">
        <v>134</v>
      </c>
      <c r="D52" s="1" t="s">
        <v>297</v>
      </c>
      <c r="E52" s="1" t="s">
        <v>24</v>
      </c>
      <c r="F52" s="1" t="s">
        <v>25</v>
      </c>
      <c r="G52" s="2">
        <v>45448</v>
      </c>
      <c r="H52" s="2">
        <v>45452</v>
      </c>
      <c r="I52">
        <v>3</v>
      </c>
      <c r="J52">
        <v>4</v>
      </c>
      <c r="K52">
        <v>1</v>
      </c>
      <c r="L52" s="1" t="s">
        <v>26</v>
      </c>
      <c r="M52">
        <v>48.3</v>
      </c>
      <c r="N52">
        <v>156687.75</v>
      </c>
      <c r="O52">
        <v>3210699.5</v>
      </c>
      <c r="P52">
        <v>544960.9</v>
      </c>
      <c r="Q52" s="1" t="s">
        <v>298</v>
      </c>
      <c r="R52">
        <v>52</v>
      </c>
      <c r="S52" s="1" t="s">
        <v>299</v>
      </c>
      <c r="T52" t="b">
        <v>1</v>
      </c>
    </row>
    <row r="53" spans="1:20" x14ac:dyDescent="0.25">
      <c r="A53" s="1" t="s">
        <v>300</v>
      </c>
      <c r="B53" s="1" t="s">
        <v>122</v>
      </c>
      <c r="C53" s="1" t="s">
        <v>301</v>
      </c>
      <c r="D53" s="1" t="s">
        <v>176</v>
      </c>
      <c r="E53" s="1" t="s">
        <v>41</v>
      </c>
      <c r="F53" s="1" t="s">
        <v>25</v>
      </c>
      <c r="G53" s="2">
        <v>45155</v>
      </c>
      <c r="H53" s="2">
        <v>45167</v>
      </c>
      <c r="I53">
        <v>9</v>
      </c>
      <c r="J53">
        <v>12</v>
      </c>
      <c r="K53">
        <v>3</v>
      </c>
      <c r="L53" s="1" t="s">
        <v>26</v>
      </c>
      <c r="M53">
        <v>60.5</v>
      </c>
      <c r="N53">
        <v>233907.55</v>
      </c>
      <c r="O53">
        <v>2194003.9900000002</v>
      </c>
      <c r="P53">
        <v>338721.16</v>
      </c>
      <c r="Q53" s="1" t="s">
        <v>302</v>
      </c>
      <c r="R53">
        <v>67</v>
      </c>
      <c r="S53" s="1" t="s">
        <v>303</v>
      </c>
      <c r="T53" t="b">
        <v>0</v>
      </c>
    </row>
    <row r="54" spans="1:20" x14ac:dyDescent="0.25">
      <c r="A54" s="1" t="s">
        <v>304</v>
      </c>
      <c r="B54" s="1" t="s">
        <v>99</v>
      </c>
      <c r="C54" s="1" t="s">
        <v>305</v>
      </c>
      <c r="D54" s="1" t="s">
        <v>306</v>
      </c>
      <c r="E54" s="1" t="s">
        <v>41</v>
      </c>
      <c r="F54" s="1" t="s">
        <v>25</v>
      </c>
      <c r="G54" s="2">
        <v>45166</v>
      </c>
      <c r="H54" s="2">
        <v>45173</v>
      </c>
      <c r="I54">
        <v>9</v>
      </c>
      <c r="J54">
        <v>7</v>
      </c>
      <c r="K54">
        <v>0</v>
      </c>
      <c r="L54" s="1" t="s">
        <v>26</v>
      </c>
      <c r="M54">
        <v>84.9</v>
      </c>
      <c r="N54">
        <v>362374.94</v>
      </c>
      <c r="O54">
        <v>3977135.44</v>
      </c>
      <c r="P54">
        <v>750442.2</v>
      </c>
      <c r="Q54" s="1" t="s">
        <v>307</v>
      </c>
      <c r="R54">
        <v>27</v>
      </c>
      <c r="S54" s="1" t="s">
        <v>308</v>
      </c>
      <c r="T54" t="b">
        <v>1</v>
      </c>
    </row>
    <row r="55" spans="1:20" x14ac:dyDescent="0.25">
      <c r="A55" s="1" t="s">
        <v>309</v>
      </c>
      <c r="B55" s="1" t="s">
        <v>38</v>
      </c>
      <c r="C55" s="1" t="s">
        <v>310</v>
      </c>
      <c r="D55" s="1" t="s">
        <v>306</v>
      </c>
      <c r="E55" s="1" t="s">
        <v>49</v>
      </c>
      <c r="F55" s="1" t="s">
        <v>66</v>
      </c>
      <c r="G55" s="2">
        <v>44572</v>
      </c>
      <c r="H55" s="2"/>
      <c r="I55">
        <v>25</v>
      </c>
      <c r="J55">
        <v>22</v>
      </c>
      <c r="K55">
        <v>0</v>
      </c>
      <c r="L55" s="1" t="s">
        <v>26</v>
      </c>
      <c r="M55">
        <v>229.8</v>
      </c>
      <c r="N55">
        <v>1001202.83</v>
      </c>
      <c r="O55">
        <v>1530408.85</v>
      </c>
      <c r="P55">
        <v>442600.81</v>
      </c>
      <c r="Q55" s="1" t="s">
        <v>311</v>
      </c>
      <c r="R55">
        <v>30</v>
      </c>
      <c r="S55" s="1" t="s">
        <v>312</v>
      </c>
      <c r="T55" t="b">
        <v>1</v>
      </c>
    </row>
    <row r="56" spans="1:20" x14ac:dyDescent="0.25">
      <c r="A56" s="1" t="s">
        <v>313</v>
      </c>
      <c r="B56" s="1" t="s">
        <v>99</v>
      </c>
      <c r="C56" s="1" t="s">
        <v>314</v>
      </c>
      <c r="D56" s="1" t="s">
        <v>315</v>
      </c>
      <c r="E56" s="1" t="s">
        <v>49</v>
      </c>
      <c r="F56" s="1" t="s">
        <v>50</v>
      </c>
      <c r="G56" s="2">
        <v>45014</v>
      </c>
      <c r="H56" s="2"/>
      <c r="I56">
        <v>25</v>
      </c>
      <c r="J56">
        <v>18</v>
      </c>
      <c r="K56">
        <v>0</v>
      </c>
      <c r="L56" s="1" t="s">
        <v>26</v>
      </c>
      <c r="M56">
        <v>114</v>
      </c>
      <c r="N56">
        <v>261021.99</v>
      </c>
      <c r="O56">
        <v>4000303.67</v>
      </c>
      <c r="P56">
        <v>789304.53</v>
      </c>
      <c r="Q56" s="1" t="s">
        <v>316</v>
      </c>
      <c r="R56">
        <v>55</v>
      </c>
      <c r="S56" s="1" t="s">
        <v>317</v>
      </c>
      <c r="T56" t="b">
        <v>1</v>
      </c>
    </row>
    <row r="57" spans="1:20" x14ac:dyDescent="0.25">
      <c r="A57" s="1" t="s">
        <v>318</v>
      </c>
      <c r="B57" s="1" t="s">
        <v>148</v>
      </c>
      <c r="C57" s="1" t="s">
        <v>319</v>
      </c>
      <c r="D57" s="1" t="s">
        <v>320</v>
      </c>
      <c r="E57" s="1" t="s">
        <v>41</v>
      </c>
      <c r="F57" s="1" t="s">
        <v>25</v>
      </c>
      <c r="G57" s="2">
        <v>45157</v>
      </c>
      <c r="H57" s="2">
        <v>45164</v>
      </c>
      <c r="I57">
        <v>9</v>
      </c>
      <c r="J57">
        <v>7</v>
      </c>
      <c r="K57">
        <v>0</v>
      </c>
      <c r="L57" s="1" t="s">
        <v>26</v>
      </c>
      <c r="M57">
        <v>36.200000000000003</v>
      </c>
      <c r="N57">
        <v>136079.09</v>
      </c>
      <c r="O57">
        <v>2441080.15</v>
      </c>
      <c r="P57">
        <v>342981.48</v>
      </c>
      <c r="Q57" s="1" t="s">
        <v>321</v>
      </c>
      <c r="R57">
        <v>24</v>
      </c>
      <c r="S57" s="1" t="s">
        <v>322</v>
      </c>
      <c r="T57" t="b">
        <v>1</v>
      </c>
    </row>
    <row r="58" spans="1:20" x14ac:dyDescent="0.25">
      <c r="A58" s="1" t="s">
        <v>323</v>
      </c>
      <c r="B58" s="1" t="s">
        <v>286</v>
      </c>
      <c r="C58" s="1" t="s">
        <v>324</v>
      </c>
      <c r="D58" s="1" t="s">
        <v>192</v>
      </c>
      <c r="E58" s="1" t="s">
        <v>65</v>
      </c>
      <c r="F58" s="1" t="s">
        <v>25</v>
      </c>
      <c r="G58" s="2">
        <v>45212</v>
      </c>
      <c r="H58" s="2">
        <v>45218</v>
      </c>
      <c r="I58">
        <v>4</v>
      </c>
      <c r="J58">
        <v>6</v>
      </c>
      <c r="K58">
        <v>1.5</v>
      </c>
      <c r="L58" s="1" t="s">
        <v>26</v>
      </c>
      <c r="M58">
        <v>68.400000000000006</v>
      </c>
      <c r="N58">
        <v>179572.15</v>
      </c>
      <c r="O58">
        <v>2925007.96</v>
      </c>
      <c r="P58">
        <v>486038.16</v>
      </c>
      <c r="Q58" s="1" t="s">
        <v>325</v>
      </c>
      <c r="R58">
        <v>40</v>
      </c>
      <c r="S58" s="1" t="s">
        <v>326</v>
      </c>
      <c r="T58" t="b">
        <v>1</v>
      </c>
    </row>
    <row r="59" spans="1:20" x14ac:dyDescent="0.25">
      <c r="A59" s="1" t="s">
        <v>327</v>
      </c>
      <c r="B59" s="1" t="s">
        <v>328</v>
      </c>
      <c r="C59" s="1" t="s">
        <v>329</v>
      </c>
      <c r="D59" s="1" t="s">
        <v>202</v>
      </c>
      <c r="E59" s="1" t="s">
        <v>41</v>
      </c>
      <c r="F59" s="1" t="s">
        <v>34</v>
      </c>
      <c r="G59" s="2">
        <v>45015</v>
      </c>
      <c r="H59" s="2"/>
      <c r="I59">
        <v>9</v>
      </c>
      <c r="J59">
        <v>13</v>
      </c>
      <c r="K59">
        <v>4</v>
      </c>
      <c r="L59" s="1" t="s">
        <v>330</v>
      </c>
      <c r="M59">
        <v>120</v>
      </c>
      <c r="N59">
        <v>488195.66</v>
      </c>
      <c r="O59">
        <v>680186.1</v>
      </c>
      <c r="P59">
        <v>202477.38</v>
      </c>
      <c r="Q59" s="1" t="s">
        <v>331</v>
      </c>
      <c r="R59">
        <v>26</v>
      </c>
      <c r="S59" s="1" t="s">
        <v>332</v>
      </c>
      <c r="T59" t="b">
        <v>1</v>
      </c>
    </row>
    <row r="60" spans="1:20" x14ac:dyDescent="0.25">
      <c r="A60" s="1" t="s">
        <v>333</v>
      </c>
      <c r="B60" s="1" t="s">
        <v>334</v>
      </c>
      <c r="C60" s="1" t="s">
        <v>335</v>
      </c>
      <c r="D60" s="1" t="s">
        <v>336</v>
      </c>
      <c r="E60" s="1" t="s">
        <v>24</v>
      </c>
      <c r="F60" s="1" t="s">
        <v>50</v>
      </c>
      <c r="G60" s="2">
        <v>44729</v>
      </c>
      <c r="H60" s="2"/>
      <c r="I60">
        <v>3</v>
      </c>
      <c r="J60">
        <v>2</v>
      </c>
      <c r="K60">
        <v>0</v>
      </c>
      <c r="L60" s="1" t="s">
        <v>26</v>
      </c>
      <c r="M60">
        <v>29.4</v>
      </c>
      <c r="N60">
        <v>68512.77</v>
      </c>
      <c r="O60">
        <v>3670387.64</v>
      </c>
      <c r="P60">
        <v>608176.6</v>
      </c>
      <c r="Q60" s="1" t="s">
        <v>337</v>
      </c>
      <c r="R60">
        <v>57</v>
      </c>
      <c r="S60" s="1" t="s">
        <v>338</v>
      </c>
      <c r="T60" t="b">
        <v>0</v>
      </c>
    </row>
    <row r="61" spans="1:20" x14ac:dyDescent="0.25">
      <c r="A61" s="1" t="s">
        <v>339</v>
      </c>
      <c r="B61" s="1" t="s">
        <v>220</v>
      </c>
      <c r="C61" s="1" t="s">
        <v>234</v>
      </c>
      <c r="D61" s="1" t="s">
        <v>176</v>
      </c>
      <c r="E61" s="1" t="s">
        <v>33</v>
      </c>
      <c r="F61" s="1" t="s">
        <v>66</v>
      </c>
      <c r="G61" s="2">
        <v>44997</v>
      </c>
      <c r="H61" s="2"/>
      <c r="I61">
        <v>12</v>
      </c>
      <c r="J61">
        <v>10</v>
      </c>
      <c r="K61">
        <v>0</v>
      </c>
      <c r="L61" s="1" t="s">
        <v>26</v>
      </c>
      <c r="M61">
        <v>105.2</v>
      </c>
      <c r="N61">
        <v>473038.75</v>
      </c>
      <c r="O61">
        <v>2365798.71</v>
      </c>
      <c r="P61">
        <v>503949.64</v>
      </c>
      <c r="Q61" s="1" t="s">
        <v>340</v>
      </c>
      <c r="R61">
        <v>49</v>
      </c>
      <c r="S61" s="1" t="s">
        <v>341</v>
      </c>
      <c r="T61" t="b">
        <v>1</v>
      </c>
    </row>
    <row r="62" spans="1:20" x14ac:dyDescent="0.25">
      <c r="A62" s="1" t="s">
        <v>342</v>
      </c>
      <c r="B62" s="1" t="s">
        <v>169</v>
      </c>
      <c r="C62" s="1" t="s">
        <v>343</v>
      </c>
      <c r="D62" s="1" t="s">
        <v>344</v>
      </c>
      <c r="E62" s="1" t="s">
        <v>24</v>
      </c>
      <c r="F62" s="1" t="s">
        <v>66</v>
      </c>
      <c r="G62" s="2">
        <v>45374</v>
      </c>
      <c r="H62" s="2"/>
      <c r="I62">
        <v>3</v>
      </c>
      <c r="J62">
        <v>1</v>
      </c>
      <c r="K62">
        <v>0</v>
      </c>
      <c r="L62" s="1" t="s">
        <v>26</v>
      </c>
      <c r="M62">
        <v>12</v>
      </c>
      <c r="N62">
        <v>49074.61</v>
      </c>
      <c r="O62">
        <v>4034634.88</v>
      </c>
      <c r="P62">
        <v>659125.4</v>
      </c>
      <c r="Q62" s="1" t="s">
        <v>345</v>
      </c>
      <c r="R62">
        <v>56</v>
      </c>
      <c r="S62" s="1" t="s">
        <v>346</v>
      </c>
      <c r="T62" t="b">
        <v>1</v>
      </c>
    </row>
    <row r="63" spans="1:20" x14ac:dyDescent="0.25">
      <c r="A63" s="1" t="s">
        <v>347</v>
      </c>
      <c r="B63" s="1" t="s">
        <v>348</v>
      </c>
      <c r="C63" s="1" t="s">
        <v>349</v>
      </c>
      <c r="D63" s="1" t="s">
        <v>350</v>
      </c>
      <c r="E63" s="1" t="s">
        <v>24</v>
      </c>
      <c r="F63" s="1" t="s">
        <v>25</v>
      </c>
      <c r="G63" s="2">
        <v>45552</v>
      </c>
      <c r="H63" s="2">
        <v>45554</v>
      </c>
      <c r="I63">
        <v>3</v>
      </c>
      <c r="J63">
        <v>2</v>
      </c>
      <c r="K63">
        <v>0</v>
      </c>
      <c r="L63" s="1" t="s">
        <v>26</v>
      </c>
      <c r="M63">
        <v>26.3</v>
      </c>
      <c r="N63">
        <v>63796.56</v>
      </c>
      <c r="O63">
        <v>1329142</v>
      </c>
      <c r="P63">
        <v>171891.22</v>
      </c>
      <c r="Q63" s="1" t="s">
        <v>351</v>
      </c>
      <c r="R63">
        <v>78</v>
      </c>
      <c r="S63" s="1" t="s">
        <v>352</v>
      </c>
      <c r="T63" t="b">
        <v>0</v>
      </c>
    </row>
    <row r="64" spans="1:20" x14ac:dyDescent="0.25">
      <c r="A64" s="1" t="s">
        <v>353</v>
      </c>
      <c r="B64" s="1" t="s">
        <v>185</v>
      </c>
      <c r="C64" s="1" t="s">
        <v>354</v>
      </c>
      <c r="D64" s="1" t="s">
        <v>293</v>
      </c>
      <c r="E64" s="1" t="s">
        <v>33</v>
      </c>
      <c r="F64" s="1" t="s">
        <v>34</v>
      </c>
      <c r="G64" s="2">
        <v>44657</v>
      </c>
      <c r="H64" s="2"/>
      <c r="I64">
        <v>12</v>
      </c>
      <c r="J64">
        <v>11</v>
      </c>
      <c r="K64">
        <v>0</v>
      </c>
      <c r="L64" s="1" t="s">
        <v>26</v>
      </c>
      <c r="M64">
        <v>57.6</v>
      </c>
      <c r="N64">
        <v>254292.01</v>
      </c>
      <c r="O64">
        <v>3171499.24</v>
      </c>
      <c r="P64">
        <v>436272.91</v>
      </c>
      <c r="Q64" s="1" t="s">
        <v>355</v>
      </c>
      <c r="R64">
        <v>61</v>
      </c>
      <c r="S64" s="1" t="s">
        <v>356</v>
      </c>
      <c r="T64" t="b">
        <v>0</v>
      </c>
    </row>
    <row r="65" spans="1:20" x14ac:dyDescent="0.25">
      <c r="A65" s="1" t="s">
        <v>357</v>
      </c>
      <c r="B65" s="1" t="s">
        <v>358</v>
      </c>
      <c r="C65" s="1" t="s">
        <v>329</v>
      </c>
      <c r="D65" s="1" t="s">
        <v>359</v>
      </c>
      <c r="E65" s="1" t="s">
        <v>49</v>
      </c>
      <c r="F65" s="1" t="s">
        <v>34</v>
      </c>
      <c r="G65" s="2">
        <v>45310</v>
      </c>
      <c r="H65" s="2"/>
      <c r="I65">
        <v>25</v>
      </c>
      <c r="J65">
        <v>38</v>
      </c>
      <c r="K65">
        <v>13</v>
      </c>
      <c r="L65" s="1" t="s">
        <v>42</v>
      </c>
      <c r="M65">
        <v>533</v>
      </c>
      <c r="N65">
        <v>1702929.58</v>
      </c>
      <c r="O65">
        <v>1887880.62</v>
      </c>
      <c r="P65">
        <v>684854.56</v>
      </c>
      <c r="Q65" s="1" t="s">
        <v>360</v>
      </c>
      <c r="R65">
        <v>50</v>
      </c>
      <c r="S65" s="1" t="s">
        <v>361</v>
      </c>
      <c r="T65" t="b">
        <v>1</v>
      </c>
    </row>
    <row r="66" spans="1:20" x14ac:dyDescent="0.25">
      <c r="A66" s="1" t="s">
        <v>362</v>
      </c>
      <c r="B66" s="1" t="s">
        <v>105</v>
      </c>
      <c r="C66" s="1" t="s">
        <v>363</v>
      </c>
      <c r="D66" s="1" t="s">
        <v>113</v>
      </c>
      <c r="E66" s="1" t="s">
        <v>57</v>
      </c>
      <c r="F66" s="1" t="s">
        <v>25</v>
      </c>
      <c r="G66" s="2">
        <v>45589</v>
      </c>
      <c r="H66" s="2">
        <v>45619</v>
      </c>
      <c r="I66">
        <v>40</v>
      </c>
      <c r="J66">
        <v>30</v>
      </c>
      <c r="K66">
        <v>0</v>
      </c>
      <c r="L66" s="1" t="s">
        <v>26</v>
      </c>
      <c r="M66">
        <v>202.8</v>
      </c>
      <c r="N66">
        <v>646782.22</v>
      </c>
      <c r="O66">
        <v>1411239.45</v>
      </c>
      <c r="P66">
        <v>236721.97</v>
      </c>
      <c r="Q66" s="1" t="s">
        <v>364</v>
      </c>
      <c r="R66">
        <v>71</v>
      </c>
      <c r="S66" s="1" t="s">
        <v>365</v>
      </c>
      <c r="T66" t="b">
        <v>0</v>
      </c>
    </row>
    <row r="67" spans="1:20" x14ac:dyDescent="0.25">
      <c r="A67" s="1" t="s">
        <v>366</v>
      </c>
      <c r="B67" s="1" t="s">
        <v>174</v>
      </c>
      <c r="C67" s="1" t="s">
        <v>367</v>
      </c>
      <c r="D67" s="1" t="s">
        <v>95</v>
      </c>
      <c r="E67" s="1" t="s">
        <v>65</v>
      </c>
      <c r="F67" s="1" t="s">
        <v>34</v>
      </c>
      <c r="G67" s="2">
        <v>44794</v>
      </c>
      <c r="H67" s="2"/>
      <c r="I67">
        <v>4</v>
      </c>
      <c r="J67">
        <v>8</v>
      </c>
      <c r="K67">
        <v>3.5</v>
      </c>
      <c r="L67" s="1" t="s">
        <v>26</v>
      </c>
      <c r="M67">
        <v>78</v>
      </c>
      <c r="N67">
        <v>264820.56</v>
      </c>
      <c r="O67">
        <v>3239823.58</v>
      </c>
      <c r="P67">
        <v>494469.96</v>
      </c>
      <c r="Q67" s="1" t="s">
        <v>368</v>
      </c>
      <c r="R67">
        <v>52</v>
      </c>
      <c r="S67" s="1" t="s">
        <v>369</v>
      </c>
      <c r="T67" t="b">
        <v>1</v>
      </c>
    </row>
    <row r="68" spans="1:20" x14ac:dyDescent="0.25">
      <c r="A68" s="1" t="s">
        <v>370</v>
      </c>
      <c r="B68" s="1" t="s">
        <v>163</v>
      </c>
      <c r="C68" s="1" t="s">
        <v>371</v>
      </c>
      <c r="D68" s="1" t="s">
        <v>372</v>
      </c>
      <c r="E68" s="1" t="s">
        <v>33</v>
      </c>
      <c r="F68" s="1" t="s">
        <v>25</v>
      </c>
      <c r="G68" s="2">
        <v>44862</v>
      </c>
      <c r="H68" s="2">
        <v>44872</v>
      </c>
      <c r="I68">
        <v>12</v>
      </c>
      <c r="J68">
        <v>10</v>
      </c>
      <c r="K68">
        <v>0</v>
      </c>
      <c r="L68" s="1" t="s">
        <v>26</v>
      </c>
      <c r="M68">
        <v>150.69999999999999</v>
      </c>
      <c r="N68">
        <v>481475.93</v>
      </c>
      <c r="O68">
        <v>2033227.02</v>
      </c>
      <c r="P68">
        <v>495206.29</v>
      </c>
      <c r="Q68" s="1" t="s">
        <v>373</v>
      </c>
      <c r="R68">
        <v>48</v>
      </c>
      <c r="S68" s="1" t="s">
        <v>374</v>
      </c>
      <c r="T68" t="b">
        <v>0</v>
      </c>
    </row>
    <row r="69" spans="1:20" x14ac:dyDescent="0.25">
      <c r="A69" s="1" t="s">
        <v>375</v>
      </c>
      <c r="B69" s="1" t="s">
        <v>228</v>
      </c>
      <c r="C69" s="1" t="s">
        <v>206</v>
      </c>
      <c r="D69" s="1" t="s">
        <v>72</v>
      </c>
      <c r="E69" s="1" t="s">
        <v>57</v>
      </c>
      <c r="F69" s="1" t="s">
        <v>25</v>
      </c>
      <c r="G69" s="2">
        <v>45548</v>
      </c>
      <c r="H69" s="2">
        <v>45594</v>
      </c>
      <c r="I69">
        <v>40</v>
      </c>
      <c r="J69">
        <v>46</v>
      </c>
      <c r="K69">
        <v>6</v>
      </c>
      <c r="L69" s="1" t="s">
        <v>101</v>
      </c>
      <c r="M69">
        <v>515.70000000000005</v>
      </c>
      <c r="N69">
        <v>2034675.47</v>
      </c>
      <c r="O69">
        <v>4104061.37</v>
      </c>
      <c r="P69">
        <v>725527.58</v>
      </c>
      <c r="Q69" s="1" t="s">
        <v>376</v>
      </c>
      <c r="R69">
        <v>57</v>
      </c>
      <c r="S69" s="1" t="s">
        <v>377</v>
      </c>
      <c r="T69" t="b">
        <v>1</v>
      </c>
    </row>
    <row r="70" spans="1:20" x14ac:dyDescent="0.25">
      <c r="A70" s="1" t="s">
        <v>378</v>
      </c>
      <c r="B70" s="1" t="s">
        <v>148</v>
      </c>
      <c r="C70" s="1" t="s">
        <v>379</v>
      </c>
      <c r="D70" s="1" t="s">
        <v>350</v>
      </c>
      <c r="E70" s="1" t="s">
        <v>65</v>
      </c>
      <c r="F70" s="1" t="s">
        <v>25</v>
      </c>
      <c r="G70" s="2">
        <v>45032</v>
      </c>
      <c r="H70" s="2">
        <v>45035</v>
      </c>
      <c r="I70">
        <v>4</v>
      </c>
      <c r="J70">
        <v>3</v>
      </c>
      <c r="K70">
        <v>0</v>
      </c>
      <c r="L70" s="1" t="s">
        <v>26</v>
      </c>
      <c r="M70">
        <v>15.9</v>
      </c>
      <c r="N70">
        <v>37306.82</v>
      </c>
      <c r="O70">
        <v>4299362.54</v>
      </c>
      <c r="P70">
        <v>652390.99</v>
      </c>
      <c r="Q70" s="1" t="s">
        <v>380</v>
      </c>
      <c r="R70">
        <v>77</v>
      </c>
      <c r="S70" s="1" t="s">
        <v>381</v>
      </c>
      <c r="T70" t="b">
        <v>1</v>
      </c>
    </row>
    <row r="71" spans="1:20" x14ac:dyDescent="0.25">
      <c r="A71" s="1" t="s">
        <v>382</v>
      </c>
      <c r="B71" s="1" t="s">
        <v>286</v>
      </c>
      <c r="C71" s="1" t="s">
        <v>211</v>
      </c>
      <c r="D71" s="1" t="s">
        <v>113</v>
      </c>
      <c r="E71" s="1" t="s">
        <v>49</v>
      </c>
      <c r="F71" s="1" t="s">
        <v>50</v>
      </c>
      <c r="G71" s="2">
        <v>45650</v>
      </c>
      <c r="H71" s="2"/>
      <c r="I71">
        <v>25</v>
      </c>
      <c r="J71">
        <v>13</v>
      </c>
      <c r="K71">
        <v>0</v>
      </c>
      <c r="L71" s="1" t="s">
        <v>26</v>
      </c>
      <c r="M71">
        <v>66.5</v>
      </c>
      <c r="N71">
        <v>238093.94</v>
      </c>
      <c r="O71">
        <v>4510903.93</v>
      </c>
      <c r="P71">
        <v>731006.59</v>
      </c>
      <c r="Q71" s="1" t="s">
        <v>383</v>
      </c>
      <c r="R71">
        <v>43</v>
      </c>
      <c r="S71" s="1" t="s">
        <v>384</v>
      </c>
      <c r="T71" t="b">
        <v>1</v>
      </c>
    </row>
    <row r="72" spans="1:20" x14ac:dyDescent="0.25">
      <c r="A72" s="1" t="s">
        <v>385</v>
      </c>
      <c r="B72" s="1" t="s">
        <v>286</v>
      </c>
      <c r="C72" s="1" t="s">
        <v>367</v>
      </c>
      <c r="D72" s="1" t="s">
        <v>144</v>
      </c>
      <c r="E72" s="1" t="s">
        <v>65</v>
      </c>
      <c r="F72" s="1" t="s">
        <v>25</v>
      </c>
      <c r="G72" s="2">
        <v>45647</v>
      </c>
      <c r="H72" s="2">
        <v>45655</v>
      </c>
      <c r="I72">
        <v>4</v>
      </c>
      <c r="J72">
        <v>8</v>
      </c>
      <c r="K72">
        <v>3.5</v>
      </c>
      <c r="L72" s="1" t="s">
        <v>58</v>
      </c>
      <c r="M72">
        <v>107.8</v>
      </c>
      <c r="N72">
        <v>305002.69</v>
      </c>
      <c r="O72">
        <v>2949349.95</v>
      </c>
      <c r="P72">
        <v>566711.03</v>
      </c>
      <c r="Q72" s="1" t="s">
        <v>386</v>
      </c>
      <c r="R72">
        <v>50</v>
      </c>
      <c r="S72" s="1" t="s">
        <v>387</v>
      </c>
      <c r="T72" t="b">
        <v>1</v>
      </c>
    </row>
    <row r="73" spans="1:20" x14ac:dyDescent="0.25">
      <c r="A73" s="1" t="s">
        <v>388</v>
      </c>
      <c r="B73" s="1" t="s">
        <v>272</v>
      </c>
      <c r="C73" s="1" t="s">
        <v>139</v>
      </c>
      <c r="D73" s="1" t="s">
        <v>315</v>
      </c>
      <c r="E73" s="1" t="s">
        <v>24</v>
      </c>
      <c r="F73" s="1" t="s">
        <v>66</v>
      </c>
      <c r="G73" s="2">
        <v>44733</v>
      </c>
      <c r="H73" s="2"/>
      <c r="I73">
        <v>3</v>
      </c>
      <c r="J73">
        <v>5</v>
      </c>
      <c r="K73">
        <v>2</v>
      </c>
      <c r="L73" s="1" t="s">
        <v>26</v>
      </c>
      <c r="M73">
        <v>44.5</v>
      </c>
      <c r="N73">
        <v>102810.87</v>
      </c>
      <c r="O73">
        <v>3548652.7</v>
      </c>
      <c r="P73">
        <v>653401.1</v>
      </c>
      <c r="Q73" s="1" t="s">
        <v>389</v>
      </c>
      <c r="R73">
        <v>33</v>
      </c>
      <c r="S73" s="1" t="s">
        <v>390</v>
      </c>
      <c r="T73" t="b">
        <v>0</v>
      </c>
    </row>
    <row r="74" spans="1:20" x14ac:dyDescent="0.25">
      <c r="A74" s="1" t="s">
        <v>391</v>
      </c>
      <c r="B74" s="1" t="s">
        <v>21</v>
      </c>
      <c r="C74" s="1" t="s">
        <v>392</v>
      </c>
      <c r="D74" s="1" t="s">
        <v>113</v>
      </c>
      <c r="E74" s="1" t="s">
        <v>24</v>
      </c>
      <c r="F74" s="1" t="s">
        <v>25</v>
      </c>
      <c r="G74" s="2">
        <v>45399</v>
      </c>
      <c r="H74" s="2">
        <v>45401</v>
      </c>
      <c r="I74">
        <v>3</v>
      </c>
      <c r="J74">
        <v>2</v>
      </c>
      <c r="K74">
        <v>0</v>
      </c>
      <c r="L74" s="1" t="s">
        <v>26</v>
      </c>
      <c r="M74">
        <v>18.2</v>
      </c>
      <c r="N74">
        <v>61525.09</v>
      </c>
      <c r="O74">
        <v>1313901.44</v>
      </c>
      <c r="P74">
        <v>211279.94</v>
      </c>
      <c r="Q74" s="1" t="s">
        <v>393</v>
      </c>
      <c r="R74">
        <v>55</v>
      </c>
      <c r="S74" s="1" t="s">
        <v>394</v>
      </c>
      <c r="T74" t="b">
        <v>0</v>
      </c>
    </row>
    <row r="75" spans="1:20" x14ac:dyDescent="0.25">
      <c r="A75" s="1" t="s">
        <v>395</v>
      </c>
      <c r="B75" s="1" t="s">
        <v>105</v>
      </c>
      <c r="C75" s="1" t="s">
        <v>363</v>
      </c>
      <c r="D75" s="1" t="s">
        <v>230</v>
      </c>
      <c r="E75" s="1" t="s">
        <v>24</v>
      </c>
      <c r="F75" s="1" t="s">
        <v>66</v>
      </c>
      <c r="G75" s="2">
        <v>44928</v>
      </c>
      <c r="H75" s="2"/>
      <c r="I75">
        <v>3</v>
      </c>
      <c r="J75">
        <v>5</v>
      </c>
      <c r="K75">
        <v>2</v>
      </c>
      <c r="L75" s="1" t="s">
        <v>26</v>
      </c>
      <c r="M75">
        <v>49</v>
      </c>
      <c r="N75">
        <v>218979.64</v>
      </c>
      <c r="O75">
        <v>2892479.25</v>
      </c>
      <c r="P75">
        <v>552033.31999999995</v>
      </c>
      <c r="Q75" s="1" t="s">
        <v>396</v>
      </c>
      <c r="R75">
        <v>70</v>
      </c>
      <c r="S75" s="1" t="s">
        <v>397</v>
      </c>
      <c r="T75" t="b">
        <v>1</v>
      </c>
    </row>
    <row r="76" spans="1:20" x14ac:dyDescent="0.25">
      <c r="A76" s="1" t="s">
        <v>398</v>
      </c>
      <c r="B76" s="1" t="s">
        <v>272</v>
      </c>
      <c r="C76" s="1" t="s">
        <v>399</v>
      </c>
      <c r="D76" s="1" t="s">
        <v>336</v>
      </c>
      <c r="E76" s="1" t="s">
        <v>57</v>
      </c>
      <c r="F76" s="1" t="s">
        <v>66</v>
      </c>
      <c r="G76" s="2">
        <v>44767</v>
      </c>
      <c r="H76" s="2"/>
      <c r="I76">
        <v>40</v>
      </c>
      <c r="J76">
        <v>45</v>
      </c>
      <c r="K76">
        <v>5</v>
      </c>
      <c r="L76" s="1" t="s">
        <v>101</v>
      </c>
      <c r="M76">
        <v>604.5</v>
      </c>
      <c r="N76">
        <v>2395213.42</v>
      </c>
      <c r="O76">
        <v>3073986.58</v>
      </c>
      <c r="P76">
        <v>921321.99</v>
      </c>
      <c r="Q76" s="1" t="s">
        <v>400</v>
      </c>
      <c r="R76">
        <v>29</v>
      </c>
      <c r="S76" s="1" t="s">
        <v>401</v>
      </c>
      <c r="T76" t="b">
        <v>0</v>
      </c>
    </row>
    <row r="77" spans="1:20" x14ac:dyDescent="0.25">
      <c r="A77" s="1" t="s">
        <v>402</v>
      </c>
      <c r="B77" s="1" t="s">
        <v>403</v>
      </c>
      <c r="C77" s="1" t="s">
        <v>404</v>
      </c>
      <c r="D77" s="1" t="s">
        <v>405</v>
      </c>
      <c r="E77" s="1" t="s">
        <v>33</v>
      </c>
      <c r="F77" s="1" t="s">
        <v>25</v>
      </c>
      <c r="G77" s="2">
        <v>45453</v>
      </c>
      <c r="H77" s="2">
        <v>45463</v>
      </c>
      <c r="I77">
        <v>12</v>
      </c>
      <c r="J77">
        <v>10</v>
      </c>
      <c r="K77">
        <v>0</v>
      </c>
      <c r="L77" s="1" t="s">
        <v>26</v>
      </c>
      <c r="M77">
        <v>66.599999999999994</v>
      </c>
      <c r="N77">
        <v>134272.75</v>
      </c>
      <c r="O77">
        <v>198399.14</v>
      </c>
      <c r="P77">
        <v>46052.639999999999</v>
      </c>
      <c r="Q77" s="1" t="s">
        <v>406</v>
      </c>
      <c r="R77">
        <v>58</v>
      </c>
      <c r="S77" s="1" t="s">
        <v>407</v>
      </c>
      <c r="T77" t="b">
        <v>1</v>
      </c>
    </row>
    <row r="78" spans="1:20" x14ac:dyDescent="0.25">
      <c r="A78" s="1" t="s">
        <v>408</v>
      </c>
      <c r="B78" s="1" t="s">
        <v>334</v>
      </c>
      <c r="C78" s="1" t="s">
        <v>409</v>
      </c>
      <c r="D78" s="1" t="s">
        <v>410</v>
      </c>
      <c r="E78" s="1" t="s">
        <v>41</v>
      </c>
      <c r="F78" s="1" t="s">
        <v>25</v>
      </c>
      <c r="G78" s="2">
        <v>44920</v>
      </c>
      <c r="H78" s="2">
        <v>44930</v>
      </c>
      <c r="I78">
        <v>9</v>
      </c>
      <c r="J78">
        <v>10</v>
      </c>
      <c r="K78">
        <v>1</v>
      </c>
      <c r="L78" s="1" t="s">
        <v>26</v>
      </c>
      <c r="M78">
        <v>41.3</v>
      </c>
      <c r="N78">
        <v>169186.8</v>
      </c>
      <c r="O78">
        <v>4654484.75</v>
      </c>
      <c r="P78">
        <v>732307.28</v>
      </c>
      <c r="Q78" s="1" t="s">
        <v>411</v>
      </c>
      <c r="R78">
        <v>34</v>
      </c>
      <c r="S78" s="1" t="s">
        <v>412</v>
      </c>
      <c r="T78" t="b">
        <v>1</v>
      </c>
    </row>
    <row r="79" spans="1:20" x14ac:dyDescent="0.25">
      <c r="A79" s="1" t="s">
        <v>413</v>
      </c>
      <c r="B79" s="1" t="s">
        <v>111</v>
      </c>
      <c r="C79" s="1" t="s">
        <v>414</v>
      </c>
      <c r="D79" s="1" t="s">
        <v>192</v>
      </c>
      <c r="E79" s="1" t="s">
        <v>24</v>
      </c>
      <c r="F79" s="1" t="s">
        <v>25</v>
      </c>
      <c r="G79" s="2">
        <v>44635</v>
      </c>
      <c r="H79" s="2">
        <v>44636</v>
      </c>
      <c r="I79">
        <v>3</v>
      </c>
      <c r="J79">
        <v>1</v>
      </c>
      <c r="K79">
        <v>0</v>
      </c>
      <c r="L79" s="1" t="s">
        <v>26</v>
      </c>
      <c r="M79">
        <v>15.7</v>
      </c>
      <c r="N79">
        <v>31941.27</v>
      </c>
      <c r="O79">
        <v>1386924.98</v>
      </c>
      <c r="P79">
        <v>198560.92</v>
      </c>
      <c r="Q79" s="1" t="s">
        <v>415</v>
      </c>
      <c r="R79">
        <v>67</v>
      </c>
      <c r="S79" s="1" t="s">
        <v>416</v>
      </c>
      <c r="T79" t="b">
        <v>1</v>
      </c>
    </row>
    <row r="80" spans="1:20" x14ac:dyDescent="0.25">
      <c r="A80" s="1" t="s">
        <v>417</v>
      </c>
      <c r="B80" s="1" t="s">
        <v>418</v>
      </c>
      <c r="C80" s="1" t="s">
        <v>419</v>
      </c>
      <c r="D80" s="1" t="s">
        <v>420</v>
      </c>
      <c r="E80" s="1" t="s">
        <v>49</v>
      </c>
      <c r="F80" s="1" t="s">
        <v>25</v>
      </c>
      <c r="G80" s="2">
        <v>44746</v>
      </c>
      <c r="H80" s="2">
        <v>44779</v>
      </c>
      <c r="I80">
        <v>25</v>
      </c>
      <c r="J80">
        <v>33</v>
      </c>
      <c r="K80">
        <v>8</v>
      </c>
      <c r="L80" s="1" t="s">
        <v>193</v>
      </c>
      <c r="M80">
        <v>460.6</v>
      </c>
      <c r="N80">
        <v>1967003.46</v>
      </c>
      <c r="O80">
        <v>1746995.29</v>
      </c>
      <c r="P80">
        <v>729164.79</v>
      </c>
      <c r="Q80" s="1" t="s">
        <v>421</v>
      </c>
      <c r="R80">
        <v>20</v>
      </c>
      <c r="S80" s="1" t="s">
        <v>422</v>
      </c>
      <c r="T80" t="b">
        <v>0</v>
      </c>
    </row>
    <row r="81" spans="1:20" x14ac:dyDescent="0.25">
      <c r="A81" s="1" t="s">
        <v>423</v>
      </c>
      <c r="B81" s="1" t="s">
        <v>122</v>
      </c>
      <c r="C81" s="1" t="s">
        <v>424</v>
      </c>
      <c r="D81" s="1" t="s">
        <v>144</v>
      </c>
      <c r="E81" s="1" t="s">
        <v>65</v>
      </c>
      <c r="F81" s="1" t="s">
        <v>66</v>
      </c>
      <c r="G81" s="2">
        <v>44920</v>
      </c>
      <c r="H81" s="2"/>
      <c r="I81">
        <v>4</v>
      </c>
      <c r="J81">
        <v>2</v>
      </c>
      <c r="K81">
        <v>0</v>
      </c>
      <c r="L81" s="1" t="s">
        <v>26</v>
      </c>
      <c r="M81">
        <v>21.4</v>
      </c>
      <c r="N81">
        <v>67593.11</v>
      </c>
      <c r="O81">
        <v>1706429.81</v>
      </c>
      <c r="P81">
        <v>198159.96</v>
      </c>
      <c r="Q81" s="1" t="s">
        <v>425</v>
      </c>
      <c r="R81">
        <v>64</v>
      </c>
      <c r="S81" s="1" t="s">
        <v>426</v>
      </c>
      <c r="T81" t="b">
        <v>0</v>
      </c>
    </row>
    <row r="82" spans="1:20" x14ac:dyDescent="0.25">
      <c r="A82" s="1" t="s">
        <v>427</v>
      </c>
      <c r="B82" s="1" t="s">
        <v>105</v>
      </c>
      <c r="C82" s="1" t="s">
        <v>428</v>
      </c>
      <c r="D82" s="1" t="s">
        <v>159</v>
      </c>
      <c r="E82" s="1" t="s">
        <v>49</v>
      </c>
      <c r="F82" s="1" t="s">
        <v>25</v>
      </c>
      <c r="G82" s="2">
        <v>45334</v>
      </c>
      <c r="H82" s="2">
        <v>45368</v>
      </c>
      <c r="I82">
        <v>25</v>
      </c>
      <c r="J82">
        <v>34</v>
      </c>
      <c r="K82">
        <v>9</v>
      </c>
      <c r="L82" s="1" t="s">
        <v>26</v>
      </c>
      <c r="M82">
        <v>235.3</v>
      </c>
      <c r="N82">
        <v>639329.88</v>
      </c>
      <c r="O82">
        <v>3880238.04</v>
      </c>
      <c r="P82">
        <v>760008.13</v>
      </c>
      <c r="Q82" s="1" t="s">
        <v>429</v>
      </c>
      <c r="R82">
        <v>44</v>
      </c>
      <c r="S82" s="1" t="s">
        <v>430</v>
      </c>
      <c r="T82" t="b">
        <v>1</v>
      </c>
    </row>
    <row r="83" spans="1:20" x14ac:dyDescent="0.25">
      <c r="A83" s="1" t="s">
        <v>431</v>
      </c>
      <c r="B83" s="1" t="s">
        <v>228</v>
      </c>
      <c r="C83" s="1" t="s">
        <v>432</v>
      </c>
      <c r="D83" s="1" t="s">
        <v>202</v>
      </c>
      <c r="E83" s="1" t="s">
        <v>24</v>
      </c>
      <c r="F83" s="1" t="s">
        <v>25</v>
      </c>
      <c r="G83" s="2">
        <v>45032</v>
      </c>
      <c r="H83" s="2">
        <v>45035</v>
      </c>
      <c r="I83">
        <v>3</v>
      </c>
      <c r="J83">
        <v>3</v>
      </c>
      <c r="K83">
        <v>0</v>
      </c>
      <c r="L83" s="1" t="s">
        <v>26</v>
      </c>
      <c r="M83">
        <v>30.6</v>
      </c>
      <c r="N83">
        <v>55883.33</v>
      </c>
      <c r="O83">
        <v>4162563.45</v>
      </c>
      <c r="P83">
        <v>526570.82999999996</v>
      </c>
      <c r="Q83" s="1" t="s">
        <v>433</v>
      </c>
      <c r="R83">
        <v>79</v>
      </c>
      <c r="S83" s="1" t="s">
        <v>434</v>
      </c>
      <c r="T83" t="b">
        <v>1</v>
      </c>
    </row>
    <row r="84" spans="1:20" x14ac:dyDescent="0.25">
      <c r="A84" s="1" t="s">
        <v>435</v>
      </c>
      <c r="B84" s="1" t="s">
        <v>111</v>
      </c>
      <c r="C84" s="1" t="s">
        <v>436</v>
      </c>
      <c r="D84" s="1" t="s">
        <v>288</v>
      </c>
      <c r="E84" s="1" t="s">
        <v>24</v>
      </c>
      <c r="F84" s="1" t="s">
        <v>25</v>
      </c>
      <c r="G84" s="2">
        <v>45537</v>
      </c>
      <c r="H84" s="2">
        <v>45539</v>
      </c>
      <c r="I84">
        <v>3</v>
      </c>
      <c r="J84">
        <v>2</v>
      </c>
      <c r="K84">
        <v>0</v>
      </c>
      <c r="L84" s="1" t="s">
        <v>26</v>
      </c>
      <c r="M84">
        <v>29.5</v>
      </c>
      <c r="N84">
        <v>74531.89</v>
      </c>
      <c r="O84">
        <v>4736119.3600000003</v>
      </c>
      <c r="P84">
        <v>809684.23</v>
      </c>
      <c r="Q84" s="1" t="s">
        <v>437</v>
      </c>
      <c r="R84">
        <v>35</v>
      </c>
      <c r="S84" s="1" t="s">
        <v>438</v>
      </c>
      <c r="T84" t="b">
        <v>0</v>
      </c>
    </row>
    <row r="85" spans="1:20" x14ac:dyDescent="0.25">
      <c r="A85" s="1" t="s">
        <v>439</v>
      </c>
      <c r="B85" s="1" t="s">
        <v>30</v>
      </c>
      <c r="C85" s="1" t="s">
        <v>440</v>
      </c>
      <c r="D85" s="1" t="s">
        <v>40</v>
      </c>
      <c r="E85" s="1" t="s">
        <v>57</v>
      </c>
      <c r="F85" s="1" t="s">
        <v>25</v>
      </c>
      <c r="G85" s="2">
        <v>44985</v>
      </c>
      <c r="H85" s="2">
        <v>45020</v>
      </c>
      <c r="I85">
        <v>40</v>
      </c>
      <c r="J85">
        <v>35</v>
      </c>
      <c r="K85">
        <v>0</v>
      </c>
      <c r="L85" s="1" t="s">
        <v>26</v>
      </c>
      <c r="M85">
        <v>491.3</v>
      </c>
      <c r="N85">
        <v>1356613.87</v>
      </c>
      <c r="O85">
        <v>3896903.02</v>
      </c>
      <c r="P85">
        <v>588330.06000000006</v>
      </c>
      <c r="Q85" s="1" t="s">
        <v>441</v>
      </c>
      <c r="R85">
        <v>74</v>
      </c>
      <c r="S85" s="1" t="s">
        <v>442</v>
      </c>
      <c r="T85" t="b">
        <v>1</v>
      </c>
    </row>
    <row r="86" spans="1:20" x14ac:dyDescent="0.25">
      <c r="A86" s="1" t="s">
        <v>443</v>
      </c>
      <c r="B86" s="1" t="s">
        <v>334</v>
      </c>
      <c r="C86" s="1" t="s">
        <v>444</v>
      </c>
      <c r="D86" s="1" t="s">
        <v>23</v>
      </c>
      <c r="E86" s="1" t="s">
        <v>24</v>
      </c>
      <c r="F86" s="1" t="s">
        <v>66</v>
      </c>
      <c r="G86" s="2">
        <v>45549</v>
      </c>
      <c r="H86" s="2"/>
      <c r="I86">
        <v>3</v>
      </c>
      <c r="J86">
        <v>3</v>
      </c>
      <c r="K86">
        <v>0</v>
      </c>
      <c r="L86" s="1" t="s">
        <v>26</v>
      </c>
      <c r="M86">
        <v>29.7</v>
      </c>
      <c r="N86">
        <v>132476.12</v>
      </c>
      <c r="O86">
        <v>4486028.87</v>
      </c>
      <c r="P86">
        <v>863091.82</v>
      </c>
      <c r="Q86" s="1" t="s">
        <v>445</v>
      </c>
      <c r="R86">
        <v>34</v>
      </c>
      <c r="S86" s="1" t="s">
        <v>446</v>
      </c>
      <c r="T86" t="b">
        <v>1</v>
      </c>
    </row>
    <row r="87" spans="1:20" x14ac:dyDescent="0.25">
      <c r="A87" s="1" t="s">
        <v>447</v>
      </c>
      <c r="B87" s="1" t="s">
        <v>105</v>
      </c>
      <c r="C87" s="1" t="s">
        <v>414</v>
      </c>
      <c r="D87" s="1" t="s">
        <v>216</v>
      </c>
      <c r="E87" s="1" t="s">
        <v>49</v>
      </c>
      <c r="F87" s="1" t="s">
        <v>50</v>
      </c>
      <c r="G87" s="2">
        <v>44672</v>
      </c>
      <c r="H87" s="2"/>
      <c r="I87">
        <v>25</v>
      </c>
      <c r="J87">
        <v>23</v>
      </c>
      <c r="K87">
        <v>0</v>
      </c>
      <c r="L87" s="1" t="s">
        <v>26</v>
      </c>
      <c r="M87">
        <v>224</v>
      </c>
      <c r="N87">
        <v>730256.45</v>
      </c>
      <c r="O87">
        <v>2517351.31</v>
      </c>
      <c r="P87">
        <v>452624.59</v>
      </c>
      <c r="Q87" s="1" t="s">
        <v>448</v>
      </c>
      <c r="R87">
        <v>40</v>
      </c>
      <c r="S87" s="1" t="s">
        <v>449</v>
      </c>
      <c r="T87" t="b">
        <v>1</v>
      </c>
    </row>
    <row r="88" spans="1:20" x14ac:dyDescent="0.25">
      <c r="A88" s="1" t="s">
        <v>450</v>
      </c>
      <c r="B88" s="1" t="s">
        <v>451</v>
      </c>
      <c r="C88" s="1" t="s">
        <v>112</v>
      </c>
      <c r="D88" s="1" t="s">
        <v>56</v>
      </c>
      <c r="E88" s="1" t="s">
        <v>41</v>
      </c>
      <c r="F88" s="1" t="s">
        <v>25</v>
      </c>
      <c r="G88" s="2">
        <v>44586</v>
      </c>
      <c r="H88" s="2">
        <v>44595</v>
      </c>
      <c r="I88">
        <v>9</v>
      </c>
      <c r="J88">
        <v>9</v>
      </c>
      <c r="K88">
        <v>0</v>
      </c>
      <c r="L88" s="1" t="s">
        <v>26</v>
      </c>
      <c r="M88">
        <v>98.7</v>
      </c>
      <c r="N88">
        <v>264385.49</v>
      </c>
      <c r="O88">
        <v>3067762.7</v>
      </c>
      <c r="P88">
        <v>419750.96</v>
      </c>
      <c r="Q88" s="1" t="s">
        <v>452</v>
      </c>
      <c r="R88">
        <v>31</v>
      </c>
      <c r="S88" s="1" t="s">
        <v>453</v>
      </c>
      <c r="T88" t="b">
        <v>0</v>
      </c>
    </row>
    <row r="89" spans="1:20" x14ac:dyDescent="0.25">
      <c r="A89" s="1" t="s">
        <v>454</v>
      </c>
      <c r="B89" s="1" t="s">
        <v>148</v>
      </c>
      <c r="C89" s="1" t="s">
        <v>455</v>
      </c>
      <c r="D89" s="1" t="s">
        <v>165</v>
      </c>
      <c r="E89" s="1" t="s">
        <v>57</v>
      </c>
      <c r="F89" s="1" t="s">
        <v>25</v>
      </c>
      <c r="G89" s="2">
        <v>45430</v>
      </c>
      <c r="H89" s="2">
        <v>45473</v>
      </c>
      <c r="I89">
        <v>40</v>
      </c>
      <c r="J89">
        <v>43</v>
      </c>
      <c r="K89">
        <v>3</v>
      </c>
      <c r="L89" s="1" t="s">
        <v>26</v>
      </c>
      <c r="M89">
        <v>360.4</v>
      </c>
      <c r="N89">
        <v>1038528.64</v>
      </c>
      <c r="O89">
        <v>2259137.67</v>
      </c>
      <c r="P89">
        <v>518198.49</v>
      </c>
      <c r="Q89" s="1" t="s">
        <v>456</v>
      </c>
      <c r="R89">
        <v>35</v>
      </c>
      <c r="S89" s="1" t="s">
        <v>457</v>
      </c>
      <c r="T89" t="b">
        <v>0</v>
      </c>
    </row>
    <row r="90" spans="1:20" x14ac:dyDescent="0.25">
      <c r="A90" s="1" t="s">
        <v>458</v>
      </c>
      <c r="B90" s="1" t="s">
        <v>122</v>
      </c>
      <c r="C90" s="1" t="s">
        <v>459</v>
      </c>
      <c r="D90" s="1" t="s">
        <v>359</v>
      </c>
      <c r="E90" s="1" t="s">
        <v>57</v>
      </c>
      <c r="F90" s="1" t="s">
        <v>25</v>
      </c>
      <c r="G90" s="2">
        <v>45342</v>
      </c>
      <c r="H90" s="2">
        <v>45371</v>
      </c>
      <c r="I90">
        <v>40</v>
      </c>
      <c r="J90">
        <v>29</v>
      </c>
      <c r="K90">
        <v>0</v>
      </c>
      <c r="L90" s="1" t="s">
        <v>26</v>
      </c>
      <c r="M90">
        <v>280.60000000000002</v>
      </c>
      <c r="N90">
        <v>512460.95</v>
      </c>
      <c r="O90">
        <v>2113388.14</v>
      </c>
      <c r="P90">
        <v>297895.14</v>
      </c>
      <c r="Q90" s="1" t="s">
        <v>460</v>
      </c>
      <c r="R90">
        <v>51</v>
      </c>
      <c r="S90" s="1" t="s">
        <v>461</v>
      </c>
      <c r="T90" t="b">
        <v>0</v>
      </c>
    </row>
    <row r="91" spans="1:20" x14ac:dyDescent="0.25">
      <c r="A91" s="1" t="s">
        <v>462</v>
      </c>
      <c r="B91" s="1" t="s">
        <v>148</v>
      </c>
      <c r="C91" s="1" t="s">
        <v>463</v>
      </c>
      <c r="D91" s="1" t="s">
        <v>288</v>
      </c>
      <c r="E91" s="1" t="s">
        <v>49</v>
      </c>
      <c r="F91" s="1" t="s">
        <v>50</v>
      </c>
      <c r="G91" s="2">
        <v>45075</v>
      </c>
      <c r="H91" s="2"/>
      <c r="I91">
        <v>25</v>
      </c>
      <c r="J91">
        <v>28</v>
      </c>
      <c r="K91">
        <v>3</v>
      </c>
      <c r="L91" s="1" t="s">
        <v>26</v>
      </c>
      <c r="M91">
        <v>128</v>
      </c>
      <c r="N91">
        <v>264605.69</v>
      </c>
      <c r="O91">
        <v>825075.98</v>
      </c>
      <c r="P91">
        <v>132447.25</v>
      </c>
      <c r="Q91" s="1" t="s">
        <v>464</v>
      </c>
      <c r="R91">
        <v>41</v>
      </c>
      <c r="S91" s="1" t="s">
        <v>465</v>
      </c>
      <c r="T91" t="b">
        <v>0</v>
      </c>
    </row>
    <row r="92" spans="1:20" x14ac:dyDescent="0.25">
      <c r="A92" s="1" t="s">
        <v>466</v>
      </c>
      <c r="B92" s="1" t="s">
        <v>111</v>
      </c>
      <c r="C92" s="1" t="s">
        <v>467</v>
      </c>
      <c r="D92" s="1" t="s">
        <v>420</v>
      </c>
      <c r="E92" s="1" t="s">
        <v>24</v>
      </c>
      <c r="F92" s="1" t="s">
        <v>66</v>
      </c>
      <c r="G92" s="2">
        <v>45301</v>
      </c>
      <c r="H92" s="2"/>
      <c r="I92">
        <v>3</v>
      </c>
      <c r="J92">
        <v>5</v>
      </c>
      <c r="K92">
        <v>2</v>
      </c>
      <c r="L92" s="1" t="s">
        <v>26</v>
      </c>
      <c r="M92">
        <v>75.900000000000006</v>
      </c>
      <c r="N92">
        <v>189433.5</v>
      </c>
      <c r="O92">
        <v>108978.31</v>
      </c>
      <c r="P92">
        <v>33459.050000000003</v>
      </c>
      <c r="Q92" s="1" t="s">
        <v>468</v>
      </c>
      <c r="R92">
        <v>61</v>
      </c>
      <c r="S92" s="1" t="s">
        <v>469</v>
      </c>
      <c r="T92" t="b">
        <v>1</v>
      </c>
    </row>
    <row r="93" spans="1:20" x14ac:dyDescent="0.25">
      <c r="A93" s="1" t="s">
        <v>470</v>
      </c>
      <c r="B93" s="1" t="s">
        <v>471</v>
      </c>
      <c r="C93" s="1" t="s">
        <v>472</v>
      </c>
      <c r="D93" s="1" t="s">
        <v>95</v>
      </c>
      <c r="E93" s="1" t="s">
        <v>24</v>
      </c>
      <c r="F93" s="1" t="s">
        <v>25</v>
      </c>
      <c r="G93" s="2">
        <v>45144</v>
      </c>
      <c r="H93" s="2">
        <v>45149</v>
      </c>
      <c r="I93">
        <v>3</v>
      </c>
      <c r="J93">
        <v>5</v>
      </c>
      <c r="K93">
        <v>2</v>
      </c>
      <c r="L93" s="1" t="s">
        <v>26</v>
      </c>
      <c r="M93">
        <v>49.2</v>
      </c>
      <c r="N93">
        <v>186400.14</v>
      </c>
      <c r="O93">
        <v>4449265.92</v>
      </c>
      <c r="P93">
        <v>640218.4</v>
      </c>
      <c r="Q93" s="1" t="s">
        <v>473</v>
      </c>
      <c r="R93">
        <v>71</v>
      </c>
      <c r="S93" s="1" t="s">
        <v>474</v>
      </c>
      <c r="T93" t="b">
        <v>0</v>
      </c>
    </row>
    <row r="94" spans="1:20" x14ac:dyDescent="0.25">
      <c r="A94" s="1" t="s">
        <v>475</v>
      </c>
      <c r="B94" s="1" t="s">
        <v>117</v>
      </c>
      <c r="C94" s="1" t="s">
        <v>476</v>
      </c>
      <c r="D94" s="1" t="s">
        <v>84</v>
      </c>
      <c r="E94" s="1" t="s">
        <v>41</v>
      </c>
      <c r="F94" s="1" t="s">
        <v>66</v>
      </c>
      <c r="G94" s="2">
        <v>45425</v>
      </c>
      <c r="H94" s="2"/>
      <c r="I94">
        <v>9</v>
      </c>
      <c r="J94">
        <v>12</v>
      </c>
      <c r="K94">
        <v>3</v>
      </c>
      <c r="L94" s="1" t="s">
        <v>26</v>
      </c>
      <c r="M94">
        <v>106.3</v>
      </c>
      <c r="N94">
        <v>451679.04</v>
      </c>
      <c r="O94">
        <v>404768.52</v>
      </c>
      <c r="P94">
        <v>115074.48</v>
      </c>
      <c r="Q94" s="1" t="s">
        <v>477</v>
      </c>
      <c r="R94">
        <v>76</v>
      </c>
      <c r="S94" s="1" t="s">
        <v>478</v>
      </c>
      <c r="T94" t="b">
        <v>0</v>
      </c>
    </row>
    <row r="95" spans="1:20" x14ac:dyDescent="0.25">
      <c r="A95" s="1" t="s">
        <v>479</v>
      </c>
      <c r="B95" s="1" t="s">
        <v>158</v>
      </c>
      <c r="C95" s="1" t="s">
        <v>118</v>
      </c>
      <c r="D95" s="1" t="s">
        <v>154</v>
      </c>
      <c r="E95" s="1" t="s">
        <v>41</v>
      </c>
      <c r="F95" s="1" t="s">
        <v>66</v>
      </c>
      <c r="G95" s="2">
        <v>45305</v>
      </c>
      <c r="H95" s="2"/>
      <c r="I95">
        <v>9</v>
      </c>
      <c r="J95">
        <v>11</v>
      </c>
      <c r="K95">
        <v>2</v>
      </c>
      <c r="L95" s="1" t="s">
        <v>26</v>
      </c>
      <c r="M95">
        <v>171.4</v>
      </c>
      <c r="N95">
        <v>500105.86</v>
      </c>
      <c r="O95">
        <v>927592.13</v>
      </c>
      <c r="P95">
        <v>146067.94</v>
      </c>
      <c r="Q95" s="1" t="s">
        <v>480</v>
      </c>
      <c r="R95">
        <v>45</v>
      </c>
      <c r="S95" s="1" t="s">
        <v>481</v>
      </c>
      <c r="T95" t="b">
        <v>1</v>
      </c>
    </row>
    <row r="96" spans="1:20" x14ac:dyDescent="0.25">
      <c r="A96" s="1" t="s">
        <v>482</v>
      </c>
      <c r="B96" s="1" t="s">
        <v>158</v>
      </c>
      <c r="C96" s="1" t="s">
        <v>248</v>
      </c>
      <c r="D96" s="1" t="s">
        <v>78</v>
      </c>
      <c r="E96" s="1" t="s">
        <v>33</v>
      </c>
      <c r="F96" s="1" t="s">
        <v>25</v>
      </c>
      <c r="G96" s="2">
        <v>44757</v>
      </c>
      <c r="H96" s="2">
        <v>44771</v>
      </c>
      <c r="I96">
        <v>12</v>
      </c>
      <c r="J96">
        <v>14</v>
      </c>
      <c r="K96">
        <v>2</v>
      </c>
      <c r="L96" s="1" t="s">
        <v>26</v>
      </c>
      <c r="M96">
        <v>65</v>
      </c>
      <c r="N96">
        <v>252298.87</v>
      </c>
      <c r="O96">
        <v>2624674.13</v>
      </c>
      <c r="P96">
        <v>574247.76</v>
      </c>
      <c r="Q96" s="1" t="s">
        <v>483</v>
      </c>
      <c r="R96">
        <v>34</v>
      </c>
      <c r="S96" s="1" t="s">
        <v>484</v>
      </c>
      <c r="T96" t="b">
        <v>1</v>
      </c>
    </row>
    <row r="97" spans="1:20" x14ac:dyDescent="0.25">
      <c r="A97" s="1" t="s">
        <v>485</v>
      </c>
      <c r="B97" s="1" t="s">
        <v>451</v>
      </c>
      <c r="C97" s="1" t="s">
        <v>486</v>
      </c>
      <c r="D97" s="1" t="s">
        <v>32</v>
      </c>
      <c r="E97" s="1" t="s">
        <v>65</v>
      </c>
      <c r="F97" s="1" t="s">
        <v>34</v>
      </c>
      <c r="G97" s="2">
        <v>45143</v>
      </c>
      <c r="H97" s="2"/>
      <c r="I97">
        <v>4</v>
      </c>
      <c r="J97">
        <v>3</v>
      </c>
      <c r="K97">
        <v>0</v>
      </c>
      <c r="L97" s="1" t="s">
        <v>26</v>
      </c>
      <c r="M97">
        <v>16.7</v>
      </c>
      <c r="N97">
        <v>67868.77</v>
      </c>
      <c r="O97">
        <v>152570.75</v>
      </c>
      <c r="P97">
        <v>36671.199999999997</v>
      </c>
      <c r="Q97" s="1" t="s">
        <v>487</v>
      </c>
      <c r="R97">
        <v>54</v>
      </c>
      <c r="S97" s="1" t="s">
        <v>488</v>
      </c>
      <c r="T97" t="b">
        <v>0</v>
      </c>
    </row>
    <row r="98" spans="1:20" x14ac:dyDescent="0.25">
      <c r="A98" s="1" t="s">
        <v>489</v>
      </c>
      <c r="B98" s="1" t="s">
        <v>122</v>
      </c>
      <c r="C98" s="1" t="s">
        <v>490</v>
      </c>
      <c r="D98" s="1" t="s">
        <v>181</v>
      </c>
      <c r="E98" s="1" t="s">
        <v>57</v>
      </c>
      <c r="F98" s="1" t="s">
        <v>34</v>
      </c>
      <c r="G98" s="2">
        <v>45473</v>
      </c>
      <c r="H98" s="2"/>
      <c r="I98">
        <v>40</v>
      </c>
      <c r="J98">
        <v>54</v>
      </c>
      <c r="K98">
        <v>14</v>
      </c>
      <c r="L98" s="1" t="s">
        <v>101</v>
      </c>
      <c r="M98">
        <v>330.7</v>
      </c>
      <c r="N98">
        <v>1128836.96</v>
      </c>
      <c r="O98">
        <v>3158927.14</v>
      </c>
      <c r="P98">
        <v>701414.38</v>
      </c>
      <c r="Q98" s="1" t="s">
        <v>491</v>
      </c>
      <c r="R98">
        <v>42</v>
      </c>
      <c r="S98" s="1" t="s">
        <v>492</v>
      </c>
      <c r="T98" t="b">
        <v>0</v>
      </c>
    </row>
    <row r="99" spans="1:20" x14ac:dyDescent="0.25">
      <c r="A99" s="1" t="s">
        <v>493</v>
      </c>
      <c r="B99" s="1" t="s">
        <v>358</v>
      </c>
      <c r="C99" s="1" t="s">
        <v>404</v>
      </c>
      <c r="D99" s="1" t="s">
        <v>350</v>
      </c>
      <c r="E99" s="1" t="s">
        <v>33</v>
      </c>
      <c r="F99" s="1" t="s">
        <v>25</v>
      </c>
      <c r="G99" s="2">
        <v>45027</v>
      </c>
      <c r="H99" s="2">
        <v>45037</v>
      </c>
      <c r="I99">
        <v>12</v>
      </c>
      <c r="J99">
        <v>10</v>
      </c>
      <c r="K99">
        <v>0</v>
      </c>
      <c r="L99" s="1" t="s">
        <v>26</v>
      </c>
      <c r="M99">
        <v>83.9</v>
      </c>
      <c r="N99">
        <v>209874.09</v>
      </c>
      <c r="O99">
        <v>1524828.85</v>
      </c>
      <c r="P99">
        <v>173486.31</v>
      </c>
      <c r="Q99" s="1" t="s">
        <v>494</v>
      </c>
      <c r="R99">
        <v>54</v>
      </c>
      <c r="S99" s="1" t="s">
        <v>495</v>
      </c>
      <c r="T99" t="b">
        <v>1</v>
      </c>
    </row>
    <row r="100" spans="1:20" x14ac:dyDescent="0.25">
      <c r="A100" s="1" t="s">
        <v>496</v>
      </c>
      <c r="B100" s="1" t="s">
        <v>99</v>
      </c>
      <c r="C100" s="1" t="s">
        <v>497</v>
      </c>
      <c r="D100" s="1" t="s">
        <v>23</v>
      </c>
      <c r="E100" s="1" t="s">
        <v>65</v>
      </c>
      <c r="F100" s="1" t="s">
        <v>25</v>
      </c>
      <c r="G100" s="2">
        <v>45569</v>
      </c>
      <c r="H100" s="2">
        <v>45570</v>
      </c>
      <c r="I100">
        <v>4</v>
      </c>
      <c r="J100">
        <v>1</v>
      </c>
      <c r="K100">
        <v>0</v>
      </c>
      <c r="L100" s="1" t="s">
        <v>26</v>
      </c>
      <c r="M100">
        <v>13.2</v>
      </c>
      <c r="N100">
        <v>52199.46</v>
      </c>
      <c r="O100">
        <v>2989048.72</v>
      </c>
      <c r="P100">
        <v>546441.55000000005</v>
      </c>
      <c r="Q100" s="1" t="s">
        <v>498</v>
      </c>
      <c r="R100">
        <v>35</v>
      </c>
      <c r="S100" s="1" t="s">
        <v>499</v>
      </c>
      <c r="T100" t="b">
        <v>1</v>
      </c>
    </row>
    <row r="101" spans="1:20" x14ac:dyDescent="0.25">
      <c r="A101" s="1" t="s">
        <v>500</v>
      </c>
      <c r="B101" s="1" t="s">
        <v>117</v>
      </c>
      <c r="C101" s="1" t="s">
        <v>319</v>
      </c>
      <c r="D101" s="1" t="s">
        <v>315</v>
      </c>
      <c r="E101" s="1" t="s">
        <v>65</v>
      </c>
      <c r="F101" s="1" t="s">
        <v>25</v>
      </c>
      <c r="G101" s="2">
        <v>45360</v>
      </c>
      <c r="H101" s="2">
        <v>45365</v>
      </c>
      <c r="I101">
        <v>4</v>
      </c>
      <c r="J101">
        <v>5</v>
      </c>
      <c r="K101">
        <v>0.5</v>
      </c>
      <c r="L101" s="1" t="s">
        <v>26</v>
      </c>
      <c r="M101">
        <v>24.8</v>
      </c>
      <c r="N101">
        <v>86511.63</v>
      </c>
      <c r="O101">
        <v>2587884.21</v>
      </c>
      <c r="P101">
        <v>481380.3</v>
      </c>
      <c r="Q101" s="1" t="s">
        <v>501</v>
      </c>
      <c r="R101">
        <v>67</v>
      </c>
      <c r="S101" s="1" t="s">
        <v>502</v>
      </c>
      <c r="T101" t="b">
        <v>0</v>
      </c>
    </row>
    <row r="102" spans="1:20" x14ac:dyDescent="0.25">
      <c r="A102" s="1" t="s">
        <v>503</v>
      </c>
      <c r="B102" s="1" t="s">
        <v>111</v>
      </c>
      <c r="C102" s="1" t="s">
        <v>504</v>
      </c>
      <c r="D102" s="1" t="s">
        <v>505</v>
      </c>
      <c r="E102" s="1" t="s">
        <v>57</v>
      </c>
      <c r="F102" s="1" t="s">
        <v>50</v>
      </c>
      <c r="G102" s="2">
        <v>45407</v>
      </c>
      <c r="H102" s="2"/>
      <c r="I102">
        <v>40</v>
      </c>
      <c r="J102">
        <v>24</v>
      </c>
      <c r="K102">
        <v>0</v>
      </c>
      <c r="L102" s="1" t="s">
        <v>26</v>
      </c>
      <c r="M102">
        <v>148.5</v>
      </c>
      <c r="N102">
        <v>383413.24</v>
      </c>
      <c r="O102">
        <v>3188094.62</v>
      </c>
      <c r="P102">
        <v>577773.32999999996</v>
      </c>
      <c r="Q102" s="1" t="s">
        <v>506</v>
      </c>
      <c r="R102">
        <v>29</v>
      </c>
      <c r="S102" s="1" t="s">
        <v>507</v>
      </c>
      <c r="T102" t="b">
        <v>1</v>
      </c>
    </row>
    <row r="103" spans="1:20" x14ac:dyDescent="0.25">
      <c r="A103" s="1" t="s">
        <v>508</v>
      </c>
      <c r="B103" s="1" t="s">
        <v>76</v>
      </c>
      <c r="C103" s="1" t="s">
        <v>112</v>
      </c>
      <c r="D103" s="1" t="s">
        <v>113</v>
      </c>
      <c r="E103" s="1" t="s">
        <v>33</v>
      </c>
      <c r="F103" s="1" t="s">
        <v>25</v>
      </c>
      <c r="G103" s="2">
        <v>45657</v>
      </c>
      <c r="H103" s="2">
        <v>45664</v>
      </c>
      <c r="I103">
        <v>12</v>
      </c>
      <c r="J103">
        <v>7</v>
      </c>
      <c r="K103">
        <v>0</v>
      </c>
      <c r="L103" s="1" t="s">
        <v>26</v>
      </c>
      <c r="M103">
        <v>51.7</v>
      </c>
      <c r="N103">
        <v>110514.22</v>
      </c>
      <c r="O103">
        <v>2197699.0099999998</v>
      </c>
      <c r="P103">
        <v>232715</v>
      </c>
      <c r="Q103" s="1" t="s">
        <v>509</v>
      </c>
      <c r="R103">
        <v>39</v>
      </c>
      <c r="S103" s="1" t="s">
        <v>510</v>
      </c>
      <c r="T103" t="b">
        <v>0</v>
      </c>
    </row>
    <row r="104" spans="1:20" x14ac:dyDescent="0.25">
      <c r="A104" s="1" t="s">
        <v>511</v>
      </c>
      <c r="B104" s="1" t="s">
        <v>451</v>
      </c>
      <c r="C104" s="1" t="s">
        <v>512</v>
      </c>
      <c r="D104" s="1" t="s">
        <v>513</v>
      </c>
      <c r="E104" s="1" t="s">
        <v>65</v>
      </c>
      <c r="F104" s="1" t="s">
        <v>34</v>
      </c>
      <c r="G104" s="2">
        <v>45322</v>
      </c>
      <c r="H104" s="2"/>
      <c r="I104">
        <v>4</v>
      </c>
      <c r="J104">
        <v>1</v>
      </c>
      <c r="K104">
        <v>0</v>
      </c>
      <c r="L104" s="1" t="s">
        <v>26</v>
      </c>
      <c r="M104">
        <v>8</v>
      </c>
      <c r="N104">
        <v>32620.6</v>
      </c>
      <c r="O104">
        <v>4758703.7699999996</v>
      </c>
      <c r="P104">
        <v>505982.23</v>
      </c>
      <c r="Q104" s="1" t="s">
        <v>514</v>
      </c>
      <c r="R104">
        <v>77</v>
      </c>
      <c r="S104" s="1" t="s">
        <v>515</v>
      </c>
      <c r="T104" t="b">
        <v>0</v>
      </c>
    </row>
    <row r="105" spans="1:20" x14ac:dyDescent="0.25">
      <c r="A105" s="1" t="s">
        <v>516</v>
      </c>
      <c r="B105" s="1" t="s">
        <v>148</v>
      </c>
      <c r="C105" s="1" t="s">
        <v>517</v>
      </c>
      <c r="D105" s="1" t="s">
        <v>187</v>
      </c>
      <c r="E105" s="1" t="s">
        <v>33</v>
      </c>
      <c r="F105" s="1" t="s">
        <v>25</v>
      </c>
      <c r="G105" s="2">
        <v>45343</v>
      </c>
      <c r="H105" s="2">
        <v>45361</v>
      </c>
      <c r="I105">
        <v>12</v>
      </c>
      <c r="J105">
        <v>18</v>
      </c>
      <c r="K105">
        <v>6</v>
      </c>
      <c r="L105" s="1" t="s">
        <v>101</v>
      </c>
      <c r="M105">
        <v>226.4</v>
      </c>
      <c r="N105">
        <v>642739.26</v>
      </c>
      <c r="O105">
        <v>4875111.3499999996</v>
      </c>
      <c r="P105">
        <v>688165.47</v>
      </c>
      <c r="Q105" s="1" t="s">
        <v>518</v>
      </c>
      <c r="R105">
        <v>33</v>
      </c>
      <c r="S105" s="1" t="s">
        <v>519</v>
      </c>
      <c r="T105" t="b">
        <v>0</v>
      </c>
    </row>
    <row r="106" spans="1:20" x14ac:dyDescent="0.25">
      <c r="A106" s="1" t="s">
        <v>520</v>
      </c>
      <c r="B106" s="1" t="s">
        <v>328</v>
      </c>
      <c r="C106" s="1" t="s">
        <v>521</v>
      </c>
      <c r="D106" s="1" t="s">
        <v>56</v>
      </c>
      <c r="E106" s="1" t="s">
        <v>41</v>
      </c>
      <c r="F106" s="1" t="s">
        <v>25</v>
      </c>
      <c r="G106" s="2">
        <v>45358</v>
      </c>
      <c r="H106" s="2">
        <v>45366</v>
      </c>
      <c r="I106">
        <v>9</v>
      </c>
      <c r="J106">
        <v>8</v>
      </c>
      <c r="K106">
        <v>0</v>
      </c>
      <c r="L106" s="1" t="s">
        <v>26</v>
      </c>
      <c r="M106">
        <v>47.2</v>
      </c>
      <c r="N106">
        <v>177766.53</v>
      </c>
      <c r="O106">
        <v>3726175.65</v>
      </c>
      <c r="P106">
        <v>604947.05000000005</v>
      </c>
      <c r="Q106" s="1" t="s">
        <v>522</v>
      </c>
      <c r="R106">
        <v>76</v>
      </c>
      <c r="S106" s="1" t="s">
        <v>523</v>
      </c>
      <c r="T106" t="b">
        <v>1</v>
      </c>
    </row>
    <row r="107" spans="1:20" x14ac:dyDescent="0.25">
      <c r="A107" s="1" t="s">
        <v>524</v>
      </c>
      <c r="B107" s="1" t="s">
        <v>220</v>
      </c>
      <c r="C107" s="1" t="s">
        <v>525</v>
      </c>
      <c r="D107" s="1" t="s">
        <v>410</v>
      </c>
      <c r="E107" s="1" t="s">
        <v>33</v>
      </c>
      <c r="F107" s="1" t="s">
        <v>25</v>
      </c>
      <c r="G107" s="2">
        <v>45008</v>
      </c>
      <c r="H107" s="2">
        <v>45024</v>
      </c>
      <c r="I107">
        <v>12</v>
      </c>
      <c r="J107">
        <v>16</v>
      </c>
      <c r="K107">
        <v>4</v>
      </c>
      <c r="L107" s="1" t="s">
        <v>58</v>
      </c>
      <c r="M107">
        <v>147.4</v>
      </c>
      <c r="N107">
        <v>271316.65000000002</v>
      </c>
      <c r="O107">
        <v>3974008.08</v>
      </c>
      <c r="P107">
        <v>672755.28</v>
      </c>
      <c r="Q107" s="1" t="s">
        <v>526</v>
      </c>
      <c r="R107">
        <v>58</v>
      </c>
      <c r="S107" s="1" t="s">
        <v>527</v>
      </c>
      <c r="T107" t="b">
        <v>1</v>
      </c>
    </row>
    <row r="108" spans="1:20" x14ac:dyDescent="0.25">
      <c r="A108" s="1" t="s">
        <v>528</v>
      </c>
      <c r="B108" s="1" t="s">
        <v>358</v>
      </c>
      <c r="C108" s="1" t="s">
        <v>529</v>
      </c>
      <c r="D108" s="1" t="s">
        <v>410</v>
      </c>
      <c r="E108" s="1" t="s">
        <v>33</v>
      </c>
      <c r="F108" s="1" t="s">
        <v>25</v>
      </c>
      <c r="G108" s="2">
        <v>45322</v>
      </c>
      <c r="H108" s="2">
        <v>45330</v>
      </c>
      <c r="I108">
        <v>12</v>
      </c>
      <c r="J108">
        <v>8</v>
      </c>
      <c r="K108">
        <v>0</v>
      </c>
      <c r="L108" s="1" t="s">
        <v>26</v>
      </c>
      <c r="M108">
        <v>80</v>
      </c>
      <c r="N108">
        <v>292164.03999999998</v>
      </c>
      <c r="O108">
        <v>1698726.26</v>
      </c>
      <c r="P108">
        <v>392136.05</v>
      </c>
      <c r="Q108" s="1" t="s">
        <v>530</v>
      </c>
      <c r="R108">
        <v>54</v>
      </c>
      <c r="S108" s="1" t="s">
        <v>531</v>
      </c>
      <c r="T108" t="b">
        <v>1</v>
      </c>
    </row>
    <row r="109" spans="1:20" x14ac:dyDescent="0.25">
      <c r="A109" s="1" t="s">
        <v>532</v>
      </c>
      <c r="B109" s="1" t="s">
        <v>128</v>
      </c>
      <c r="C109" s="1" t="s">
        <v>134</v>
      </c>
      <c r="D109" s="1" t="s">
        <v>124</v>
      </c>
      <c r="E109" s="1" t="s">
        <v>65</v>
      </c>
      <c r="F109" s="1" t="s">
        <v>25</v>
      </c>
      <c r="G109" s="2">
        <v>44819</v>
      </c>
      <c r="H109" s="2">
        <v>44825</v>
      </c>
      <c r="I109">
        <v>4</v>
      </c>
      <c r="J109">
        <v>6</v>
      </c>
      <c r="K109">
        <v>1.5</v>
      </c>
      <c r="L109" s="1" t="s">
        <v>26</v>
      </c>
      <c r="M109">
        <v>94.7</v>
      </c>
      <c r="N109">
        <v>372087.37</v>
      </c>
      <c r="O109">
        <v>3785920.64</v>
      </c>
      <c r="P109">
        <v>750738.9</v>
      </c>
      <c r="Q109" s="1" t="s">
        <v>533</v>
      </c>
      <c r="R109">
        <v>28</v>
      </c>
      <c r="S109" s="1" t="s">
        <v>534</v>
      </c>
      <c r="T109" t="b">
        <v>0</v>
      </c>
    </row>
    <row r="110" spans="1:20" x14ac:dyDescent="0.25">
      <c r="A110" s="1" t="s">
        <v>535</v>
      </c>
      <c r="B110" s="1" t="s">
        <v>117</v>
      </c>
      <c r="C110" s="1" t="s">
        <v>536</v>
      </c>
      <c r="D110" s="1" t="s">
        <v>154</v>
      </c>
      <c r="E110" s="1" t="s">
        <v>65</v>
      </c>
      <c r="F110" s="1" t="s">
        <v>34</v>
      </c>
      <c r="G110" s="2">
        <v>44642</v>
      </c>
      <c r="H110" s="2"/>
      <c r="I110">
        <v>4</v>
      </c>
      <c r="J110">
        <v>8</v>
      </c>
      <c r="K110">
        <v>3.5</v>
      </c>
      <c r="L110" s="1" t="s">
        <v>26</v>
      </c>
      <c r="M110">
        <v>85.7</v>
      </c>
      <c r="N110">
        <v>279843.24</v>
      </c>
      <c r="O110">
        <v>2455559.06</v>
      </c>
      <c r="P110">
        <v>428555.95</v>
      </c>
      <c r="Q110" s="1" t="s">
        <v>537</v>
      </c>
      <c r="R110">
        <v>24</v>
      </c>
      <c r="S110" s="1" t="s">
        <v>538</v>
      </c>
      <c r="T110" t="b">
        <v>1</v>
      </c>
    </row>
    <row r="111" spans="1:20" x14ac:dyDescent="0.25">
      <c r="A111" s="1" t="s">
        <v>539</v>
      </c>
      <c r="B111" s="1" t="s">
        <v>253</v>
      </c>
      <c r="C111" s="1" t="s">
        <v>540</v>
      </c>
      <c r="D111" s="1" t="s">
        <v>541</v>
      </c>
      <c r="E111" s="1" t="s">
        <v>24</v>
      </c>
      <c r="F111" s="1" t="s">
        <v>50</v>
      </c>
      <c r="G111" s="2">
        <v>45482</v>
      </c>
      <c r="H111" s="2"/>
      <c r="I111">
        <v>3</v>
      </c>
      <c r="J111">
        <v>3</v>
      </c>
      <c r="K111">
        <v>0</v>
      </c>
      <c r="L111" s="1" t="s">
        <v>26</v>
      </c>
      <c r="M111">
        <v>31.5</v>
      </c>
      <c r="N111">
        <v>95319.42</v>
      </c>
      <c r="O111">
        <v>3881830.36</v>
      </c>
      <c r="P111">
        <v>598941.94999999995</v>
      </c>
      <c r="Q111" s="1" t="s">
        <v>542</v>
      </c>
      <c r="R111">
        <v>59</v>
      </c>
      <c r="S111" s="1" t="s">
        <v>543</v>
      </c>
      <c r="T111" t="b">
        <v>1</v>
      </c>
    </row>
    <row r="112" spans="1:20" x14ac:dyDescent="0.25">
      <c r="A112" s="1" t="s">
        <v>544</v>
      </c>
      <c r="B112" s="1" t="s">
        <v>545</v>
      </c>
      <c r="C112" s="1" t="s">
        <v>546</v>
      </c>
      <c r="D112" s="1" t="s">
        <v>315</v>
      </c>
      <c r="E112" s="1" t="s">
        <v>41</v>
      </c>
      <c r="F112" s="1" t="s">
        <v>25</v>
      </c>
      <c r="G112" s="2">
        <v>45218</v>
      </c>
      <c r="H112" s="2">
        <v>45231</v>
      </c>
      <c r="I112">
        <v>9</v>
      </c>
      <c r="J112">
        <v>13</v>
      </c>
      <c r="K112">
        <v>4</v>
      </c>
      <c r="L112" s="1" t="s">
        <v>330</v>
      </c>
      <c r="M112">
        <v>202.9</v>
      </c>
      <c r="N112">
        <v>813920.02</v>
      </c>
      <c r="O112">
        <v>957448.57</v>
      </c>
      <c r="P112">
        <v>298161.03999999998</v>
      </c>
      <c r="Q112" s="1" t="s">
        <v>547</v>
      </c>
      <c r="R112">
        <v>40</v>
      </c>
      <c r="S112" s="1" t="s">
        <v>548</v>
      </c>
      <c r="T112" t="b">
        <v>1</v>
      </c>
    </row>
    <row r="113" spans="1:20" x14ac:dyDescent="0.25">
      <c r="A113" s="1" t="s">
        <v>549</v>
      </c>
      <c r="B113" s="1" t="s">
        <v>138</v>
      </c>
      <c r="C113" s="1" t="s">
        <v>550</v>
      </c>
      <c r="D113" s="1" t="s">
        <v>315</v>
      </c>
      <c r="E113" s="1" t="s">
        <v>49</v>
      </c>
      <c r="F113" s="1" t="s">
        <v>34</v>
      </c>
      <c r="G113" s="2">
        <v>44759</v>
      </c>
      <c r="H113" s="2"/>
      <c r="I113">
        <v>25</v>
      </c>
      <c r="J113">
        <v>12</v>
      </c>
      <c r="K113">
        <v>0</v>
      </c>
      <c r="L113" s="1" t="s">
        <v>26</v>
      </c>
      <c r="M113">
        <v>54.3</v>
      </c>
      <c r="N113">
        <v>235230.79</v>
      </c>
      <c r="O113">
        <v>901407.61</v>
      </c>
      <c r="P113">
        <v>117218.53</v>
      </c>
      <c r="Q113" s="1" t="s">
        <v>551</v>
      </c>
      <c r="R113">
        <v>73</v>
      </c>
      <c r="S113" s="1" t="s">
        <v>552</v>
      </c>
      <c r="T113" t="b">
        <v>0</v>
      </c>
    </row>
    <row r="114" spans="1:20" x14ac:dyDescent="0.25">
      <c r="A114" s="1" t="s">
        <v>553</v>
      </c>
      <c r="B114" s="1" t="s">
        <v>30</v>
      </c>
      <c r="C114" s="1" t="s">
        <v>554</v>
      </c>
      <c r="D114" s="1" t="s">
        <v>216</v>
      </c>
      <c r="E114" s="1" t="s">
        <v>49</v>
      </c>
      <c r="F114" s="1" t="s">
        <v>66</v>
      </c>
      <c r="G114" s="2">
        <v>45565</v>
      </c>
      <c r="H114" s="2"/>
      <c r="I114">
        <v>25</v>
      </c>
      <c r="J114">
        <v>32</v>
      </c>
      <c r="K114">
        <v>7</v>
      </c>
      <c r="L114" s="1" t="s">
        <v>101</v>
      </c>
      <c r="M114">
        <v>354.7</v>
      </c>
      <c r="N114">
        <v>685468.81</v>
      </c>
      <c r="O114">
        <v>1111406.69</v>
      </c>
      <c r="P114">
        <v>308675.39</v>
      </c>
      <c r="Q114" s="1" t="s">
        <v>555</v>
      </c>
      <c r="R114">
        <v>71</v>
      </c>
      <c r="S114" s="1" t="s">
        <v>556</v>
      </c>
      <c r="T114" t="b">
        <v>1</v>
      </c>
    </row>
    <row r="115" spans="1:20" x14ac:dyDescent="0.25">
      <c r="A115" s="1" t="s">
        <v>557</v>
      </c>
      <c r="B115" s="1" t="s">
        <v>82</v>
      </c>
      <c r="C115" s="1" t="s">
        <v>558</v>
      </c>
      <c r="D115" s="1" t="s">
        <v>159</v>
      </c>
      <c r="E115" s="1" t="s">
        <v>49</v>
      </c>
      <c r="F115" s="1" t="s">
        <v>34</v>
      </c>
      <c r="G115" s="2">
        <v>45301</v>
      </c>
      <c r="H115" s="2"/>
      <c r="I115">
        <v>25</v>
      </c>
      <c r="J115">
        <v>40</v>
      </c>
      <c r="K115">
        <v>15</v>
      </c>
      <c r="L115" s="1" t="s">
        <v>101</v>
      </c>
      <c r="M115">
        <v>587.4</v>
      </c>
      <c r="N115">
        <v>2361037.61</v>
      </c>
      <c r="O115">
        <v>3973305.39</v>
      </c>
      <c r="P115">
        <v>670363.54</v>
      </c>
      <c r="Q115" s="1" t="s">
        <v>559</v>
      </c>
      <c r="R115">
        <v>80</v>
      </c>
      <c r="S115" s="1" t="s">
        <v>560</v>
      </c>
      <c r="T115" t="b">
        <v>1</v>
      </c>
    </row>
    <row r="116" spans="1:20" x14ac:dyDescent="0.25">
      <c r="A116" s="1" t="s">
        <v>561</v>
      </c>
      <c r="B116" s="1" t="s">
        <v>99</v>
      </c>
      <c r="C116" s="1" t="s">
        <v>562</v>
      </c>
      <c r="D116" s="1" t="s">
        <v>288</v>
      </c>
      <c r="E116" s="1" t="s">
        <v>33</v>
      </c>
      <c r="F116" s="1" t="s">
        <v>25</v>
      </c>
      <c r="G116" s="2">
        <v>45625</v>
      </c>
      <c r="H116" s="2">
        <v>45642</v>
      </c>
      <c r="I116">
        <v>12</v>
      </c>
      <c r="J116">
        <v>17</v>
      </c>
      <c r="K116">
        <v>5</v>
      </c>
      <c r="L116" s="1" t="s">
        <v>26</v>
      </c>
      <c r="M116">
        <v>115.1</v>
      </c>
      <c r="N116">
        <v>326929.34000000003</v>
      </c>
      <c r="O116">
        <v>973666.04</v>
      </c>
      <c r="P116">
        <v>215492.59</v>
      </c>
      <c r="Q116" s="1" t="s">
        <v>563</v>
      </c>
      <c r="R116">
        <v>26</v>
      </c>
      <c r="S116" s="1" t="s">
        <v>564</v>
      </c>
      <c r="T116" t="b">
        <v>0</v>
      </c>
    </row>
    <row r="117" spans="1:20" x14ac:dyDescent="0.25">
      <c r="A117" s="1" t="s">
        <v>565</v>
      </c>
      <c r="B117" s="1" t="s">
        <v>566</v>
      </c>
      <c r="C117" s="1" t="s">
        <v>254</v>
      </c>
      <c r="D117" s="1" t="s">
        <v>297</v>
      </c>
      <c r="E117" s="1" t="s">
        <v>41</v>
      </c>
      <c r="F117" s="1" t="s">
        <v>34</v>
      </c>
      <c r="G117" s="2">
        <v>45501</v>
      </c>
      <c r="H117" s="2"/>
      <c r="I117">
        <v>9</v>
      </c>
      <c r="J117">
        <v>9</v>
      </c>
      <c r="K117">
        <v>0</v>
      </c>
      <c r="L117" s="1" t="s">
        <v>26</v>
      </c>
      <c r="M117">
        <v>131.30000000000001</v>
      </c>
      <c r="N117">
        <v>295475.57</v>
      </c>
      <c r="O117">
        <v>910178.73</v>
      </c>
      <c r="P117">
        <v>168979.34</v>
      </c>
      <c r="Q117" s="1" t="s">
        <v>567</v>
      </c>
      <c r="R117">
        <v>42</v>
      </c>
      <c r="S117" s="1" t="s">
        <v>568</v>
      </c>
      <c r="T117" t="b">
        <v>0</v>
      </c>
    </row>
    <row r="118" spans="1:20" x14ac:dyDescent="0.25">
      <c r="A118" s="1" t="s">
        <v>569</v>
      </c>
      <c r="B118" s="1" t="s">
        <v>242</v>
      </c>
      <c r="C118" s="1" t="s">
        <v>164</v>
      </c>
      <c r="D118" s="1" t="s">
        <v>230</v>
      </c>
      <c r="E118" s="1" t="s">
        <v>24</v>
      </c>
      <c r="F118" s="1" t="s">
        <v>25</v>
      </c>
      <c r="G118" s="2">
        <v>45226</v>
      </c>
      <c r="H118" s="2">
        <v>45230</v>
      </c>
      <c r="I118">
        <v>3</v>
      </c>
      <c r="J118">
        <v>4</v>
      </c>
      <c r="K118">
        <v>1</v>
      </c>
      <c r="L118" s="1" t="s">
        <v>26</v>
      </c>
      <c r="M118">
        <v>55.7</v>
      </c>
      <c r="N118">
        <v>148903.78</v>
      </c>
      <c r="O118">
        <v>1211205.56</v>
      </c>
      <c r="P118">
        <v>210222.07</v>
      </c>
      <c r="Q118" s="1" t="s">
        <v>570</v>
      </c>
      <c r="R118">
        <v>48</v>
      </c>
      <c r="S118" s="1" t="s">
        <v>571</v>
      </c>
      <c r="T118" t="b">
        <v>0</v>
      </c>
    </row>
    <row r="119" spans="1:20" x14ac:dyDescent="0.25">
      <c r="A119" s="1" t="s">
        <v>572</v>
      </c>
      <c r="B119" s="1" t="s">
        <v>545</v>
      </c>
      <c r="C119" s="1" t="s">
        <v>573</v>
      </c>
      <c r="D119" s="1" t="s">
        <v>541</v>
      </c>
      <c r="E119" s="1" t="s">
        <v>41</v>
      </c>
      <c r="F119" s="1" t="s">
        <v>25</v>
      </c>
      <c r="G119" s="2">
        <v>44562</v>
      </c>
      <c r="H119" s="2">
        <v>44569</v>
      </c>
      <c r="I119">
        <v>9</v>
      </c>
      <c r="J119">
        <v>7</v>
      </c>
      <c r="K119">
        <v>0</v>
      </c>
      <c r="L119" s="1" t="s">
        <v>26</v>
      </c>
      <c r="M119">
        <v>78</v>
      </c>
      <c r="N119">
        <v>249408.53</v>
      </c>
      <c r="O119">
        <v>4967125.93</v>
      </c>
      <c r="P119">
        <v>679110.18</v>
      </c>
      <c r="Q119" s="1" t="s">
        <v>574</v>
      </c>
      <c r="R119">
        <v>72</v>
      </c>
      <c r="S119" s="1" t="s">
        <v>575</v>
      </c>
      <c r="T119" t="b">
        <v>0</v>
      </c>
    </row>
    <row r="120" spans="1:20" x14ac:dyDescent="0.25">
      <c r="A120" s="1" t="s">
        <v>576</v>
      </c>
      <c r="B120" s="1" t="s">
        <v>93</v>
      </c>
      <c r="C120" s="1" t="s">
        <v>577</v>
      </c>
      <c r="D120" s="1" t="s">
        <v>165</v>
      </c>
      <c r="E120" s="1" t="s">
        <v>49</v>
      </c>
      <c r="F120" s="1" t="s">
        <v>66</v>
      </c>
      <c r="G120" s="2">
        <v>45609</v>
      </c>
      <c r="H120" s="2"/>
      <c r="I120">
        <v>25</v>
      </c>
      <c r="J120">
        <v>39</v>
      </c>
      <c r="K120">
        <v>14</v>
      </c>
      <c r="L120" s="1" t="s">
        <v>193</v>
      </c>
      <c r="M120">
        <v>423.5</v>
      </c>
      <c r="N120">
        <v>870112.62</v>
      </c>
      <c r="O120">
        <v>2307245.33</v>
      </c>
      <c r="P120">
        <v>367336.61</v>
      </c>
      <c r="Q120" s="1" t="s">
        <v>578</v>
      </c>
      <c r="R120">
        <v>39</v>
      </c>
      <c r="S120" s="1" t="s">
        <v>579</v>
      </c>
      <c r="T120" t="b">
        <v>1</v>
      </c>
    </row>
    <row r="121" spans="1:20" x14ac:dyDescent="0.25">
      <c r="A121" s="1" t="s">
        <v>580</v>
      </c>
      <c r="B121" s="1" t="s">
        <v>148</v>
      </c>
      <c r="C121" s="1" t="s">
        <v>581</v>
      </c>
      <c r="D121" s="1" t="s">
        <v>582</v>
      </c>
      <c r="E121" s="1" t="s">
        <v>49</v>
      </c>
      <c r="F121" s="1" t="s">
        <v>25</v>
      </c>
      <c r="G121" s="2">
        <v>45380</v>
      </c>
      <c r="H121" s="2">
        <v>45413</v>
      </c>
      <c r="I121">
        <v>25</v>
      </c>
      <c r="J121">
        <v>33</v>
      </c>
      <c r="K121">
        <v>8</v>
      </c>
      <c r="L121" s="1" t="s">
        <v>42</v>
      </c>
      <c r="M121">
        <v>162.6</v>
      </c>
      <c r="N121">
        <v>435226.31</v>
      </c>
      <c r="O121">
        <v>2417840.5299999998</v>
      </c>
      <c r="P121">
        <v>424615.2</v>
      </c>
      <c r="Q121" s="1" t="s">
        <v>583</v>
      </c>
      <c r="R121">
        <v>66</v>
      </c>
      <c r="S121" s="1" t="s">
        <v>584</v>
      </c>
      <c r="T121" t="b">
        <v>0</v>
      </c>
    </row>
    <row r="122" spans="1:20" x14ac:dyDescent="0.25">
      <c r="A122" s="1" t="s">
        <v>585</v>
      </c>
      <c r="B122" s="1" t="s">
        <v>566</v>
      </c>
      <c r="C122" s="1" t="s">
        <v>586</v>
      </c>
      <c r="D122" s="1" t="s">
        <v>95</v>
      </c>
      <c r="E122" s="1" t="s">
        <v>33</v>
      </c>
      <c r="F122" s="1" t="s">
        <v>50</v>
      </c>
      <c r="G122" s="2">
        <v>44722</v>
      </c>
      <c r="H122" s="2"/>
      <c r="I122">
        <v>12</v>
      </c>
      <c r="J122">
        <v>11</v>
      </c>
      <c r="K122">
        <v>0</v>
      </c>
      <c r="L122" s="1" t="s">
        <v>26</v>
      </c>
      <c r="M122">
        <v>89.9</v>
      </c>
      <c r="N122">
        <v>360164.8</v>
      </c>
      <c r="O122">
        <v>2088443.35</v>
      </c>
      <c r="P122">
        <v>457358.64</v>
      </c>
      <c r="Q122" s="1" t="s">
        <v>587</v>
      </c>
      <c r="R122">
        <v>69</v>
      </c>
      <c r="S122" s="1" t="s">
        <v>588</v>
      </c>
      <c r="T122" t="b">
        <v>0</v>
      </c>
    </row>
    <row r="123" spans="1:20" x14ac:dyDescent="0.25">
      <c r="A123" s="1" t="s">
        <v>589</v>
      </c>
      <c r="B123" s="1" t="s">
        <v>21</v>
      </c>
      <c r="C123" s="1" t="s">
        <v>590</v>
      </c>
      <c r="D123" s="1" t="s">
        <v>40</v>
      </c>
      <c r="E123" s="1" t="s">
        <v>24</v>
      </c>
      <c r="F123" s="1" t="s">
        <v>66</v>
      </c>
      <c r="G123" s="2">
        <v>44672</v>
      </c>
      <c r="H123" s="2"/>
      <c r="I123">
        <v>3</v>
      </c>
      <c r="J123">
        <v>1</v>
      </c>
      <c r="K123">
        <v>0</v>
      </c>
      <c r="L123" s="1" t="s">
        <v>26</v>
      </c>
      <c r="M123">
        <v>7.8</v>
      </c>
      <c r="N123">
        <v>25937.07</v>
      </c>
      <c r="O123">
        <v>1640889.82</v>
      </c>
      <c r="P123">
        <v>282988.64</v>
      </c>
      <c r="Q123" s="1" t="s">
        <v>591</v>
      </c>
      <c r="R123">
        <v>58</v>
      </c>
      <c r="S123" s="1" t="s">
        <v>592</v>
      </c>
      <c r="T123" t="b">
        <v>1</v>
      </c>
    </row>
    <row r="124" spans="1:20" x14ac:dyDescent="0.25">
      <c r="A124" s="1" t="s">
        <v>593</v>
      </c>
      <c r="B124" s="1" t="s">
        <v>21</v>
      </c>
      <c r="C124" s="1" t="s">
        <v>594</v>
      </c>
      <c r="D124" s="1" t="s">
        <v>595</v>
      </c>
      <c r="E124" s="1" t="s">
        <v>65</v>
      </c>
      <c r="F124" s="1" t="s">
        <v>25</v>
      </c>
      <c r="G124" s="2">
        <v>45016</v>
      </c>
      <c r="H124" s="2">
        <v>45023</v>
      </c>
      <c r="I124">
        <v>4</v>
      </c>
      <c r="J124">
        <v>7</v>
      </c>
      <c r="K124">
        <v>2.5</v>
      </c>
      <c r="L124" s="1" t="s">
        <v>26</v>
      </c>
      <c r="M124">
        <v>40.4</v>
      </c>
      <c r="N124">
        <v>109389.22</v>
      </c>
      <c r="O124">
        <v>2384514.73</v>
      </c>
      <c r="P124">
        <v>435264.81</v>
      </c>
      <c r="Q124" s="1" t="s">
        <v>596</v>
      </c>
      <c r="R124">
        <v>69</v>
      </c>
      <c r="S124" s="1" t="s">
        <v>597</v>
      </c>
      <c r="T124" t="b">
        <v>1</v>
      </c>
    </row>
    <row r="125" spans="1:20" x14ac:dyDescent="0.25">
      <c r="A125" s="1" t="s">
        <v>598</v>
      </c>
      <c r="B125" s="1" t="s">
        <v>82</v>
      </c>
      <c r="C125" s="1" t="s">
        <v>599</v>
      </c>
      <c r="D125" s="1" t="s">
        <v>541</v>
      </c>
      <c r="E125" s="1" t="s">
        <v>65</v>
      </c>
      <c r="F125" s="1" t="s">
        <v>66</v>
      </c>
      <c r="G125" s="2">
        <v>44838</v>
      </c>
      <c r="H125" s="2"/>
      <c r="I125">
        <v>4</v>
      </c>
      <c r="J125">
        <v>4</v>
      </c>
      <c r="K125">
        <v>0</v>
      </c>
      <c r="L125" s="1" t="s">
        <v>26</v>
      </c>
      <c r="M125">
        <v>39.4</v>
      </c>
      <c r="N125">
        <v>140306.19</v>
      </c>
      <c r="O125">
        <v>988535.51</v>
      </c>
      <c r="P125">
        <v>182420.46</v>
      </c>
      <c r="Q125" s="1" t="s">
        <v>600</v>
      </c>
      <c r="R125">
        <v>47</v>
      </c>
      <c r="S125" s="1" t="s">
        <v>601</v>
      </c>
      <c r="T125" t="b">
        <v>0</v>
      </c>
    </row>
    <row r="126" spans="1:20" x14ac:dyDescent="0.25">
      <c r="A126" s="1" t="s">
        <v>602</v>
      </c>
      <c r="B126" s="1" t="s">
        <v>358</v>
      </c>
      <c r="C126" s="1" t="s">
        <v>254</v>
      </c>
      <c r="D126" s="1" t="s">
        <v>320</v>
      </c>
      <c r="E126" s="1" t="s">
        <v>33</v>
      </c>
      <c r="F126" s="1" t="s">
        <v>34</v>
      </c>
      <c r="G126" s="2">
        <v>44745</v>
      </c>
      <c r="H126" s="2"/>
      <c r="I126">
        <v>12</v>
      </c>
      <c r="J126">
        <v>12</v>
      </c>
      <c r="K126">
        <v>0</v>
      </c>
      <c r="L126" s="1" t="s">
        <v>26</v>
      </c>
      <c r="M126">
        <v>109</v>
      </c>
      <c r="N126">
        <v>298707</v>
      </c>
      <c r="O126">
        <v>1610484.43</v>
      </c>
      <c r="P126">
        <v>304301.65999999997</v>
      </c>
      <c r="Q126" s="1" t="s">
        <v>603</v>
      </c>
      <c r="R126">
        <v>29</v>
      </c>
      <c r="S126" s="1" t="s">
        <v>604</v>
      </c>
      <c r="T126" t="b">
        <v>0</v>
      </c>
    </row>
    <row r="127" spans="1:20" x14ac:dyDescent="0.25">
      <c r="A127" s="1" t="s">
        <v>605</v>
      </c>
      <c r="B127" s="1" t="s">
        <v>471</v>
      </c>
      <c r="C127" s="1" t="s">
        <v>606</v>
      </c>
      <c r="D127" s="1" t="s">
        <v>192</v>
      </c>
      <c r="E127" s="1" t="s">
        <v>57</v>
      </c>
      <c r="F127" s="1" t="s">
        <v>25</v>
      </c>
      <c r="G127" s="2">
        <v>44653</v>
      </c>
      <c r="H127" s="2">
        <v>44696</v>
      </c>
      <c r="I127">
        <v>40</v>
      </c>
      <c r="J127">
        <v>43</v>
      </c>
      <c r="K127">
        <v>3</v>
      </c>
      <c r="L127" s="1" t="s">
        <v>26</v>
      </c>
      <c r="M127">
        <v>252.5</v>
      </c>
      <c r="N127">
        <v>951145.84</v>
      </c>
      <c r="O127">
        <v>438214.05</v>
      </c>
      <c r="P127">
        <v>241690.49</v>
      </c>
      <c r="Q127" s="1" t="s">
        <v>607</v>
      </c>
      <c r="R127">
        <v>41</v>
      </c>
      <c r="S127" s="1" t="s">
        <v>608</v>
      </c>
      <c r="T127" t="b">
        <v>1</v>
      </c>
    </row>
    <row r="128" spans="1:20" x14ac:dyDescent="0.25">
      <c r="A128" s="1" t="s">
        <v>609</v>
      </c>
      <c r="B128" s="1" t="s">
        <v>253</v>
      </c>
      <c r="C128" s="1" t="s">
        <v>610</v>
      </c>
      <c r="D128" s="1" t="s">
        <v>410</v>
      </c>
      <c r="E128" s="1" t="s">
        <v>65</v>
      </c>
      <c r="F128" s="1" t="s">
        <v>25</v>
      </c>
      <c r="G128" s="2">
        <v>45186</v>
      </c>
      <c r="H128" s="2">
        <v>45187</v>
      </c>
      <c r="I128">
        <v>4</v>
      </c>
      <c r="J128">
        <v>1</v>
      </c>
      <c r="K128">
        <v>0</v>
      </c>
      <c r="L128" s="1" t="s">
        <v>26</v>
      </c>
      <c r="M128">
        <v>8</v>
      </c>
      <c r="N128">
        <v>30384.28</v>
      </c>
      <c r="O128">
        <v>1067257.81</v>
      </c>
      <c r="P128">
        <v>169742.03</v>
      </c>
      <c r="Q128" s="1" t="s">
        <v>611</v>
      </c>
      <c r="R128">
        <v>64</v>
      </c>
      <c r="S128" s="1" t="s">
        <v>612</v>
      </c>
      <c r="T128" t="b">
        <v>1</v>
      </c>
    </row>
    <row r="129" spans="1:20" x14ac:dyDescent="0.25">
      <c r="A129" s="1" t="s">
        <v>613</v>
      </c>
      <c r="B129" s="1" t="s">
        <v>272</v>
      </c>
      <c r="C129" s="1" t="s">
        <v>614</v>
      </c>
      <c r="D129" s="1" t="s">
        <v>293</v>
      </c>
      <c r="E129" s="1" t="s">
        <v>49</v>
      </c>
      <c r="F129" s="1" t="s">
        <v>34</v>
      </c>
      <c r="G129" s="2">
        <v>45333</v>
      </c>
      <c r="H129" s="2"/>
      <c r="I129">
        <v>25</v>
      </c>
      <c r="J129">
        <v>26</v>
      </c>
      <c r="K129">
        <v>1</v>
      </c>
      <c r="L129" s="1" t="s">
        <v>26</v>
      </c>
      <c r="M129">
        <v>117.6</v>
      </c>
      <c r="N129">
        <v>265759.89</v>
      </c>
      <c r="O129">
        <v>1427227.57</v>
      </c>
      <c r="P129">
        <v>302907.37</v>
      </c>
      <c r="Q129" s="1" t="s">
        <v>615</v>
      </c>
      <c r="R129">
        <v>62</v>
      </c>
      <c r="S129" s="1" t="s">
        <v>616</v>
      </c>
      <c r="T129" t="b">
        <v>0</v>
      </c>
    </row>
    <row r="130" spans="1:20" x14ac:dyDescent="0.25">
      <c r="A130" s="1" t="s">
        <v>617</v>
      </c>
      <c r="B130" s="1" t="s">
        <v>545</v>
      </c>
      <c r="C130" s="1" t="s">
        <v>39</v>
      </c>
      <c r="D130" s="1" t="s">
        <v>32</v>
      </c>
      <c r="E130" s="1" t="s">
        <v>33</v>
      </c>
      <c r="F130" s="1" t="s">
        <v>25</v>
      </c>
      <c r="G130" s="2">
        <v>45299</v>
      </c>
      <c r="H130" s="2">
        <v>45309</v>
      </c>
      <c r="I130">
        <v>12</v>
      </c>
      <c r="J130">
        <v>10</v>
      </c>
      <c r="K130">
        <v>0</v>
      </c>
      <c r="L130" s="1" t="s">
        <v>26</v>
      </c>
      <c r="M130">
        <v>144.1</v>
      </c>
      <c r="N130">
        <v>512046.39</v>
      </c>
      <c r="O130">
        <v>1163531.4099999999</v>
      </c>
      <c r="P130">
        <v>231347.23</v>
      </c>
      <c r="Q130" s="1" t="s">
        <v>618</v>
      </c>
      <c r="R130">
        <v>58</v>
      </c>
      <c r="S130" s="1" t="s">
        <v>619</v>
      </c>
      <c r="T130" t="b">
        <v>1</v>
      </c>
    </row>
    <row r="131" spans="1:20" x14ac:dyDescent="0.25">
      <c r="A131" s="1" t="s">
        <v>620</v>
      </c>
      <c r="B131" s="1" t="s">
        <v>174</v>
      </c>
      <c r="C131" s="1" t="s">
        <v>621</v>
      </c>
      <c r="D131" s="1" t="s">
        <v>622</v>
      </c>
      <c r="E131" s="1" t="s">
        <v>57</v>
      </c>
      <c r="F131" s="1" t="s">
        <v>66</v>
      </c>
      <c r="G131" s="2">
        <v>44943</v>
      </c>
      <c r="H131" s="2"/>
      <c r="I131">
        <v>40</v>
      </c>
      <c r="J131">
        <v>49</v>
      </c>
      <c r="K131">
        <v>9</v>
      </c>
      <c r="L131" s="1" t="s">
        <v>101</v>
      </c>
      <c r="M131">
        <v>525.70000000000005</v>
      </c>
      <c r="N131">
        <v>1957531.64</v>
      </c>
      <c r="O131">
        <v>208364.49</v>
      </c>
      <c r="P131">
        <v>416343.74</v>
      </c>
      <c r="Q131" s="1" t="s">
        <v>623</v>
      </c>
      <c r="R131">
        <v>63</v>
      </c>
      <c r="S131" s="1" t="s">
        <v>624</v>
      </c>
      <c r="T131" t="b">
        <v>0</v>
      </c>
    </row>
    <row r="132" spans="1:20" x14ac:dyDescent="0.25">
      <c r="A132" s="1" t="s">
        <v>625</v>
      </c>
      <c r="B132" s="1" t="s">
        <v>54</v>
      </c>
      <c r="C132" s="1" t="s">
        <v>305</v>
      </c>
      <c r="D132" s="1" t="s">
        <v>84</v>
      </c>
      <c r="E132" s="1" t="s">
        <v>41</v>
      </c>
      <c r="F132" s="1" t="s">
        <v>25</v>
      </c>
      <c r="G132" s="2">
        <v>45289</v>
      </c>
      <c r="H132" s="2">
        <v>45295</v>
      </c>
      <c r="I132">
        <v>9</v>
      </c>
      <c r="J132">
        <v>6</v>
      </c>
      <c r="K132">
        <v>0</v>
      </c>
      <c r="L132" s="1" t="s">
        <v>26</v>
      </c>
      <c r="M132">
        <v>95.7</v>
      </c>
      <c r="N132">
        <v>425117.31</v>
      </c>
      <c r="O132">
        <v>1386632.61</v>
      </c>
      <c r="P132">
        <v>192409.60000000001</v>
      </c>
      <c r="Q132" s="1" t="s">
        <v>626</v>
      </c>
      <c r="R132">
        <v>34</v>
      </c>
      <c r="S132" s="1" t="s">
        <v>627</v>
      </c>
      <c r="T132" t="b">
        <v>1</v>
      </c>
    </row>
    <row r="133" spans="1:20" x14ac:dyDescent="0.25">
      <c r="A133" s="1" t="s">
        <v>628</v>
      </c>
      <c r="B133" s="1" t="s">
        <v>629</v>
      </c>
      <c r="C133" s="1" t="s">
        <v>630</v>
      </c>
      <c r="D133" s="1" t="s">
        <v>306</v>
      </c>
      <c r="E133" s="1" t="s">
        <v>65</v>
      </c>
      <c r="F133" s="1" t="s">
        <v>34</v>
      </c>
      <c r="G133" s="2">
        <v>45261</v>
      </c>
      <c r="H133" s="2"/>
      <c r="I133">
        <v>4</v>
      </c>
      <c r="J133">
        <v>3</v>
      </c>
      <c r="K133">
        <v>0</v>
      </c>
      <c r="L133" s="1" t="s">
        <v>26</v>
      </c>
      <c r="M133">
        <v>15.2</v>
      </c>
      <c r="N133">
        <v>43045.78</v>
      </c>
      <c r="O133">
        <v>4803422.41</v>
      </c>
      <c r="P133">
        <v>781467.98</v>
      </c>
      <c r="Q133" s="1" t="s">
        <v>631</v>
      </c>
      <c r="R133">
        <v>47</v>
      </c>
      <c r="S133" s="1" t="s">
        <v>632</v>
      </c>
      <c r="T133" t="b">
        <v>0</v>
      </c>
    </row>
    <row r="134" spans="1:20" x14ac:dyDescent="0.25">
      <c r="A134" s="1" t="s">
        <v>633</v>
      </c>
      <c r="B134" s="1" t="s">
        <v>403</v>
      </c>
      <c r="C134" s="1" t="s">
        <v>634</v>
      </c>
      <c r="D134" s="1" t="s">
        <v>595</v>
      </c>
      <c r="E134" s="1" t="s">
        <v>65</v>
      </c>
      <c r="F134" s="1" t="s">
        <v>66</v>
      </c>
      <c r="G134" s="2">
        <v>45236</v>
      </c>
      <c r="H134" s="2"/>
      <c r="I134">
        <v>4</v>
      </c>
      <c r="J134">
        <v>3</v>
      </c>
      <c r="K134">
        <v>0</v>
      </c>
      <c r="L134" s="1" t="s">
        <v>26</v>
      </c>
      <c r="M134">
        <v>19.399999999999999</v>
      </c>
      <c r="N134">
        <v>42178.64</v>
      </c>
      <c r="O134">
        <v>2711355.6</v>
      </c>
      <c r="P134">
        <v>495665.09</v>
      </c>
      <c r="Q134" s="1" t="s">
        <v>635</v>
      </c>
      <c r="R134">
        <v>78</v>
      </c>
      <c r="S134" s="1" t="s">
        <v>636</v>
      </c>
      <c r="T134" t="b">
        <v>1</v>
      </c>
    </row>
    <row r="135" spans="1:20" x14ac:dyDescent="0.25">
      <c r="A135" s="1" t="s">
        <v>637</v>
      </c>
      <c r="B135" s="1" t="s">
        <v>545</v>
      </c>
      <c r="C135" s="1" t="s">
        <v>638</v>
      </c>
      <c r="D135" s="1" t="s">
        <v>113</v>
      </c>
      <c r="E135" s="1" t="s">
        <v>24</v>
      </c>
      <c r="F135" s="1" t="s">
        <v>25</v>
      </c>
      <c r="G135" s="2">
        <v>44885</v>
      </c>
      <c r="H135" s="2">
        <v>44890</v>
      </c>
      <c r="I135">
        <v>3</v>
      </c>
      <c r="J135">
        <v>5</v>
      </c>
      <c r="K135">
        <v>2</v>
      </c>
      <c r="L135" s="1" t="s">
        <v>26</v>
      </c>
      <c r="M135">
        <v>52</v>
      </c>
      <c r="N135">
        <v>194609.45</v>
      </c>
      <c r="O135">
        <v>928834.73</v>
      </c>
      <c r="P135">
        <v>206660.09</v>
      </c>
      <c r="Q135" s="1" t="s">
        <v>639</v>
      </c>
      <c r="R135">
        <v>39</v>
      </c>
      <c r="S135" s="1" t="s">
        <v>640</v>
      </c>
      <c r="T135" t="b">
        <v>0</v>
      </c>
    </row>
    <row r="136" spans="1:20" x14ac:dyDescent="0.25">
      <c r="A136" s="1" t="s">
        <v>641</v>
      </c>
      <c r="B136" s="1" t="s">
        <v>93</v>
      </c>
      <c r="C136" s="1" t="s">
        <v>642</v>
      </c>
      <c r="D136" s="1" t="s">
        <v>268</v>
      </c>
      <c r="E136" s="1" t="s">
        <v>57</v>
      </c>
      <c r="F136" s="1" t="s">
        <v>50</v>
      </c>
      <c r="G136" s="2">
        <v>45122</v>
      </c>
      <c r="H136" s="2"/>
      <c r="I136">
        <v>40</v>
      </c>
      <c r="J136">
        <v>32</v>
      </c>
      <c r="K136">
        <v>0</v>
      </c>
      <c r="L136" s="1" t="s">
        <v>26</v>
      </c>
      <c r="M136">
        <v>169</v>
      </c>
      <c r="N136">
        <v>388499.83</v>
      </c>
      <c r="O136">
        <v>3814612.94</v>
      </c>
      <c r="P136">
        <v>677534.04</v>
      </c>
      <c r="Q136" s="1" t="s">
        <v>643</v>
      </c>
      <c r="R136">
        <v>63</v>
      </c>
      <c r="S136" s="1" t="s">
        <v>644</v>
      </c>
      <c r="T136" t="b">
        <v>1</v>
      </c>
    </row>
    <row r="137" spans="1:20" x14ac:dyDescent="0.25">
      <c r="A137" s="1" t="s">
        <v>645</v>
      </c>
      <c r="B137" s="1" t="s">
        <v>451</v>
      </c>
      <c r="C137" s="1" t="s">
        <v>646</v>
      </c>
      <c r="D137" s="1" t="s">
        <v>154</v>
      </c>
      <c r="E137" s="1" t="s">
        <v>33</v>
      </c>
      <c r="F137" s="1" t="s">
        <v>34</v>
      </c>
      <c r="G137" s="2">
        <v>45297</v>
      </c>
      <c r="H137" s="2"/>
      <c r="I137">
        <v>12</v>
      </c>
      <c r="J137">
        <v>18</v>
      </c>
      <c r="K137">
        <v>6</v>
      </c>
      <c r="L137" s="1" t="s">
        <v>26</v>
      </c>
      <c r="M137">
        <v>174.9</v>
      </c>
      <c r="N137">
        <v>552032.74</v>
      </c>
      <c r="O137">
        <v>3027511.68</v>
      </c>
      <c r="P137">
        <v>612824.85</v>
      </c>
      <c r="Q137" s="1" t="s">
        <v>647</v>
      </c>
      <c r="R137">
        <v>32</v>
      </c>
      <c r="S137" s="1" t="s">
        <v>648</v>
      </c>
      <c r="T137" t="b">
        <v>1</v>
      </c>
    </row>
    <row r="138" spans="1:20" x14ac:dyDescent="0.25">
      <c r="A138" s="1" t="s">
        <v>649</v>
      </c>
      <c r="B138" s="1" t="s">
        <v>46</v>
      </c>
      <c r="C138" s="1" t="s">
        <v>650</v>
      </c>
      <c r="D138" s="1" t="s">
        <v>32</v>
      </c>
      <c r="E138" s="1" t="s">
        <v>65</v>
      </c>
      <c r="F138" s="1" t="s">
        <v>50</v>
      </c>
      <c r="G138" s="2">
        <v>44628</v>
      </c>
      <c r="H138" s="2"/>
      <c r="I138">
        <v>4</v>
      </c>
      <c r="J138">
        <v>1</v>
      </c>
      <c r="K138">
        <v>0</v>
      </c>
      <c r="L138" s="1" t="s">
        <v>26</v>
      </c>
      <c r="M138">
        <v>15.1</v>
      </c>
      <c r="N138">
        <v>65919.570000000007</v>
      </c>
      <c r="O138">
        <v>1120545.52</v>
      </c>
      <c r="P138">
        <v>198298.55</v>
      </c>
      <c r="Q138" s="1" t="s">
        <v>651</v>
      </c>
      <c r="R138">
        <v>59</v>
      </c>
      <c r="S138" s="1" t="s">
        <v>652</v>
      </c>
      <c r="T138" t="b">
        <v>0</v>
      </c>
    </row>
    <row r="139" spans="1:20" x14ac:dyDescent="0.25">
      <c r="A139" s="1" t="s">
        <v>653</v>
      </c>
      <c r="B139" s="1" t="s">
        <v>185</v>
      </c>
      <c r="C139" s="1" t="s">
        <v>654</v>
      </c>
      <c r="D139" s="1" t="s">
        <v>655</v>
      </c>
      <c r="E139" s="1" t="s">
        <v>65</v>
      </c>
      <c r="F139" s="1" t="s">
        <v>25</v>
      </c>
      <c r="G139" s="2">
        <v>45227</v>
      </c>
      <c r="H139" s="2">
        <v>45234</v>
      </c>
      <c r="I139">
        <v>4</v>
      </c>
      <c r="J139">
        <v>7</v>
      </c>
      <c r="K139">
        <v>2.5</v>
      </c>
      <c r="L139" s="1" t="s">
        <v>26</v>
      </c>
      <c r="M139">
        <v>62</v>
      </c>
      <c r="N139">
        <v>118601.72</v>
      </c>
      <c r="O139">
        <v>3679305.58</v>
      </c>
      <c r="P139">
        <v>524253.31</v>
      </c>
      <c r="Q139" s="1" t="s">
        <v>656</v>
      </c>
      <c r="R139">
        <v>61</v>
      </c>
      <c r="S139" s="1" t="s">
        <v>657</v>
      </c>
      <c r="T139" t="b">
        <v>1</v>
      </c>
    </row>
    <row r="140" spans="1:20" x14ac:dyDescent="0.25">
      <c r="A140" s="1" t="s">
        <v>658</v>
      </c>
      <c r="B140" s="1" t="s">
        <v>99</v>
      </c>
      <c r="C140" s="1" t="s">
        <v>349</v>
      </c>
      <c r="D140" s="1" t="s">
        <v>655</v>
      </c>
      <c r="E140" s="1" t="s">
        <v>33</v>
      </c>
      <c r="F140" s="1" t="s">
        <v>25</v>
      </c>
      <c r="G140" s="2">
        <v>45628</v>
      </c>
      <c r="H140" s="2">
        <v>45641</v>
      </c>
      <c r="I140">
        <v>12</v>
      </c>
      <c r="J140">
        <v>13</v>
      </c>
      <c r="K140">
        <v>1</v>
      </c>
      <c r="L140" s="1" t="s">
        <v>26</v>
      </c>
      <c r="M140">
        <v>181</v>
      </c>
      <c r="N140">
        <v>346528.66</v>
      </c>
      <c r="O140">
        <v>4979223.49</v>
      </c>
      <c r="P140">
        <v>808823.39</v>
      </c>
      <c r="Q140" s="1" t="s">
        <v>659</v>
      </c>
      <c r="R140">
        <v>68</v>
      </c>
      <c r="S140" s="1" t="s">
        <v>660</v>
      </c>
      <c r="T140" t="b">
        <v>1</v>
      </c>
    </row>
    <row r="141" spans="1:20" x14ac:dyDescent="0.25">
      <c r="A141" s="1" t="s">
        <v>661</v>
      </c>
      <c r="B141" s="1" t="s">
        <v>403</v>
      </c>
      <c r="C141" s="1" t="s">
        <v>610</v>
      </c>
      <c r="D141" s="1" t="s">
        <v>216</v>
      </c>
      <c r="E141" s="1" t="s">
        <v>24</v>
      </c>
      <c r="F141" s="1" t="s">
        <v>25</v>
      </c>
      <c r="G141" s="2">
        <v>44950</v>
      </c>
      <c r="H141" s="2">
        <v>44954</v>
      </c>
      <c r="I141">
        <v>3</v>
      </c>
      <c r="J141">
        <v>4</v>
      </c>
      <c r="K141">
        <v>1</v>
      </c>
      <c r="L141" s="1" t="s">
        <v>26</v>
      </c>
      <c r="M141">
        <v>58.5</v>
      </c>
      <c r="N141">
        <v>227502.28</v>
      </c>
      <c r="O141">
        <v>1436713.8</v>
      </c>
      <c r="P141">
        <v>194128.58</v>
      </c>
      <c r="Q141" s="1" t="s">
        <v>662</v>
      </c>
      <c r="R141">
        <v>73</v>
      </c>
      <c r="S141" s="1" t="s">
        <v>663</v>
      </c>
      <c r="T141" t="b">
        <v>0</v>
      </c>
    </row>
    <row r="142" spans="1:20" x14ac:dyDescent="0.25">
      <c r="A142" s="1" t="s">
        <v>664</v>
      </c>
      <c r="B142" s="1" t="s">
        <v>54</v>
      </c>
      <c r="C142" s="1" t="s">
        <v>665</v>
      </c>
      <c r="D142" s="1" t="s">
        <v>216</v>
      </c>
      <c r="E142" s="1" t="s">
        <v>41</v>
      </c>
      <c r="F142" s="1" t="s">
        <v>66</v>
      </c>
      <c r="G142" s="2">
        <v>44747</v>
      </c>
      <c r="H142" s="2"/>
      <c r="I142">
        <v>9</v>
      </c>
      <c r="J142">
        <v>4</v>
      </c>
      <c r="K142">
        <v>0</v>
      </c>
      <c r="L142" s="1" t="s">
        <v>26</v>
      </c>
      <c r="M142">
        <v>24.6</v>
      </c>
      <c r="N142">
        <v>83165.440000000002</v>
      </c>
      <c r="O142">
        <v>4472696.8099999996</v>
      </c>
      <c r="P142">
        <v>704521.78</v>
      </c>
      <c r="Q142" s="1" t="s">
        <v>666</v>
      </c>
      <c r="R142">
        <v>57</v>
      </c>
      <c r="S142" s="1" t="s">
        <v>667</v>
      </c>
      <c r="T142" t="b">
        <v>1</v>
      </c>
    </row>
    <row r="143" spans="1:20" x14ac:dyDescent="0.25">
      <c r="A143" s="1" t="s">
        <v>668</v>
      </c>
      <c r="B143" s="1" t="s">
        <v>169</v>
      </c>
      <c r="C143" s="1" t="s">
        <v>669</v>
      </c>
      <c r="D143" s="1" t="s">
        <v>670</v>
      </c>
      <c r="E143" s="1" t="s">
        <v>33</v>
      </c>
      <c r="F143" s="1" t="s">
        <v>25</v>
      </c>
      <c r="G143" s="2">
        <v>45493</v>
      </c>
      <c r="H143" s="2">
        <v>45504</v>
      </c>
      <c r="I143">
        <v>12</v>
      </c>
      <c r="J143">
        <v>11</v>
      </c>
      <c r="K143">
        <v>0</v>
      </c>
      <c r="L143" s="1" t="s">
        <v>26</v>
      </c>
      <c r="M143">
        <v>135.30000000000001</v>
      </c>
      <c r="N143">
        <v>574935.52</v>
      </c>
      <c r="O143">
        <v>3984466.25</v>
      </c>
      <c r="P143">
        <v>783476.07</v>
      </c>
      <c r="Q143" s="1" t="s">
        <v>671</v>
      </c>
      <c r="R143">
        <v>53</v>
      </c>
      <c r="S143" s="1" t="s">
        <v>672</v>
      </c>
      <c r="T143" t="b">
        <v>0</v>
      </c>
    </row>
    <row r="144" spans="1:20" x14ac:dyDescent="0.25">
      <c r="A144" s="1" t="s">
        <v>673</v>
      </c>
      <c r="B144" s="1" t="s">
        <v>174</v>
      </c>
      <c r="C144" s="1" t="s">
        <v>243</v>
      </c>
      <c r="D144" s="1" t="s">
        <v>344</v>
      </c>
      <c r="E144" s="1" t="s">
        <v>49</v>
      </c>
      <c r="F144" s="1" t="s">
        <v>25</v>
      </c>
      <c r="G144" s="2">
        <v>45609</v>
      </c>
      <c r="H144" s="2">
        <v>45631</v>
      </c>
      <c r="I144">
        <v>25</v>
      </c>
      <c r="J144">
        <v>22</v>
      </c>
      <c r="K144">
        <v>0</v>
      </c>
      <c r="L144" s="1" t="s">
        <v>26</v>
      </c>
      <c r="M144">
        <v>233.3</v>
      </c>
      <c r="N144">
        <v>447596.88</v>
      </c>
      <c r="O144">
        <v>862716.06</v>
      </c>
      <c r="P144">
        <v>174952.08</v>
      </c>
      <c r="Q144" s="1" t="s">
        <v>674</v>
      </c>
      <c r="R144">
        <v>69</v>
      </c>
      <c r="S144" s="1" t="s">
        <v>675</v>
      </c>
      <c r="T144" t="b">
        <v>1</v>
      </c>
    </row>
    <row r="145" spans="1:20" x14ac:dyDescent="0.25">
      <c r="A145" s="1" t="s">
        <v>676</v>
      </c>
      <c r="B145" s="1" t="s">
        <v>272</v>
      </c>
      <c r="C145" s="1" t="s">
        <v>677</v>
      </c>
      <c r="D145" s="1" t="s">
        <v>263</v>
      </c>
      <c r="E145" s="1" t="s">
        <v>24</v>
      </c>
      <c r="F145" s="1" t="s">
        <v>25</v>
      </c>
      <c r="G145" s="2">
        <v>45421</v>
      </c>
      <c r="H145" s="2">
        <v>45425</v>
      </c>
      <c r="I145">
        <v>3</v>
      </c>
      <c r="J145">
        <v>4</v>
      </c>
      <c r="K145">
        <v>1</v>
      </c>
      <c r="L145" s="1" t="s">
        <v>26</v>
      </c>
      <c r="M145">
        <v>29.9</v>
      </c>
      <c r="N145">
        <v>68407.59</v>
      </c>
      <c r="O145">
        <v>4493724.1500000004</v>
      </c>
      <c r="P145">
        <v>894375.76</v>
      </c>
      <c r="Q145" s="1" t="s">
        <v>678</v>
      </c>
      <c r="R145">
        <v>74</v>
      </c>
      <c r="S145" s="1" t="s">
        <v>679</v>
      </c>
      <c r="T145" t="b">
        <v>0</v>
      </c>
    </row>
    <row r="146" spans="1:20" x14ac:dyDescent="0.25">
      <c r="A146" s="1" t="s">
        <v>680</v>
      </c>
      <c r="B146" s="1" t="s">
        <v>99</v>
      </c>
      <c r="C146" s="1" t="s">
        <v>681</v>
      </c>
      <c r="D146" s="1" t="s">
        <v>320</v>
      </c>
      <c r="E146" s="1" t="s">
        <v>49</v>
      </c>
      <c r="F146" s="1" t="s">
        <v>25</v>
      </c>
      <c r="G146" s="2">
        <v>44573</v>
      </c>
      <c r="H146" s="2">
        <v>44590</v>
      </c>
      <c r="I146">
        <v>25</v>
      </c>
      <c r="J146">
        <v>17</v>
      </c>
      <c r="K146">
        <v>0</v>
      </c>
      <c r="L146" s="1" t="s">
        <v>26</v>
      </c>
      <c r="M146">
        <v>112.2</v>
      </c>
      <c r="N146">
        <v>401740.03</v>
      </c>
      <c r="O146">
        <v>2274155.0299999998</v>
      </c>
      <c r="P146">
        <v>385830.72</v>
      </c>
      <c r="Q146" s="1" t="s">
        <v>682</v>
      </c>
      <c r="R146">
        <v>60</v>
      </c>
      <c r="S146" s="1" t="s">
        <v>683</v>
      </c>
      <c r="T146" t="b">
        <v>1</v>
      </c>
    </row>
    <row r="147" spans="1:20" x14ac:dyDescent="0.25">
      <c r="A147" s="1" t="s">
        <v>684</v>
      </c>
      <c r="B147" s="1" t="s">
        <v>158</v>
      </c>
      <c r="C147" s="1" t="s">
        <v>685</v>
      </c>
      <c r="D147" s="1" t="s">
        <v>686</v>
      </c>
      <c r="E147" s="1" t="s">
        <v>57</v>
      </c>
      <c r="F147" s="1" t="s">
        <v>25</v>
      </c>
      <c r="G147" s="2">
        <v>44662</v>
      </c>
      <c r="H147" s="2">
        <v>44685</v>
      </c>
      <c r="I147">
        <v>40</v>
      </c>
      <c r="J147">
        <v>23</v>
      </c>
      <c r="K147">
        <v>0</v>
      </c>
      <c r="L147" s="1" t="s">
        <v>26</v>
      </c>
      <c r="M147">
        <v>272.3</v>
      </c>
      <c r="N147">
        <v>517137.68</v>
      </c>
      <c r="O147">
        <v>4270608.1399999997</v>
      </c>
      <c r="P147">
        <v>798115.57</v>
      </c>
      <c r="Q147" s="1" t="s">
        <v>687</v>
      </c>
      <c r="R147">
        <v>46</v>
      </c>
      <c r="S147" s="1" t="s">
        <v>688</v>
      </c>
      <c r="T147" t="b">
        <v>1</v>
      </c>
    </row>
    <row r="148" spans="1:20" x14ac:dyDescent="0.25">
      <c r="A148" s="1" t="s">
        <v>689</v>
      </c>
      <c r="B148" s="1" t="s">
        <v>348</v>
      </c>
      <c r="C148" s="1" t="s">
        <v>201</v>
      </c>
      <c r="D148" s="1" t="s">
        <v>670</v>
      </c>
      <c r="E148" s="1" t="s">
        <v>41</v>
      </c>
      <c r="F148" s="1" t="s">
        <v>25</v>
      </c>
      <c r="G148" s="2">
        <v>44892</v>
      </c>
      <c r="H148" s="2">
        <v>44904</v>
      </c>
      <c r="I148">
        <v>9</v>
      </c>
      <c r="J148">
        <v>12</v>
      </c>
      <c r="K148">
        <v>3</v>
      </c>
      <c r="L148" s="1" t="s">
        <v>26</v>
      </c>
      <c r="M148">
        <v>143.19999999999999</v>
      </c>
      <c r="N148">
        <v>528348.77</v>
      </c>
      <c r="O148">
        <v>2865690.12</v>
      </c>
      <c r="P148">
        <v>530209.02</v>
      </c>
      <c r="Q148" s="1" t="s">
        <v>690</v>
      </c>
      <c r="R148">
        <v>69</v>
      </c>
      <c r="S148" s="1" t="s">
        <v>691</v>
      </c>
      <c r="T148" t="b">
        <v>0</v>
      </c>
    </row>
    <row r="149" spans="1:20" x14ac:dyDescent="0.25">
      <c r="A149" s="1" t="s">
        <v>692</v>
      </c>
      <c r="B149" s="1" t="s">
        <v>228</v>
      </c>
      <c r="C149" s="1" t="s">
        <v>693</v>
      </c>
      <c r="D149" s="1" t="s">
        <v>113</v>
      </c>
      <c r="E149" s="1" t="s">
        <v>24</v>
      </c>
      <c r="F149" s="1" t="s">
        <v>25</v>
      </c>
      <c r="G149" s="2">
        <v>45223</v>
      </c>
      <c r="H149" s="2">
        <v>45224</v>
      </c>
      <c r="I149">
        <v>3</v>
      </c>
      <c r="J149">
        <v>1</v>
      </c>
      <c r="K149">
        <v>0</v>
      </c>
      <c r="L149" s="1" t="s">
        <v>26</v>
      </c>
      <c r="M149">
        <v>13.1</v>
      </c>
      <c r="N149">
        <v>53407.86</v>
      </c>
      <c r="O149">
        <v>333980.07</v>
      </c>
      <c r="P149">
        <v>56977.67</v>
      </c>
      <c r="Q149" s="1" t="s">
        <v>694</v>
      </c>
      <c r="R149">
        <v>53</v>
      </c>
      <c r="S149" s="1" t="s">
        <v>695</v>
      </c>
      <c r="T149" t="b">
        <v>1</v>
      </c>
    </row>
    <row r="150" spans="1:20" x14ac:dyDescent="0.25">
      <c r="A150" s="1" t="s">
        <v>696</v>
      </c>
      <c r="B150" s="1" t="s">
        <v>163</v>
      </c>
      <c r="C150" s="1" t="s">
        <v>697</v>
      </c>
      <c r="D150" s="1" t="s">
        <v>72</v>
      </c>
      <c r="E150" s="1" t="s">
        <v>49</v>
      </c>
      <c r="F150" s="1" t="s">
        <v>25</v>
      </c>
      <c r="G150" s="2">
        <v>44990</v>
      </c>
      <c r="H150" s="2">
        <v>45003</v>
      </c>
      <c r="I150">
        <v>25</v>
      </c>
      <c r="J150">
        <v>13</v>
      </c>
      <c r="K150">
        <v>0</v>
      </c>
      <c r="L150" s="1" t="s">
        <v>26</v>
      </c>
      <c r="M150">
        <v>141.1</v>
      </c>
      <c r="N150">
        <v>627082.94999999995</v>
      </c>
      <c r="O150">
        <v>2649443.65</v>
      </c>
      <c r="P150">
        <v>356377.88</v>
      </c>
      <c r="Q150" s="1" t="s">
        <v>698</v>
      </c>
      <c r="R150">
        <v>74</v>
      </c>
      <c r="S150" s="1" t="s">
        <v>699</v>
      </c>
      <c r="T150" t="b">
        <v>0</v>
      </c>
    </row>
    <row r="151" spans="1:20" x14ac:dyDescent="0.25">
      <c r="A151" s="1" t="s">
        <v>700</v>
      </c>
      <c r="B151" s="1" t="s">
        <v>253</v>
      </c>
      <c r="C151" s="1" t="s">
        <v>701</v>
      </c>
      <c r="D151" s="1" t="s">
        <v>405</v>
      </c>
      <c r="E151" s="1" t="s">
        <v>49</v>
      </c>
      <c r="F151" s="1" t="s">
        <v>66</v>
      </c>
      <c r="G151" s="2">
        <v>45093</v>
      </c>
      <c r="H151" s="2"/>
      <c r="I151">
        <v>25</v>
      </c>
      <c r="J151">
        <v>29</v>
      </c>
      <c r="K151">
        <v>4</v>
      </c>
      <c r="L151" s="1" t="s">
        <v>193</v>
      </c>
      <c r="M151">
        <v>239.1</v>
      </c>
      <c r="N151">
        <v>514118.91</v>
      </c>
      <c r="O151">
        <v>2817545.34</v>
      </c>
      <c r="P151">
        <v>506314.95</v>
      </c>
      <c r="Q151" s="1" t="s">
        <v>702</v>
      </c>
      <c r="R151">
        <v>38</v>
      </c>
      <c r="S151" s="1" t="s">
        <v>703</v>
      </c>
      <c r="T151" t="b">
        <v>1</v>
      </c>
    </row>
    <row r="152" spans="1:20" x14ac:dyDescent="0.25">
      <c r="A152" s="1" t="s">
        <v>704</v>
      </c>
      <c r="B152" s="1" t="s">
        <v>228</v>
      </c>
      <c r="C152" s="1" t="s">
        <v>705</v>
      </c>
      <c r="D152" s="1" t="s">
        <v>202</v>
      </c>
      <c r="E152" s="1" t="s">
        <v>33</v>
      </c>
      <c r="F152" s="1" t="s">
        <v>25</v>
      </c>
      <c r="G152" s="2">
        <v>44565</v>
      </c>
      <c r="H152" s="2">
        <v>44578</v>
      </c>
      <c r="I152">
        <v>12</v>
      </c>
      <c r="J152">
        <v>13</v>
      </c>
      <c r="K152">
        <v>1</v>
      </c>
      <c r="L152" s="1" t="s">
        <v>26</v>
      </c>
      <c r="M152">
        <v>149.6</v>
      </c>
      <c r="N152">
        <v>316912.56</v>
      </c>
      <c r="O152">
        <v>4241868.24</v>
      </c>
      <c r="P152">
        <v>820381.94</v>
      </c>
      <c r="Q152" s="1" t="s">
        <v>706</v>
      </c>
      <c r="R152">
        <v>71</v>
      </c>
      <c r="S152" s="1" t="s">
        <v>707</v>
      </c>
      <c r="T152" t="b">
        <v>1</v>
      </c>
    </row>
    <row r="153" spans="1:20" x14ac:dyDescent="0.25">
      <c r="A153" s="1" t="s">
        <v>708</v>
      </c>
      <c r="B153" s="1" t="s">
        <v>228</v>
      </c>
      <c r="C153" s="1" t="s">
        <v>709</v>
      </c>
      <c r="D153" s="1" t="s">
        <v>23</v>
      </c>
      <c r="E153" s="1" t="s">
        <v>41</v>
      </c>
      <c r="F153" s="1" t="s">
        <v>25</v>
      </c>
      <c r="G153" s="2">
        <v>44585</v>
      </c>
      <c r="H153" s="2">
        <v>44599</v>
      </c>
      <c r="I153">
        <v>9</v>
      </c>
      <c r="J153">
        <v>14</v>
      </c>
      <c r="K153">
        <v>5</v>
      </c>
      <c r="L153" s="1" t="s">
        <v>101</v>
      </c>
      <c r="M153">
        <v>103.3</v>
      </c>
      <c r="N153">
        <v>406333.43</v>
      </c>
      <c r="O153">
        <v>1545785.02</v>
      </c>
      <c r="P153">
        <v>294123.65999999997</v>
      </c>
      <c r="Q153" s="1" t="s">
        <v>710</v>
      </c>
      <c r="R153">
        <v>66</v>
      </c>
      <c r="S153" s="1" t="s">
        <v>711</v>
      </c>
      <c r="T153" t="b">
        <v>1</v>
      </c>
    </row>
    <row r="154" spans="1:20" x14ac:dyDescent="0.25">
      <c r="A154" s="1" t="s">
        <v>712</v>
      </c>
      <c r="B154" s="1" t="s">
        <v>418</v>
      </c>
      <c r="C154" s="1" t="s">
        <v>654</v>
      </c>
      <c r="D154" s="1" t="s">
        <v>713</v>
      </c>
      <c r="E154" s="1" t="s">
        <v>57</v>
      </c>
      <c r="F154" s="1" t="s">
        <v>25</v>
      </c>
      <c r="G154" s="2">
        <v>44921</v>
      </c>
      <c r="H154" s="2">
        <v>44962</v>
      </c>
      <c r="I154">
        <v>40</v>
      </c>
      <c r="J154">
        <v>41</v>
      </c>
      <c r="K154">
        <v>1</v>
      </c>
      <c r="L154" s="1" t="s">
        <v>26</v>
      </c>
      <c r="M154">
        <v>617.79999999999995</v>
      </c>
      <c r="N154">
        <v>1911221.35</v>
      </c>
      <c r="O154">
        <v>2377757.2599999998</v>
      </c>
      <c r="P154">
        <v>444148.72</v>
      </c>
      <c r="Q154" s="1" t="s">
        <v>714</v>
      </c>
      <c r="R154">
        <v>41</v>
      </c>
      <c r="S154" s="1" t="s">
        <v>715</v>
      </c>
      <c r="T154" t="b">
        <v>0</v>
      </c>
    </row>
    <row r="155" spans="1:20" x14ac:dyDescent="0.25">
      <c r="A155" s="1" t="s">
        <v>716</v>
      </c>
      <c r="B155" s="1" t="s">
        <v>358</v>
      </c>
      <c r="C155" s="1" t="s">
        <v>717</v>
      </c>
      <c r="D155" s="1" t="s">
        <v>306</v>
      </c>
      <c r="E155" s="1" t="s">
        <v>41</v>
      </c>
      <c r="F155" s="1" t="s">
        <v>25</v>
      </c>
      <c r="G155" s="2">
        <v>45409</v>
      </c>
      <c r="H155" s="2">
        <v>45420</v>
      </c>
      <c r="I155">
        <v>9</v>
      </c>
      <c r="J155">
        <v>11</v>
      </c>
      <c r="K155">
        <v>2</v>
      </c>
      <c r="L155" s="1" t="s">
        <v>26</v>
      </c>
      <c r="M155">
        <v>83.5</v>
      </c>
      <c r="N155">
        <v>313743.17</v>
      </c>
      <c r="O155">
        <v>1584359.18</v>
      </c>
      <c r="P155">
        <v>291526.78000000003</v>
      </c>
      <c r="Q155" s="1" t="s">
        <v>718</v>
      </c>
      <c r="R155">
        <v>37</v>
      </c>
      <c r="S155" s="1" t="s">
        <v>719</v>
      </c>
      <c r="T155" t="b">
        <v>1</v>
      </c>
    </row>
    <row r="156" spans="1:20" x14ac:dyDescent="0.25">
      <c r="A156" s="1" t="s">
        <v>720</v>
      </c>
      <c r="B156" s="1" t="s">
        <v>545</v>
      </c>
      <c r="C156" s="1" t="s">
        <v>721</v>
      </c>
      <c r="D156" s="1" t="s">
        <v>84</v>
      </c>
      <c r="E156" s="1" t="s">
        <v>65</v>
      </c>
      <c r="F156" s="1" t="s">
        <v>34</v>
      </c>
      <c r="G156" s="2">
        <v>45256</v>
      </c>
      <c r="H156" s="2"/>
      <c r="I156">
        <v>4</v>
      </c>
      <c r="J156">
        <v>3</v>
      </c>
      <c r="K156">
        <v>0</v>
      </c>
      <c r="L156" s="1" t="s">
        <v>26</v>
      </c>
      <c r="M156">
        <v>32.6</v>
      </c>
      <c r="N156">
        <v>92969.62</v>
      </c>
      <c r="O156">
        <v>2980007.42</v>
      </c>
      <c r="P156">
        <v>572985.36</v>
      </c>
      <c r="Q156" s="1" t="s">
        <v>722</v>
      </c>
      <c r="R156">
        <v>46</v>
      </c>
      <c r="S156" s="1" t="s">
        <v>723</v>
      </c>
      <c r="T156" t="b">
        <v>1</v>
      </c>
    </row>
    <row r="157" spans="1:20" x14ac:dyDescent="0.25">
      <c r="A157" s="1" t="s">
        <v>724</v>
      </c>
      <c r="B157" s="1" t="s">
        <v>158</v>
      </c>
      <c r="C157" s="1" t="s">
        <v>725</v>
      </c>
      <c r="D157" s="1" t="s">
        <v>726</v>
      </c>
      <c r="E157" s="1" t="s">
        <v>57</v>
      </c>
      <c r="F157" s="1" t="s">
        <v>25</v>
      </c>
      <c r="G157" s="2">
        <v>45579</v>
      </c>
      <c r="H157" s="2">
        <v>45627</v>
      </c>
      <c r="I157">
        <v>40</v>
      </c>
      <c r="J157">
        <v>48</v>
      </c>
      <c r="K157">
        <v>8</v>
      </c>
      <c r="L157" s="1" t="s">
        <v>193</v>
      </c>
      <c r="M157">
        <v>669.8</v>
      </c>
      <c r="N157">
        <v>1752931.91</v>
      </c>
      <c r="O157">
        <v>2630251.09</v>
      </c>
      <c r="P157">
        <v>515029.59</v>
      </c>
      <c r="Q157" s="1" t="s">
        <v>727</v>
      </c>
      <c r="R157">
        <v>21</v>
      </c>
      <c r="S157" s="1" t="s">
        <v>728</v>
      </c>
      <c r="T157" t="b">
        <v>0</v>
      </c>
    </row>
    <row r="158" spans="1:20" x14ac:dyDescent="0.25">
      <c r="A158" s="1" t="s">
        <v>729</v>
      </c>
      <c r="B158" s="1" t="s">
        <v>403</v>
      </c>
      <c r="C158" s="1" t="s">
        <v>730</v>
      </c>
      <c r="D158" s="1" t="s">
        <v>372</v>
      </c>
      <c r="E158" s="1" t="s">
        <v>57</v>
      </c>
      <c r="F158" s="1" t="s">
        <v>25</v>
      </c>
      <c r="G158" s="2">
        <v>45586</v>
      </c>
      <c r="H158" s="2">
        <v>45627</v>
      </c>
      <c r="I158">
        <v>40</v>
      </c>
      <c r="J158">
        <v>41</v>
      </c>
      <c r="K158">
        <v>1</v>
      </c>
      <c r="L158" s="1" t="s">
        <v>26</v>
      </c>
      <c r="M158">
        <v>618.4</v>
      </c>
      <c r="N158">
        <v>2336062.2000000002</v>
      </c>
      <c r="O158">
        <v>2622903.5299999998</v>
      </c>
      <c r="P158">
        <v>880480.83</v>
      </c>
      <c r="Q158" s="1" t="s">
        <v>731</v>
      </c>
      <c r="R158">
        <v>66</v>
      </c>
      <c r="S158" s="1" t="s">
        <v>732</v>
      </c>
      <c r="T158" t="b">
        <v>1</v>
      </c>
    </row>
    <row r="159" spans="1:20" x14ac:dyDescent="0.25">
      <c r="A159" s="1" t="s">
        <v>733</v>
      </c>
      <c r="B159" s="1" t="s">
        <v>138</v>
      </c>
      <c r="C159" s="1" t="s">
        <v>734</v>
      </c>
      <c r="D159" s="1" t="s">
        <v>655</v>
      </c>
      <c r="E159" s="1" t="s">
        <v>65</v>
      </c>
      <c r="F159" s="1" t="s">
        <v>34</v>
      </c>
      <c r="G159" s="2">
        <v>45502</v>
      </c>
      <c r="H159" s="2"/>
      <c r="I159">
        <v>4</v>
      </c>
      <c r="J159">
        <v>2</v>
      </c>
      <c r="K159">
        <v>0</v>
      </c>
      <c r="L159" s="1" t="s">
        <v>26</v>
      </c>
      <c r="M159">
        <v>8.1</v>
      </c>
      <c r="N159">
        <v>34970.22</v>
      </c>
      <c r="O159">
        <v>3438391.13</v>
      </c>
      <c r="P159">
        <v>553753.68999999994</v>
      </c>
      <c r="Q159" s="1" t="s">
        <v>735</v>
      </c>
      <c r="R159">
        <v>69</v>
      </c>
      <c r="S159" s="1" t="s">
        <v>736</v>
      </c>
      <c r="T159" t="b">
        <v>0</v>
      </c>
    </row>
    <row r="160" spans="1:20" x14ac:dyDescent="0.25">
      <c r="A160" s="1" t="s">
        <v>737</v>
      </c>
      <c r="B160" s="1" t="s">
        <v>105</v>
      </c>
      <c r="C160" s="1" t="s">
        <v>738</v>
      </c>
      <c r="D160" s="1" t="s">
        <v>306</v>
      </c>
      <c r="E160" s="1" t="s">
        <v>49</v>
      </c>
      <c r="F160" s="1" t="s">
        <v>50</v>
      </c>
      <c r="G160" s="2">
        <v>44608</v>
      </c>
      <c r="H160" s="2"/>
      <c r="I160">
        <v>25</v>
      </c>
      <c r="J160">
        <v>19</v>
      </c>
      <c r="K160">
        <v>0</v>
      </c>
      <c r="L160" s="1" t="s">
        <v>26</v>
      </c>
      <c r="M160">
        <v>221.7</v>
      </c>
      <c r="N160">
        <v>524671.53</v>
      </c>
      <c r="O160">
        <v>1010772.01</v>
      </c>
      <c r="P160">
        <v>197545.16</v>
      </c>
      <c r="Q160" s="1" t="s">
        <v>739</v>
      </c>
      <c r="R160">
        <v>30</v>
      </c>
      <c r="S160" s="1" t="s">
        <v>740</v>
      </c>
      <c r="T160" t="b">
        <v>0</v>
      </c>
    </row>
    <row r="161" spans="1:20" x14ac:dyDescent="0.25">
      <c r="A161" s="1" t="s">
        <v>741</v>
      </c>
      <c r="B161" s="1" t="s">
        <v>163</v>
      </c>
      <c r="C161" s="1" t="s">
        <v>630</v>
      </c>
      <c r="D161" s="1" t="s">
        <v>249</v>
      </c>
      <c r="E161" s="1" t="s">
        <v>33</v>
      </c>
      <c r="F161" s="1" t="s">
        <v>66</v>
      </c>
      <c r="G161" s="2">
        <v>44796</v>
      </c>
      <c r="H161" s="2"/>
      <c r="I161">
        <v>12</v>
      </c>
      <c r="J161">
        <v>14</v>
      </c>
      <c r="K161">
        <v>2</v>
      </c>
      <c r="L161" s="1" t="s">
        <v>26</v>
      </c>
      <c r="M161">
        <v>142.4</v>
      </c>
      <c r="N161">
        <v>335744.87</v>
      </c>
      <c r="O161">
        <v>1758087.51</v>
      </c>
      <c r="P161">
        <v>276068.64</v>
      </c>
      <c r="Q161" s="1" t="s">
        <v>742</v>
      </c>
      <c r="R161">
        <v>30</v>
      </c>
      <c r="S161" s="1" t="s">
        <v>743</v>
      </c>
      <c r="T161" t="b">
        <v>1</v>
      </c>
    </row>
    <row r="162" spans="1:20" x14ac:dyDescent="0.25">
      <c r="A162" s="1" t="s">
        <v>744</v>
      </c>
      <c r="B162" s="1" t="s">
        <v>286</v>
      </c>
      <c r="C162" s="1" t="s">
        <v>745</v>
      </c>
      <c r="D162" s="1" t="s">
        <v>344</v>
      </c>
      <c r="E162" s="1" t="s">
        <v>49</v>
      </c>
      <c r="F162" s="1" t="s">
        <v>25</v>
      </c>
      <c r="G162" s="2">
        <v>45199</v>
      </c>
      <c r="H162" s="2">
        <v>45226</v>
      </c>
      <c r="I162">
        <v>25</v>
      </c>
      <c r="J162">
        <v>27</v>
      </c>
      <c r="K162">
        <v>2</v>
      </c>
      <c r="L162" s="1" t="s">
        <v>26</v>
      </c>
      <c r="M162">
        <v>251.7</v>
      </c>
      <c r="N162">
        <v>541456.99</v>
      </c>
      <c r="O162">
        <v>2358970.54</v>
      </c>
      <c r="P162">
        <v>485965.45</v>
      </c>
      <c r="Q162" s="1" t="s">
        <v>746</v>
      </c>
      <c r="R162">
        <v>65</v>
      </c>
      <c r="S162" s="1" t="s">
        <v>747</v>
      </c>
      <c r="T162" t="b">
        <v>0</v>
      </c>
    </row>
    <row r="163" spans="1:20" x14ac:dyDescent="0.25">
      <c r="A163" s="1" t="s">
        <v>748</v>
      </c>
      <c r="B163" s="1" t="s">
        <v>70</v>
      </c>
      <c r="C163" s="1" t="s">
        <v>749</v>
      </c>
      <c r="D163" s="1" t="s">
        <v>336</v>
      </c>
      <c r="E163" s="1" t="s">
        <v>24</v>
      </c>
      <c r="F163" s="1" t="s">
        <v>25</v>
      </c>
      <c r="G163" s="2">
        <v>45290</v>
      </c>
      <c r="H163" s="2">
        <v>45292</v>
      </c>
      <c r="I163">
        <v>3</v>
      </c>
      <c r="J163">
        <v>2</v>
      </c>
      <c r="K163">
        <v>0</v>
      </c>
      <c r="L163" s="1" t="s">
        <v>26</v>
      </c>
      <c r="M163">
        <v>25.1</v>
      </c>
      <c r="N163">
        <v>90644.88</v>
      </c>
      <c r="O163">
        <v>2672089.7999999998</v>
      </c>
      <c r="P163">
        <v>545275.93999999994</v>
      </c>
      <c r="Q163" s="1" t="s">
        <v>750</v>
      </c>
      <c r="R163">
        <v>71</v>
      </c>
      <c r="S163" s="1" t="s">
        <v>751</v>
      </c>
      <c r="T163" t="b">
        <v>0</v>
      </c>
    </row>
    <row r="164" spans="1:20" x14ac:dyDescent="0.25">
      <c r="A164" s="1" t="s">
        <v>752</v>
      </c>
      <c r="B164" s="1" t="s">
        <v>228</v>
      </c>
      <c r="C164" s="1" t="s">
        <v>753</v>
      </c>
      <c r="D164" s="1" t="s">
        <v>216</v>
      </c>
      <c r="E164" s="1" t="s">
        <v>65</v>
      </c>
      <c r="F164" s="1" t="s">
        <v>25</v>
      </c>
      <c r="G164" s="2">
        <v>44761</v>
      </c>
      <c r="H164" s="2">
        <v>44769</v>
      </c>
      <c r="I164">
        <v>4</v>
      </c>
      <c r="J164">
        <v>8</v>
      </c>
      <c r="K164">
        <v>3.5</v>
      </c>
      <c r="L164" s="1" t="s">
        <v>193</v>
      </c>
      <c r="M164">
        <v>77.2</v>
      </c>
      <c r="N164">
        <v>336446.12</v>
      </c>
      <c r="O164">
        <v>727171.2</v>
      </c>
      <c r="P164">
        <v>201630.03</v>
      </c>
      <c r="Q164" s="1" t="s">
        <v>754</v>
      </c>
      <c r="R164">
        <v>51</v>
      </c>
      <c r="S164" s="1" t="s">
        <v>755</v>
      </c>
      <c r="T164" t="b">
        <v>1</v>
      </c>
    </row>
    <row r="165" spans="1:20" x14ac:dyDescent="0.25">
      <c r="A165" s="1" t="s">
        <v>756</v>
      </c>
      <c r="B165" s="1" t="s">
        <v>21</v>
      </c>
      <c r="C165" s="1" t="s">
        <v>757</v>
      </c>
      <c r="D165" s="1" t="s">
        <v>758</v>
      </c>
      <c r="E165" s="1" t="s">
        <v>65</v>
      </c>
      <c r="F165" s="1" t="s">
        <v>25</v>
      </c>
      <c r="G165" s="2">
        <v>44695</v>
      </c>
      <c r="H165" s="2">
        <v>44701</v>
      </c>
      <c r="I165">
        <v>4</v>
      </c>
      <c r="J165">
        <v>6</v>
      </c>
      <c r="K165">
        <v>1.5</v>
      </c>
      <c r="L165" s="1" t="s">
        <v>26</v>
      </c>
      <c r="M165">
        <v>58.5</v>
      </c>
      <c r="N165">
        <v>238888.78</v>
      </c>
      <c r="O165">
        <v>1418464.27</v>
      </c>
      <c r="P165">
        <v>223513.19</v>
      </c>
      <c r="Q165" s="1" t="s">
        <v>759</v>
      </c>
      <c r="R165">
        <v>55</v>
      </c>
      <c r="S165" s="1" t="s">
        <v>760</v>
      </c>
      <c r="T165" t="b">
        <v>1</v>
      </c>
    </row>
    <row r="166" spans="1:20" x14ac:dyDescent="0.25">
      <c r="A166" s="1" t="s">
        <v>761</v>
      </c>
      <c r="B166" s="1" t="s">
        <v>76</v>
      </c>
      <c r="C166" s="1" t="s">
        <v>762</v>
      </c>
      <c r="D166" s="1" t="s">
        <v>359</v>
      </c>
      <c r="E166" s="1" t="s">
        <v>49</v>
      </c>
      <c r="F166" s="1" t="s">
        <v>25</v>
      </c>
      <c r="G166" s="2">
        <v>45180</v>
      </c>
      <c r="H166" s="2">
        <v>45202</v>
      </c>
      <c r="I166">
        <v>25</v>
      </c>
      <c r="J166">
        <v>22</v>
      </c>
      <c r="K166">
        <v>0</v>
      </c>
      <c r="L166" s="1" t="s">
        <v>26</v>
      </c>
      <c r="M166">
        <v>243.9</v>
      </c>
      <c r="N166">
        <v>596128.99</v>
      </c>
      <c r="O166">
        <v>1226018.3899999999</v>
      </c>
      <c r="P166">
        <v>211190.58</v>
      </c>
      <c r="Q166" s="1" t="s">
        <v>763</v>
      </c>
      <c r="R166">
        <v>47</v>
      </c>
      <c r="S166" s="1" t="s">
        <v>764</v>
      </c>
      <c r="T166" t="b">
        <v>0</v>
      </c>
    </row>
    <row r="167" spans="1:20" x14ac:dyDescent="0.25">
      <c r="A167" s="1" t="s">
        <v>765</v>
      </c>
      <c r="B167" s="1" t="s">
        <v>148</v>
      </c>
      <c r="C167" s="1" t="s">
        <v>725</v>
      </c>
      <c r="D167" s="1" t="s">
        <v>344</v>
      </c>
      <c r="E167" s="1" t="s">
        <v>57</v>
      </c>
      <c r="F167" s="1" t="s">
        <v>34</v>
      </c>
      <c r="G167" s="2">
        <v>45045</v>
      </c>
      <c r="H167" s="2"/>
      <c r="I167">
        <v>40</v>
      </c>
      <c r="J167">
        <v>24</v>
      </c>
      <c r="K167">
        <v>0</v>
      </c>
      <c r="L167" s="1" t="s">
        <v>26</v>
      </c>
      <c r="M167">
        <v>308.89999999999998</v>
      </c>
      <c r="N167">
        <v>1149773.31</v>
      </c>
      <c r="O167">
        <v>4185373.49</v>
      </c>
      <c r="P167">
        <v>594507.6</v>
      </c>
      <c r="Q167" s="1" t="s">
        <v>766</v>
      </c>
      <c r="R167">
        <v>39</v>
      </c>
      <c r="S167" s="1" t="s">
        <v>767</v>
      </c>
      <c r="T167" t="b">
        <v>0</v>
      </c>
    </row>
    <row r="168" spans="1:20" x14ac:dyDescent="0.25">
      <c r="A168" s="1" t="s">
        <v>768</v>
      </c>
      <c r="B168" s="1" t="s">
        <v>70</v>
      </c>
      <c r="C168" s="1" t="s">
        <v>769</v>
      </c>
      <c r="D168" s="1" t="s">
        <v>713</v>
      </c>
      <c r="E168" s="1" t="s">
        <v>49</v>
      </c>
      <c r="F168" s="1" t="s">
        <v>25</v>
      </c>
      <c r="G168" s="2">
        <v>44704</v>
      </c>
      <c r="H168" s="2">
        <v>44735</v>
      </c>
      <c r="I168">
        <v>25</v>
      </c>
      <c r="J168">
        <v>31</v>
      </c>
      <c r="K168">
        <v>6</v>
      </c>
      <c r="L168" s="1" t="s">
        <v>42</v>
      </c>
      <c r="M168">
        <v>426.8</v>
      </c>
      <c r="N168">
        <v>1657105.26</v>
      </c>
      <c r="O168">
        <v>1900765.96</v>
      </c>
      <c r="P168">
        <v>531650.97</v>
      </c>
      <c r="Q168" s="1" t="s">
        <v>770</v>
      </c>
      <c r="R168">
        <v>68</v>
      </c>
      <c r="S168" s="1" t="s">
        <v>771</v>
      </c>
      <c r="T168" t="b">
        <v>1</v>
      </c>
    </row>
    <row r="169" spans="1:20" x14ac:dyDescent="0.25">
      <c r="A169" s="1" t="s">
        <v>772</v>
      </c>
      <c r="B169" s="1" t="s">
        <v>185</v>
      </c>
      <c r="C169" s="1" t="s">
        <v>558</v>
      </c>
      <c r="D169" s="1" t="s">
        <v>181</v>
      </c>
      <c r="E169" s="1" t="s">
        <v>41</v>
      </c>
      <c r="F169" s="1" t="s">
        <v>25</v>
      </c>
      <c r="G169" s="2">
        <v>44862</v>
      </c>
      <c r="H169" s="2">
        <v>44872</v>
      </c>
      <c r="I169">
        <v>9</v>
      </c>
      <c r="J169">
        <v>10</v>
      </c>
      <c r="K169">
        <v>1</v>
      </c>
      <c r="L169" s="1" t="s">
        <v>26</v>
      </c>
      <c r="M169">
        <v>103.8</v>
      </c>
      <c r="N169">
        <v>296136.53999999998</v>
      </c>
      <c r="O169">
        <v>2893877.76</v>
      </c>
      <c r="P169">
        <v>381419.36</v>
      </c>
      <c r="Q169" s="1" t="s">
        <v>773</v>
      </c>
      <c r="R169">
        <v>80</v>
      </c>
      <c r="S169" s="1" t="s">
        <v>774</v>
      </c>
      <c r="T169" t="b">
        <v>0</v>
      </c>
    </row>
    <row r="170" spans="1:20" x14ac:dyDescent="0.25">
      <c r="A170" s="1" t="s">
        <v>775</v>
      </c>
      <c r="B170" s="1" t="s">
        <v>62</v>
      </c>
      <c r="C170" s="1" t="s">
        <v>776</v>
      </c>
      <c r="D170" s="1" t="s">
        <v>405</v>
      </c>
      <c r="E170" s="1" t="s">
        <v>33</v>
      </c>
      <c r="F170" s="1" t="s">
        <v>66</v>
      </c>
      <c r="G170" s="2">
        <v>45267</v>
      </c>
      <c r="H170" s="2"/>
      <c r="I170">
        <v>12</v>
      </c>
      <c r="J170">
        <v>6</v>
      </c>
      <c r="K170">
        <v>0</v>
      </c>
      <c r="L170" s="1" t="s">
        <v>26</v>
      </c>
      <c r="M170">
        <v>68</v>
      </c>
      <c r="N170">
        <v>216113.82</v>
      </c>
      <c r="O170">
        <v>4239707.3600000003</v>
      </c>
      <c r="P170">
        <v>825443.18</v>
      </c>
      <c r="Q170" s="1" t="s">
        <v>777</v>
      </c>
      <c r="R170">
        <v>55</v>
      </c>
      <c r="S170" s="1" t="s">
        <v>778</v>
      </c>
      <c r="T170" t="b">
        <v>0</v>
      </c>
    </row>
    <row r="171" spans="1:20" x14ac:dyDescent="0.25">
      <c r="A171" s="1" t="s">
        <v>779</v>
      </c>
      <c r="B171" s="1" t="s">
        <v>122</v>
      </c>
      <c r="C171" s="1" t="s">
        <v>780</v>
      </c>
      <c r="D171" s="1" t="s">
        <v>187</v>
      </c>
      <c r="E171" s="1" t="s">
        <v>24</v>
      </c>
      <c r="F171" s="1" t="s">
        <v>50</v>
      </c>
      <c r="G171" s="2">
        <v>44786</v>
      </c>
      <c r="H171" s="2"/>
      <c r="I171">
        <v>3</v>
      </c>
      <c r="J171">
        <v>1</v>
      </c>
      <c r="K171">
        <v>0</v>
      </c>
      <c r="L171" s="1" t="s">
        <v>26</v>
      </c>
      <c r="M171">
        <v>6.8</v>
      </c>
      <c r="N171">
        <v>25132.79</v>
      </c>
      <c r="O171">
        <v>1977398.94</v>
      </c>
      <c r="P171">
        <v>263959.18</v>
      </c>
      <c r="Q171" s="1" t="s">
        <v>781</v>
      </c>
      <c r="R171">
        <v>31</v>
      </c>
      <c r="S171" s="1" t="s">
        <v>782</v>
      </c>
      <c r="T171" t="b">
        <v>0</v>
      </c>
    </row>
    <row r="172" spans="1:20" x14ac:dyDescent="0.25">
      <c r="A172" s="1" t="s">
        <v>783</v>
      </c>
      <c r="B172" s="1" t="s">
        <v>82</v>
      </c>
      <c r="C172" s="1" t="s">
        <v>784</v>
      </c>
      <c r="D172" s="1" t="s">
        <v>306</v>
      </c>
      <c r="E172" s="1" t="s">
        <v>57</v>
      </c>
      <c r="F172" s="1" t="s">
        <v>66</v>
      </c>
      <c r="G172" s="2">
        <v>44846</v>
      </c>
      <c r="H172" s="2"/>
      <c r="I172">
        <v>40</v>
      </c>
      <c r="J172">
        <v>44</v>
      </c>
      <c r="K172">
        <v>4</v>
      </c>
      <c r="L172" s="1" t="s">
        <v>58</v>
      </c>
      <c r="M172">
        <v>621.29999999999995</v>
      </c>
      <c r="N172">
        <v>1722726.54</v>
      </c>
      <c r="O172">
        <v>2092005.12</v>
      </c>
      <c r="P172">
        <v>491517.06</v>
      </c>
      <c r="Q172" s="1" t="s">
        <v>785</v>
      </c>
      <c r="R172">
        <v>66</v>
      </c>
      <c r="S172" s="1" t="s">
        <v>786</v>
      </c>
      <c r="T172" t="b">
        <v>0</v>
      </c>
    </row>
    <row r="173" spans="1:20" x14ac:dyDescent="0.25">
      <c r="A173" s="1" t="s">
        <v>787</v>
      </c>
      <c r="B173" s="1" t="s">
        <v>46</v>
      </c>
      <c r="C173" s="1" t="s">
        <v>206</v>
      </c>
      <c r="D173" s="1" t="s">
        <v>726</v>
      </c>
      <c r="E173" s="1" t="s">
        <v>57</v>
      </c>
      <c r="F173" s="1" t="s">
        <v>25</v>
      </c>
      <c r="G173" s="2">
        <v>45456</v>
      </c>
      <c r="H173" s="2">
        <v>45484</v>
      </c>
      <c r="I173">
        <v>40</v>
      </c>
      <c r="J173">
        <v>28</v>
      </c>
      <c r="K173">
        <v>0</v>
      </c>
      <c r="L173" s="1" t="s">
        <v>26</v>
      </c>
      <c r="M173">
        <v>327.8</v>
      </c>
      <c r="N173">
        <v>958097.04</v>
      </c>
      <c r="O173">
        <v>2285582.9900000002</v>
      </c>
      <c r="P173">
        <v>580271.14</v>
      </c>
      <c r="Q173" s="1" t="s">
        <v>788</v>
      </c>
      <c r="R173">
        <v>47</v>
      </c>
      <c r="S173" s="1" t="s">
        <v>789</v>
      </c>
      <c r="T173" t="b">
        <v>0</v>
      </c>
    </row>
    <row r="174" spans="1:20" x14ac:dyDescent="0.25">
      <c r="A174" s="1" t="s">
        <v>790</v>
      </c>
      <c r="B174" s="1" t="s">
        <v>122</v>
      </c>
      <c r="C174" s="1" t="s">
        <v>467</v>
      </c>
      <c r="D174" s="1" t="s">
        <v>56</v>
      </c>
      <c r="E174" s="1" t="s">
        <v>24</v>
      </c>
      <c r="F174" s="1" t="s">
        <v>25</v>
      </c>
      <c r="G174" s="2">
        <v>45349</v>
      </c>
      <c r="H174" s="2">
        <v>45351</v>
      </c>
      <c r="I174">
        <v>3</v>
      </c>
      <c r="J174">
        <v>2</v>
      </c>
      <c r="K174">
        <v>0</v>
      </c>
      <c r="L174" s="1" t="s">
        <v>26</v>
      </c>
      <c r="M174">
        <v>18.2</v>
      </c>
      <c r="N174">
        <v>33125.11</v>
      </c>
      <c r="O174">
        <v>2495803.25</v>
      </c>
      <c r="P174">
        <v>437735.59</v>
      </c>
      <c r="Q174" s="1" t="s">
        <v>791</v>
      </c>
      <c r="R174">
        <v>22</v>
      </c>
      <c r="S174" s="1" t="s">
        <v>792</v>
      </c>
      <c r="T174" t="b">
        <v>1</v>
      </c>
    </row>
    <row r="175" spans="1:20" x14ac:dyDescent="0.25">
      <c r="A175" s="1" t="s">
        <v>793</v>
      </c>
      <c r="B175" s="1" t="s">
        <v>117</v>
      </c>
      <c r="C175" s="1" t="s">
        <v>77</v>
      </c>
      <c r="D175" s="1" t="s">
        <v>655</v>
      </c>
      <c r="E175" s="1" t="s">
        <v>41</v>
      </c>
      <c r="F175" s="1" t="s">
        <v>25</v>
      </c>
      <c r="G175" s="2">
        <v>45551</v>
      </c>
      <c r="H175" s="2">
        <v>45555</v>
      </c>
      <c r="I175">
        <v>9</v>
      </c>
      <c r="J175">
        <v>4</v>
      </c>
      <c r="K175">
        <v>0</v>
      </c>
      <c r="L175" s="1" t="s">
        <v>26</v>
      </c>
      <c r="M175">
        <v>43.9</v>
      </c>
      <c r="N175">
        <v>193014.78</v>
      </c>
      <c r="O175">
        <v>409514.9</v>
      </c>
      <c r="P175">
        <v>104248.81</v>
      </c>
      <c r="Q175" s="1" t="s">
        <v>794</v>
      </c>
      <c r="R175">
        <v>25</v>
      </c>
      <c r="S175" s="1" t="s">
        <v>795</v>
      </c>
      <c r="T175" t="b">
        <v>1</v>
      </c>
    </row>
    <row r="176" spans="1:20" x14ac:dyDescent="0.25">
      <c r="A176" s="1" t="s">
        <v>796</v>
      </c>
      <c r="B176" s="1" t="s">
        <v>272</v>
      </c>
      <c r="C176" s="1" t="s">
        <v>106</v>
      </c>
      <c r="D176" s="1" t="s">
        <v>216</v>
      </c>
      <c r="E176" s="1" t="s">
        <v>65</v>
      </c>
      <c r="F176" s="1" t="s">
        <v>34</v>
      </c>
      <c r="G176" s="2">
        <v>45064</v>
      </c>
      <c r="H176" s="2"/>
      <c r="I176">
        <v>4</v>
      </c>
      <c r="J176">
        <v>2</v>
      </c>
      <c r="K176">
        <v>0</v>
      </c>
      <c r="L176" s="1" t="s">
        <v>26</v>
      </c>
      <c r="M176">
        <v>24.4</v>
      </c>
      <c r="N176">
        <v>79442.31</v>
      </c>
      <c r="O176">
        <v>2902345.92</v>
      </c>
      <c r="P176">
        <v>480974.1</v>
      </c>
      <c r="Q176" s="1" t="s">
        <v>797</v>
      </c>
      <c r="R176">
        <v>52</v>
      </c>
      <c r="S176" s="1" t="s">
        <v>798</v>
      </c>
      <c r="T176" t="b">
        <v>0</v>
      </c>
    </row>
    <row r="177" spans="1:20" x14ac:dyDescent="0.25">
      <c r="A177" s="1" t="s">
        <v>799</v>
      </c>
      <c r="B177" s="1" t="s">
        <v>62</v>
      </c>
      <c r="C177" s="1" t="s">
        <v>800</v>
      </c>
      <c r="D177" s="1" t="s">
        <v>130</v>
      </c>
      <c r="E177" s="1" t="s">
        <v>65</v>
      </c>
      <c r="F177" s="1" t="s">
        <v>25</v>
      </c>
      <c r="G177" s="2">
        <v>45240</v>
      </c>
      <c r="H177" s="2">
        <v>45245</v>
      </c>
      <c r="I177">
        <v>4</v>
      </c>
      <c r="J177">
        <v>5</v>
      </c>
      <c r="K177">
        <v>0.5</v>
      </c>
      <c r="L177" s="1" t="s">
        <v>26</v>
      </c>
      <c r="M177">
        <v>37.4</v>
      </c>
      <c r="N177">
        <v>70887.240000000005</v>
      </c>
      <c r="O177">
        <v>4615093.9400000004</v>
      </c>
      <c r="P177">
        <v>819777.39</v>
      </c>
      <c r="Q177" s="1" t="s">
        <v>801</v>
      </c>
      <c r="R177">
        <v>30</v>
      </c>
      <c r="S177" s="1" t="s">
        <v>802</v>
      </c>
      <c r="T177" t="b">
        <v>1</v>
      </c>
    </row>
    <row r="178" spans="1:20" x14ac:dyDescent="0.25">
      <c r="A178" s="1" t="s">
        <v>803</v>
      </c>
      <c r="B178" s="1" t="s">
        <v>117</v>
      </c>
      <c r="C178" s="1" t="s">
        <v>804</v>
      </c>
      <c r="D178" s="1" t="s">
        <v>64</v>
      </c>
      <c r="E178" s="1" t="s">
        <v>41</v>
      </c>
      <c r="F178" s="1" t="s">
        <v>66</v>
      </c>
      <c r="G178" s="2">
        <v>45159</v>
      </c>
      <c r="H178" s="2"/>
      <c r="I178">
        <v>9</v>
      </c>
      <c r="J178">
        <v>3</v>
      </c>
      <c r="K178">
        <v>0</v>
      </c>
      <c r="L178" s="1" t="s">
        <v>26</v>
      </c>
      <c r="M178">
        <v>22.3</v>
      </c>
      <c r="N178">
        <v>45107.94</v>
      </c>
      <c r="O178">
        <v>2532924.59</v>
      </c>
      <c r="P178">
        <v>477308.61</v>
      </c>
      <c r="Q178" s="1" t="s">
        <v>805</v>
      </c>
      <c r="R178">
        <v>36</v>
      </c>
      <c r="S178" s="1" t="s">
        <v>806</v>
      </c>
      <c r="T178" t="b">
        <v>1</v>
      </c>
    </row>
    <row r="179" spans="1:20" x14ac:dyDescent="0.25">
      <c r="A179" s="1" t="s">
        <v>807</v>
      </c>
      <c r="B179" s="1" t="s">
        <v>46</v>
      </c>
      <c r="C179" s="1" t="s">
        <v>808</v>
      </c>
      <c r="D179" s="1" t="s">
        <v>32</v>
      </c>
      <c r="E179" s="1" t="s">
        <v>49</v>
      </c>
      <c r="F179" s="1" t="s">
        <v>25</v>
      </c>
      <c r="G179" s="2">
        <v>44790</v>
      </c>
      <c r="H179" s="2">
        <v>44829</v>
      </c>
      <c r="I179">
        <v>25</v>
      </c>
      <c r="J179">
        <v>39</v>
      </c>
      <c r="K179">
        <v>14</v>
      </c>
      <c r="L179" s="1" t="s">
        <v>26</v>
      </c>
      <c r="M179">
        <v>432.9</v>
      </c>
      <c r="N179">
        <v>955871.84</v>
      </c>
      <c r="O179">
        <v>2238799.31</v>
      </c>
      <c r="P179">
        <v>577545.65</v>
      </c>
      <c r="Q179" s="1" t="s">
        <v>809</v>
      </c>
      <c r="R179">
        <v>22</v>
      </c>
      <c r="S179" s="1" t="s">
        <v>810</v>
      </c>
      <c r="T179" t="b">
        <v>0</v>
      </c>
    </row>
    <row r="180" spans="1:20" x14ac:dyDescent="0.25">
      <c r="A180" s="1" t="s">
        <v>811</v>
      </c>
      <c r="B180" s="1" t="s">
        <v>174</v>
      </c>
      <c r="C180" s="1" t="s">
        <v>118</v>
      </c>
      <c r="D180" s="1" t="s">
        <v>420</v>
      </c>
      <c r="E180" s="1" t="s">
        <v>57</v>
      </c>
      <c r="F180" s="1" t="s">
        <v>66</v>
      </c>
      <c r="G180" s="2">
        <v>44734</v>
      </c>
      <c r="H180" s="2"/>
      <c r="I180">
        <v>40</v>
      </c>
      <c r="J180">
        <v>29</v>
      </c>
      <c r="K180">
        <v>0</v>
      </c>
      <c r="L180" s="1" t="s">
        <v>26</v>
      </c>
      <c r="M180">
        <v>407.5</v>
      </c>
      <c r="N180">
        <v>1561725.62</v>
      </c>
      <c r="O180">
        <v>2070609.9</v>
      </c>
      <c r="P180">
        <v>502412.66</v>
      </c>
      <c r="Q180" s="1" t="s">
        <v>812</v>
      </c>
      <c r="R180">
        <v>66</v>
      </c>
      <c r="S180" s="1" t="s">
        <v>813</v>
      </c>
      <c r="T180" t="b">
        <v>0</v>
      </c>
    </row>
    <row r="181" spans="1:20" x14ac:dyDescent="0.25">
      <c r="A181" s="1" t="s">
        <v>814</v>
      </c>
      <c r="B181" s="1" t="s">
        <v>93</v>
      </c>
      <c r="C181" s="1" t="s">
        <v>815</v>
      </c>
      <c r="D181" s="1" t="s">
        <v>89</v>
      </c>
      <c r="E181" s="1" t="s">
        <v>41</v>
      </c>
      <c r="F181" s="1" t="s">
        <v>25</v>
      </c>
      <c r="G181" s="2">
        <v>44673</v>
      </c>
      <c r="H181" s="2">
        <v>44688</v>
      </c>
      <c r="I181">
        <v>9</v>
      </c>
      <c r="J181">
        <v>15</v>
      </c>
      <c r="K181">
        <v>6</v>
      </c>
      <c r="L181" s="1" t="s">
        <v>26</v>
      </c>
      <c r="M181">
        <v>207.5</v>
      </c>
      <c r="N181">
        <v>402926.12</v>
      </c>
      <c r="O181">
        <v>2325434.4900000002</v>
      </c>
      <c r="P181">
        <v>402769.31</v>
      </c>
      <c r="Q181" s="1" t="s">
        <v>816</v>
      </c>
      <c r="R181">
        <v>65</v>
      </c>
      <c r="S181" s="1" t="s">
        <v>817</v>
      </c>
      <c r="T181" t="b">
        <v>0</v>
      </c>
    </row>
    <row r="182" spans="1:20" x14ac:dyDescent="0.25">
      <c r="A182" s="1" t="s">
        <v>818</v>
      </c>
      <c r="B182" s="1" t="s">
        <v>138</v>
      </c>
      <c r="C182" s="1" t="s">
        <v>819</v>
      </c>
      <c r="D182" s="1" t="s">
        <v>181</v>
      </c>
      <c r="E182" s="1" t="s">
        <v>24</v>
      </c>
      <c r="F182" s="1" t="s">
        <v>25</v>
      </c>
      <c r="G182" s="2">
        <v>45533</v>
      </c>
      <c r="H182" s="2">
        <v>45538</v>
      </c>
      <c r="I182">
        <v>3</v>
      </c>
      <c r="J182">
        <v>5</v>
      </c>
      <c r="K182">
        <v>2</v>
      </c>
      <c r="L182" s="1" t="s">
        <v>26</v>
      </c>
      <c r="M182">
        <v>72.2</v>
      </c>
      <c r="N182">
        <v>132272.57999999999</v>
      </c>
      <c r="O182">
        <v>4636840.41</v>
      </c>
      <c r="P182">
        <v>690958.93</v>
      </c>
      <c r="Q182" s="1" t="s">
        <v>820</v>
      </c>
      <c r="R182">
        <v>54</v>
      </c>
      <c r="S182" s="1" t="s">
        <v>821</v>
      </c>
      <c r="T182" t="b">
        <v>0</v>
      </c>
    </row>
    <row r="183" spans="1:20" x14ac:dyDescent="0.25">
      <c r="A183" s="1" t="s">
        <v>822</v>
      </c>
      <c r="B183" s="1" t="s">
        <v>629</v>
      </c>
      <c r="C183" s="1" t="s">
        <v>823</v>
      </c>
      <c r="D183" s="1" t="s">
        <v>655</v>
      </c>
      <c r="E183" s="1" t="s">
        <v>49</v>
      </c>
      <c r="F183" s="1" t="s">
        <v>34</v>
      </c>
      <c r="G183" s="2">
        <v>45446</v>
      </c>
      <c r="H183" s="2"/>
      <c r="I183">
        <v>25</v>
      </c>
      <c r="J183">
        <v>37</v>
      </c>
      <c r="K183">
        <v>12</v>
      </c>
      <c r="L183" s="1" t="s">
        <v>101</v>
      </c>
      <c r="M183">
        <v>269</v>
      </c>
      <c r="N183">
        <v>680537.86</v>
      </c>
      <c r="O183">
        <v>4013558.64</v>
      </c>
      <c r="P183">
        <v>589270.55000000005</v>
      </c>
      <c r="Q183" s="1" t="s">
        <v>824</v>
      </c>
      <c r="R183">
        <v>41</v>
      </c>
      <c r="S183" s="1" t="s">
        <v>825</v>
      </c>
      <c r="T183" t="b">
        <v>1</v>
      </c>
    </row>
    <row r="184" spans="1:20" x14ac:dyDescent="0.25">
      <c r="A184" s="1" t="s">
        <v>826</v>
      </c>
      <c r="B184" s="1" t="s">
        <v>163</v>
      </c>
      <c r="C184" s="1" t="s">
        <v>827</v>
      </c>
      <c r="D184" s="1" t="s">
        <v>513</v>
      </c>
      <c r="E184" s="1" t="s">
        <v>49</v>
      </c>
      <c r="F184" s="1" t="s">
        <v>25</v>
      </c>
      <c r="G184" s="2">
        <v>45203</v>
      </c>
      <c r="H184" s="2">
        <v>45234</v>
      </c>
      <c r="I184">
        <v>25</v>
      </c>
      <c r="J184">
        <v>31</v>
      </c>
      <c r="K184">
        <v>6</v>
      </c>
      <c r="L184" s="1" t="s">
        <v>101</v>
      </c>
      <c r="M184">
        <v>127.2</v>
      </c>
      <c r="N184">
        <v>252297.42</v>
      </c>
      <c r="O184">
        <v>2062131.35</v>
      </c>
      <c r="P184">
        <v>353011.55</v>
      </c>
      <c r="Q184" s="1" t="s">
        <v>828</v>
      </c>
      <c r="R184">
        <v>22</v>
      </c>
      <c r="S184" s="1" t="s">
        <v>829</v>
      </c>
      <c r="T184" t="b">
        <v>1</v>
      </c>
    </row>
    <row r="185" spans="1:20" x14ac:dyDescent="0.25">
      <c r="A185" s="1" t="s">
        <v>830</v>
      </c>
      <c r="B185" s="1" t="s">
        <v>70</v>
      </c>
      <c r="C185" s="1" t="s">
        <v>139</v>
      </c>
      <c r="D185" s="1" t="s">
        <v>187</v>
      </c>
      <c r="E185" s="1" t="s">
        <v>33</v>
      </c>
      <c r="F185" s="1" t="s">
        <v>66</v>
      </c>
      <c r="G185" s="2">
        <v>44750</v>
      </c>
      <c r="H185" s="2"/>
      <c r="I185">
        <v>12</v>
      </c>
      <c r="J185">
        <v>16</v>
      </c>
      <c r="K185">
        <v>4</v>
      </c>
      <c r="L185" s="1" t="s">
        <v>26</v>
      </c>
      <c r="M185">
        <v>235.6</v>
      </c>
      <c r="N185">
        <v>562006.54</v>
      </c>
      <c r="O185">
        <v>3000931.03</v>
      </c>
      <c r="P185">
        <v>399686.82</v>
      </c>
      <c r="Q185" s="1" t="s">
        <v>831</v>
      </c>
      <c r="R185">
        <v>68</v>
      </c>
      <c r="S185" s="1" t="s">
        <v>832</v>
      </c>
      <c r="T185" t="b">
        <v>1</v>
      </c>
    </row>
    <row r="186" spans="1:20" x14ac:dyDescent="0.25">
      <c r="A186" s="1" t="s">
        <v>833</v>
      </c>
      <c r="B186" s="1" t="s">
        <v>545</v>
      </c>
      <c r="C186" s="1" t="s">
        <v>577</v>
      </c>
      <c r="D186" s="1" t="s">
        <v>154</v>
      </c>
      <c r="E186" s="1" t="s">
        <v>41</v>
      </c>
      <c r="F186" s="1" t="s">
        <v>25</v>
      </c>
      <c r="G186" s="2">
        <v>44789</v>
      </c>
      <c r="H186" s="2">
        <v>44796</v>
      </c>
      <c r="I186">
        <v>9</v>
      </c>
      <c r="J186">
        <v>7</v>
      </c>
      <c r="K186">
        <v>0</v>
      </c>
      <c r="L186" s="1" t="s">
        <v>26</v>
      </c>
      <c r="M186">
        <v>52.7</v>
      </c>
      <c r="N186">
        <v>188839.39</v>
      </c>
      <c r="O186">
        <v>387813.74</v>
      </c>
      <c r="P186">
        <v>83813.289999999994</v>
      </c>
      <c r="Q186" s="1" t="s">
        <v>834</v>
      </c>
      <c r="R186">
        <v>69</v>
      </c>
      <c r="S186" s="1" t="s">
        <v>835</v>
      </c>
      <c r="T186" t="b">
        <v>1</v>
      </c>
    </row>
    <row r="187" spans="1:20" x14ac:dyDescent="0.25">
      <c r="A187" s="1" t="s">
        <v>836</v>
      </c>
      <c r="B187" s="1" t="s">
        <v>111</v>
      </c>
      <c r="C187" s="1" t="s">
        <v>837</v>
      </c>
      <c r="D187" s="1" t="s">
        <v>344</v>
      </c>
      <c r="E187" s="1" t="s">
        <v>33</v>
      </c>
      <c r="F187" s="1" t="s">
        <v>25</v>
      </c>
      <c r="G187" s="2">
        <v>45129</v>
      </c>
      <c r="H187" s="2">
        <v>45141</v>
      </c>
      <c r="I187">
        <v>12</v>
      </c>
      <c r="J187">
        <v>12</v>
      </c>
      <c r="K187">
        <v>0</v>
      </c>
      <c r="L187" s="1" t="s">
        <v>26</v>
      </c>
      <c r="M187">
        <v>95.9</v>
      </c>
      <c r="N187">
        <v>188170.99</v>
      </c>
      <c r="O187">
        <v>4778472.4400000004</v>
      </c>
      <c r="P187">
        <v>628113.93999999994</v>
      </c>
      <c r="Q187" s="1" t="s">
        <v>838</v>
      </c>
      <c r="R187">
        <v>61</v>
      </c>
      <c r="S187" s="1" t="s">
        <v>839</v>
      </c>
      <c r="T187" t="b">
        <v>0</v>
      </c>
    </row>
    <row r="188" spans="1:20" x14ac:dyDescent="0.25">
      <c r="A188" s="1" t="s">
        <v>840</v>
      </c>
      <c r="B188" s="1" t="s">
        <v>242</v>
      </c>
      <c r="C188" s="1" t="s">
        <v>590</v>
      </c>
      <c r="D188" s="1" t="s">
        <v>505</v>
      </c>
      <c r="E188" s="1" t="s">
        <v>57</v>
      </c>
      <c r="F188" s="1" t="s">
        <v>66</v>
      </c>
      <c r="G188" s="2">
        <v>44784</v>
      </c>
      <c r="H188" s="2"/>
      <c r="I188">
        <v>40</v>
      </c>
      <c r="J188">
        <v>47</v>
      </c>
      <c r="K188">
        <v>7</v>
      </c>
      <c r="L188" s="1" t="s">
        <v>26</v>
      </c>
      <c r="M188">
        <v>311.2</v>
      </c>
      <c r="N188">
        <v>1100718.46</v>
      </c>
      <c r="O188">
        <v>4563920.0199999996</v>
      </c>
      <c r="P188">
        <v>971712.26</v>
      </c>
      <c r="Q188" s="1" t="s">
        <v>841</v>
      </c>
      <c r="R188">
        <v>77</v>
      </c>
      <c r="S188" s="1" t="s">
        <v>842</v>
      </c>
      <c r="T188" t="b">
        <v>0</v>
      </c>
    </row>
    <row r="189" spans="1:20" x14ac:dyDescent="0.25">
      <c r="A189" s="1" t="s">
        <v>843</v>
      </c>
      <c r="B189" s="1" t="s">
        <v>334</v>
      </c>
      <c r="C189" s="1" t="s">
        <v>844</v>
      </c>
      <c r="D189" s="1" t="s">
        <v>350</v>
      </c>
      <c r="E189" s="1" t="s">
        <v>41</v>
      </c>
      <c r="F189" s="1" t="s">
        <v>34</v>
      </c>
      <c r="G189" s="2">
        <v>44866</v>
      </c>
      <c r="H189" s="2"/>
      <c r="I189">
        <v>9</v>
      </c>
      <c r="J189">
        <v>3</v>
      </c>
      <c r="K189">
        <v>0</v>
      </c>
      <c r="L189" s="1" t="s">
        <v>26</v>
      </c>
      <c r="M189">
        <v>45.6</v>
      </c>
      <c r="N189">
        <v>163906.26999999999</v>
      </c>
      <c r="O189">
        <v>1339518.04</v>
      </c>
      <c r="P189">
        <v>255590.43</v>
      </c>
      <c r="Q189" s="1" t="s">
        <v>845</v>
      </c>
      <c r="R189">
        <v>47</v>
      </c>
      <c r="S189" s="1" t="s">
        <v>846</v>
      </c>
      <c r="T189" t="b">
        <v>0</v>
      </c>
    </row>
    <row r="190" spans="1:20" x14ac:dyDescent="0.25">
      <c r="A190" s="1" t="s">
        <v>847</v>
      </c>
      <c r="B190" s="1" t="s">
        <v>228</v>
      </c>
      <c r="C190" s="1" t="s">
        <v>558</v>
      </c>
      <c r="D190" s="1" t="s">
        <v>23</v>
      </c>
      <c r="E190" s="1" t="s">
        <v>49</v>
      </c>
      <c r="F190" s="1" t="s">
        <v>25</v>
      </c>
      <c r="G190" s="2">
        <v>44705</v>
      </c>
      <c r="H190" s="2">
        <v>44715</v>
      </c>
      <c r="I190">
        <v>25</v>
      </c>
      <c r="J190">
        <v>10</v>
      </c>
      <c r="K190">
        <v>0</v>
      </c>
      <c r="L190" s="1" t="s">
        <v>26</v>
      </c>
      <c r="M190">
        <v>86.1</v>
      </c>
      <c r="N190">
        <v>315212.58</v>
      </c>
      <c r="O190">
        <v>3901351.13</v>
      </c>
      <c r="P190">
        <v>472762.66</v>
      </c>
      <c r="Q190" s="1" t="s">
        <v>848</v>
      </c>
      <c r="R190">
        <v>23</v>
      </c>
      <c r="S190" s="1" t="s">
        <v>849</v>
      </c>
      <c r="T190" t="b">
        <v>1</v>
      </c>
    </row>
    <row r="191" spans="1:20" x14ac:dyDescent="0.25">
      <c r="A191" s="1" t="s">
        <v>850</v>
      </c>
      <c r="B191" s="1" t="s">
        <v>111</v>
      </c>
      <c r="C191" s="1" t="s">
        <v>581</v>
      </c>
      <c r="D191" s="1" t="s">
        <v>410</v>
      </c>
      <c r="E191" s="1" t="s">
        <v>49</v>
      </c>
      <c r="F191" s="1" t="s">
        <v>50</v>
      </c>
      <c r="G191" s="2">
        <v>45310</v>
      </c>
      <c r="H191" s="2"/>
      <c r="I191">
        <v>25</v>
      </c>
      <c r="J191">
        <v>40</v>
      </c>
      <c r="K191">
        <v>15</v>
      </c>
      <c r="L191" s="1" t="s">
        <v>26</v>
      </c>
      <c r="M191">
        <v>323.2</v>
      </c>
      <c r="N191">
        <v>1315808.7</v>
      </c>
      <c r="O191">
        <v>3804660.87</v>
      </c>
      <c r="P191">
        <v>660519.41</v>
      </c>
      <c r="Q191" s="1" t="s">
        <v>851</v>
      </c>
      <c r="R191">
        <v>44</v>
      </c>
      <c r="S191" s="1" t="s">
        <v>852</v>
      </c>
      <c r="T191" t="b">
        <v>1</v>
      </c>
    </row>
    <row r="192" spans="1:20" x14ac:dyDescent="0.25">
      <c r="A192" s="1" t="s">
        <v>853</v>
      </c>
      <c r="B192" s="1" t="s">
        <v>122</v>
      </c>
      <c r="C192" s="1" t="s">
        <v>854</v>
      </c>
      <c r="D192" s="1" t="s">
        <v>263</v>
      </c>
      <c r="E192" s="1" t="s">
        <v>65</v>
      </c>
      <c r="F192" s="1" t="s">
        <v>25</v>
      </c>
      <c r="G192" s="2">
        <v>45297</v>
      </c>
      <c r="H192" s="2">
        <v>45305</v>
      </c>
      <c r="I192">
        <v>4</v>
      </c>
      <c r="J192">
        <v>8</v>
      </c>
      <c r="K192">
        <v>3.5</v>
      </c>
      <c r="L192" s="1" t="s">
        <v>58</v>
      </c>
      <c r="M192">
        <v>102.6</v>
      </c>
      <c r="N192">
        <v>223447</v>
      </c>
      <c r="O192">
        <v>973532.67</v>
      </c>
      <c r="P192">
        <v>205849.27</v>
      </c>
      <c r="Q192" s="1" t="s">
        <v>855</v>
      </c>
      <c r="R192">
        <v>54</v>
      </c>
      <c r="S192" s="1" t="s">
        <v>856</v>
      </c>
      <c r="T192" t="b">
        <v>0</v>
      </c>
    </row>
    <row r="193" spans="1:20" x14ac:dyDescent="0.25">
      <c r="A193" s="1" t="s">
        <v>857</v>
      </c>
      <c r="B193" s="1" t="s">
        <v>122</v>
      </c>
      <c r="C193" s="1" t="s">
        <v>858</v>
      </c>
      <c r="D193" s="1" t="s">
        <v>288</v>
      </c>
      <c r="E193" s="1" t="s">
        <v>33</v>
      </c>
      <c r="F193" s="1" t="s">
        <v>25</v>
      </c>
      <c r="G193" s="2">
        <v>44595</v>
      </c>
      <c r="H193" s="2">
        <v>44601</v>
      </c>
      <c r="I193">
        <v>12</v>
      </c>
      <c r="J193">
        <v>6</v>
      </c>
      <c r="K193">
        <v>0</v>
      </c>
      <c r="L193" s="1" t="s">
        <v>26</v>
      </c>
      <c r="M193">
        <v>48.3</v>
      </c>
      <c r="N193">
        <v>180967.17</v>
      </c>
      <c r="O193">
        <v>2033484.2</v>
      </c>
      <c r="P193">
        <v>268320.24</v>
      </c>
      <c r="Q193" s="1" t="s">
        <v>859</v>
      </c>
      <c r="R193">
        <v>57</v>
      </c>
      <c r="S193" s="1" t="s">
        <v>860</v>
      </c>
      <c r="T193" t="b">
        <v>1</v>
      </c>
    </row>
    <row r="194" spans="1:20" x14ac:dyDescent="0.25">
      <c r="A194" s="1" t="s">
        <v>861</v>
      </c>
      <c r="B194" s="1" t="s">
        <v>272</v>
      </c>
      <c r="C194" s="1" t="s">
        <v>71</v>
      </c>
      <c r="D194" s="1" t="s">
        <v>95</v>
      </c>
      <c r="E194" s="1" t="s">
        <v>33</v>
      </c>
      <c r="F194" s="1" t="s">
        <v>34</v>
      </c>
      <c r="G194" s="2">
        <v>44709</v>
      </c>
      <c r="H194" s="2"/>
      <c r="I194">
        <v>12</v>
      </c>
      <c r="J194">
        <v>8</v>
      </c>
      <c r="K194">
        <v>0</v>
      </c>
      <c r="L194" s="1" t="s">
        <v>26</v>
      </c>
      <c r="M194">
        <v>78.900000000000006</v>
      </c>
      <c r="N194">
        <v>146080.99</v>
      </c>
      <c r="O194">
        <v>4536822.5999999996</v>
      </c>
      <c r="P194">
        <v>757868.04</v>
      </c>
      <c r="Q194" s="1" t="s">
        <v>862</v>
      </c>
      <c r="R194">
        <v>23</v>
      </c>
      <c r="S194" s="1" t="s">
        <v>863</v>
      </c>
      <c r="T194" t="b">
        <v>0</v>
      </c>
    </row>
    <row r="195" spans="1:20" x14ac:dyDescent="0.25">
      <c r="A195" s="1" t="s">
        <v>864</v>
      </c>
      <c r="B195" s="1" t="s">
        <v>82</v>
      </c>
      <c r="C195" s="1" t="s">
        <v>865</v>
      </c>
      <c r="D195" s="1" t="s">
        <v>595</v>
      </c>
      <c r="E195" s="1" t="s">
        <v>65</v>
      </c>
      <c r="F195" s="1" t="s">
        <v>66</v>
      </c>
      <c r="G195" s="2">
        <v>44761</v>
      </c>
      <c r="H195" s="2"/>
      <c r="I195">
        <v>4</v>
      </c>
      <c r="J195">
        <v>3</v>
      </c>
      <c r="K195">
        <v>0</v>
      </c>
      <c r="L195" s="1" t="s">
        <v>26</v>
      </c>
      <c r="M195">
        <v>42.1</v>
      </c>
      <c r="N195">
        <v>83050.06</v>
      </c>
      <c r="O195">
        <v>4089177.27</v>
      </c>
      <c r="P195">
        <v>464861.09</v>
      </c>
      <c r="Q195" s="1" t="s">
        <v>866</v>
      </c>
      <c r="R195">
        <v>41</v>
      </c>
      <c r="S195" s="1" t="s">
        <v>867</v>
      </c>
      <c r="T195" t="b">
        <v>0</v>
      </c>
    </row>
    <row r="196" spans="1:20" x14ac:dyDescent="0.25">
      <c r="A196" s="1" t="s">
        <v>868</v>
      </c>
      <c r="B196" s="1" t="s">
        <v>82</v>
      </c>
      <c r="C196" s="1" t="s">
        <v>869</v>
      </c>
      <c r="D196" s="1" t="s">
        <v>84</v>
      </c>
      <c r="E196" s="1" t="s">
        <v>33</v>
      </c>
      <c r="F196" s="1" t="s">
        <v>34</v>
      </c>
      <c r="G196" s="2">
        <v>45226</v>
      </c>
      <c r="H196" s="2"/>
      <c r="I196">
        <v>12</v>
      </c>
      <c r="J196">
        <v>15</v>
      </c>
      <c r="K196">
        <v>3</v>
      </c>
      <c r="L196" s="1" t="s">
        <v>26</v>
      </c>
      <c r="M196">
        <v>158.30000000000001</v>
      </c>
      <c r="N196">
        <v>422390.73</v>
      </c>
      <c r="O196">
        <v>4823815.03</v>
      </c>
      <c r="P196">
        <v>636486.39</v>
      </c>
      <c r="Q196" s="1" t="s">
        <v>870</v>
      </c>
      <c r="R196">
        <v>29</v>
      </c>
      <c r="S196" s="1" t="s">
        <v>871</v>
      </c>
      <c r="T196" t="b">
        <v>0</v>
      </c>
    </row>
    <row r="197" spans="1:20" x14ac:dyDescent="0.25">
      <c r="A197" s="1" t="s">
        <v>872</v>
      </c>
      <c r="B197" s="1" t="s">
        <v>128</v>
      </c>
      <c r="C197" s="1" t="s">
        <v>873</v>
      </c>
      <c r="D197" s="1" t="s">
        <v>505</v>
      </c>
      <c r="E197" s="1" t="s">
        <v>41</v>
      </c>
      <c r="F197" s="1" t="s">
        <v>25</v>
      </c>
      <c r="G197" s="2">
        <v>44906</v>
      </c>
      <c r="H197" s="2">
        <v>44917</v>
      </c>
      <c r="I197">
        <v>9</v>
      </c>
      <c r="J197">
        <v>11</v>
      </c>
      <c r="K197">
        <v>2</v>
      </c>
      <c r="L197" s="1" t="s">
        <v>26</v>
      </c>
      <c r="M197">
        <v>65.8</v>
      </c>
      <c r="N197">
        <v>161725.9</v>
      </c>
      <c r="O197">
        <v>2914109.15</v>
      </c>
      <c r="P197">
        <v>348606.19</v>
      </c>
      <c r="Q197" s="1" t="s">
        <v>874</v>
      </c>
      <c r="R197">
        <v>76</v>
      </c>
      <c r="S197" s="1" t="s">
        <v>875</v>
      </c>
      <c r="T197" t="b">
        <v>0</v>
      </c>
    </row>
    <row r="198" spans="1:20" x14ac:dyDescent="0.25">
      <c r="A198" s="1" t="s">
        <v>876</v>
      </c>
      <c r="B198" s="1" t="s">
        <v>451</v>
      </c>
      <c r="C198" s="1" t="s">
        <v>877</v>
      </c>
      <c r="D198" s="1" t="s">
        <v>372</v>
      </c>
      <c r="E198" s="1" t="s">
        <v>33</v>
      </c>
      <c r="F198" s="1" t="s">
        <v>25</v>
      </c>
      <c r="G198" s="2">
        <v>44727</v>
      </c>
      <c r="H198" s="2">
        <v>44735</v>
      </c>
      <c r="I198">
        <v>12</v>
      </c>
      <c r="J198">
        <v>8</v>
      </c>
      <c r="K198">
        <v>0</v>
      </c>
      <c r="L198" s="1" t="s">
        <v>26</v>
      </c>
      <c r="M198">
        <v>120.9</v>
      </c>
      <c r="N198">
        <v>448321.55</v>
      </c>
      <c r="O198">
        <v>2972715.31</v>
      </c>
      <c r="P198">
        <v>439169.29</v>
      </c>
      <c r="Q198" s="1" t="s">
        <v>878</v>
      </c>
      <c r="R198">
        <v>29</v>
      </c>
      <c r="S198" s="1" t="s">
        <v>879</v>
      </c>
      <c r="T198" t="b">
        <v>0</v>
      </c>
    </row>
    <row r="199" spans="1:20" x14ac:dyDescent="0.25">
      <c r="A199" s="1" t="s">
        <v>880</v>
      </c>
      <c r="B199" s="1" t="s">
        <v>328</v>
      </c>
      <c r="C199" s="1" t="s">
        <v>267</v>
      </c>
      <c r="D199" s="1" t="s">
        <v>113</v>
      </c>
      <c r="E199" s="1" t="s">
        <v>65</v>
      </c>
      <c r="F199" s="1" t="s">
        <v>25</v>
      </c>
      <c r="G199" s="2">
        <v>45633</v>
      </c>
      <c r="H199" s="2">
        <v>45637</v>
      </c>
      <c r="I199">
        <v>4</v>
      </c>
      <c r="J199">
        <v>4</v>
      </c>
      <c r="K199">
        <v>0</v>
      </c>
      <c r="L199" s="1" t="s">
        <v>26</v>
      </c>
      <c r="M199">
        <v>61</v>
      </c>
      <c r="N199">
        <v>210355.61</v>
      </c>
      <c r="O199">
        <v>197729.85</v>
      </c>
      <c r="P199">
        <v>48154.1</v>
      </c>
      <c r="Q199" s="1" t="s">
        <v>881</v>
      </c>
      <c r="R199">
        <v>20</v>
      </c>
      <c r="S199" s="1" t="s">
        <v>882</v>
      </c>
      <c r="T199" t="b">
        <v>1</v>
      </c>
    </row>
    <row r="200" spans="1:20" x14ac:dyDescent="0.25">
      <c r="A200" s="1" t="s">
        <v>883</v>
      </c>
      <c r="B200" s="1" t="s">
        <v>76</v>
      </c>
      <c r="C200" s="1" t="s">
        <v>884</v>
      </c>
      <c r="D200" s="1" t="s">
        <v>107</v>
      </c>
      <c r="E200" s="1" t="s">
        <v>33</v>
      </c>
      <c r="F200" s="1" t="s">
        <v>66</v>
      </c>
      <c r="G200" s="2">
        <v>44955</v>
      </c>
      <c r="H200" s="2"/>
      <c r="I200">
        <v>12</v>
      </c>
      <c r="J200">
        <v>7</v>
      </c>
      <c r="K200">
        <v>0</v>
      </c>
      <c r="L200" s="1" t="s">
        <v>26</v>
      </c>
      <c r="M200">
        <v>80</v>
      </c>
      <c r="N200">
        <v>330349.90999999997</v>
      </c>
      <c r="O200">
        <v>4934042.79</v>
      </c>
      <c r="P200">
        <v>793628.66</v>
      </c>
      <c r="Q200" s="1" t="s">
        <v>885</v>
      </c>
      <c r="R200">
        <v>32</v>
      </c>
      <c r="S200" s="1" t="s">
        <v>886</v>
      </c>
      <c r="T200" t="b">
        <v>1</v>
      </c>
    </row>
    <row r="201" spans="1:20" x14ac:dyDescent="0.25">
      <c r="A201" s="1" t="s">
        <v>887</v>
      </c>
      <c r="B201" s="1" t="s">
        <v>242</v>
      </c>
      <c r="C201" s="1" t="s">
        <v>888</v>
      </c>
      <c r="D201" s="1" t="s">
        <v>320</v>
      </c>
      <c r="E201" s="1" t="s">
        <v>41</v>
      </c>
      <c r="F201" s="1" t="s">
        <v>50</v>
      </c>
      <c r="G201" s="2">
        <v>44867</v>
      </c>
      <c r="H201" s="2"/>
      <c r="I201">
        <v>9</v>
      </c>
      <c r="J201">
        <v>10</v>
      </c>
      <c r="K201">
        <v>1</v>
      </c>
      <c r="L201" s="1" t="s">
        <v>26</v>
      </c>
      <c r="M201">
        <v>99.7</v>
      </c>
      <c r="N201">
        <v>222465.68</v>
      </c>
      <c r="O201">
        <v>4614138.47</v>
      </c>
      <c r="P201">
        <v>509791.43</v>
      </c>
      <c r="Q201" s="1" t="s">
        <v>889</v>
      </c>
      <c r="R201">
        <v>71</v>
      </c>
      <c r="S201" s="1" t="s">
        <v>890</v>
      </c>
      <c r="T201" t="b">
        <v>0</v>
      </c>
    </row>
    <row r="202" spans="1:20" x14ac:dyDescent="0.25">
      <c r="A202" s="1" t="s">
        <v>891</v>
      </c>
      <c r="B202" s="1" t="s">
        <v>169</v>
      </c>
      <c r="C202" s="1" t="s">
        <v>892</v>
      </c>
      <c r="D202" s="1" t="s">
        <v>758</v>
      </c>
      <c r="E202" s="1" t="s">
        <v>33</v>
      </c>
      <c r="F202" s="1" t="s">
        <v>34</v>
      </c>
      <c r="G202" s="2">
        <v>44650</v>
      </c>
      <c r="H202" s="2"/>
      <c r="I202">
        <v>12</v>
      </c>
      <c r="J202">
        <v>6</v>
      </c>
      <c r="K202">
        <v>0</v>
      </c>
      <c r="L202" s="1" t="s">
        <v>26</v>
      </c>
      <c r="M202">
        <v>90.6</v>
      </c>
      <c r="N202">
        <v>206105.63</v>
      </c>
      <c r="O202">
        <v>3929605.17</v>
      </c>
      <c r="P202">
        <v>614178.44999999995</v>
      </c>
      <c r="Q202" s="1" t="s">
        <v>893</v>
      </c>
      <c r="R202">
        <v>46</v>
      </c>
      <c r="S202" s="1" t="s">
        <v>894</v>
      </c>
      <c r="T202" t="b">
        <v>1</v>
      </c>
    </row>
    <row r="203" spans="1:20" x14ac:dyDescent="0.25">
      <c r="A203" s="1" t="s">
        <v>895</v>
      </c>
      <c r="B203" s="1" t="s">
        <v>451</v>
      </c>
      <c r="C203" s="1" t="s">
        <v>896</v>
      </c>
      <c r="D203" s="1" t="s">
        <v>263</v>
      </c>
      <c r="E203" s="1" t="s">
        <v>57</v>
      </c>
      <c r="F203" s="1" t="s">
        <v>50</v>
      </c>
      <c r="G203" s="2">
        <v>45229</v>
      </c>
      <c r="H203" s="2"/>
      <c r="I203">
        <v>40</v>
      </c>
      <c r="J203">
        <v>27</v>
      </c>
      <c r="K203">
        <v>0</v>
      </c>
      <c r="L203" s="1" t="s">
        <v>26</v>
      </c>
      <c r="M203">
        <v>213.7</v>
      </c>
      <c r="N203">
        <v>441242.02</v>
      </c>
      <c r="O203">
        <v>3691361.85</v>
      </c>
      <c r="P203">
        <v>772749.94</v>
      </c>
      <c r="Q203" s="1" t="s">
        <v>897</v>
      </c>
      <c r="R203">
        <v>23</v>
      </c>
      <c r="S203" s="1" t="s">
        <v>898</v>
      </c>
      <c r="T203" t="b">
        <v>0</v>
      </c>
    </row>
    <row r="204" spans="1:20" x14ac:dyDescent="0.25">
      <c r="A204" s="1" t="s">
        <v>899</v>
      </c>
      <c r="B204" s="1" t="s">
        <v>70</v>
      </c>
      <c r="C204" s="1" t="s">
        <v>721</v>
      </c>
      <c r="D204" s="1" t="s">
        <v>410</v>
      </c>
      <c r="E204" s="1" t="s">
        <v>57</v>
      </c>
      <c r="F204" s="1" t="s">
        <v>66</v>
      </c>
      <c r="G204" s="2">
        <v>44858</v>
      </c>
      <c r="H204" s="2"/>
      <c r="I204">
        <v>40</v>
      </c>
      <c r="J204">
        <v>49</v>
      </c>
      <c r="K204">
        <v>9</v>
      </c>
      <c r="L204" s="1" t="s">
        <v>330</v>
      </c>
      <c r="M204">
        <v>300.7</v>
      </c>
      <c r="N204">
        <v>844488.8</v>
      </c>
      <c r="O204">
        <v>2294123.56</v>
      </c>
      <c r="P204">
        <v>374798.94</v>
      </c>
      <c r="Q204" s="1" t="s">
        <v>900</v>
      </c>
      <c r="R204">
        <v>56</v>
      </c>
      <c r="S204" s="1" t="s">
        <v>901</v>
      </c>
      <c r="T204" t="b">
        <v>1</v>
      </c>
    </row>
    <row r="205" spans="1:20" x14ac:dyDescent="0.25">
      <c r="A205" s="1" t="s">
        <v>902</v>
      </c>
      <c r="B205" s="1" t="s">
        <v>253</v>
      </c>
      <c r="C205" s="1" t="s">
        <v>903</v>
      </c>
      <c r="D205" s="1" t="s">
        <v>420</v>
      </c>
      <c r="E205" s="1" t="s">
        <v>57</v>
      </c>
      <c r="F205" s="1" t="s">
        <v>25</v>
      </c>
      <c r="G205" s="2">
        <v>45136</v>
      </c>
      <c r="H205" s="2">
        <v>45185</v>
      </c>
      <c r="I205">
        <v>40</v>
      </c>
      <c r="J205">
        <v>49</v>
      </c>
      <c r="K205">
        <v>9</v>
      </c>
      <c r="L205" s="1" t="s">
        <v>101</v>
      </c>
      <c r="M205">
        <v>465.6</v>
      </c>
      <c r="N205">
        <v>1053300.6000000001</v>
      </c>
      <c r="O205">
        <v>1724444.28</v>
      </c>
      <c r="P205">
        <v>523996.29</v>
      </c>
      <c r="Q205" s="1" t="s">
        <v>904</v>
      </c>
      <c r="R205">
        <v>55</v>
      </c>
      <c r="S205" s="1" t="s">
        <v>905</v>
      </c>
      <c r="T205" t="b">
        <v>1</v>
      </c>
    </row>
    <row r="206" spans="1:20" x14ac:dyDescent="0.25">
      <c r="A206" s="1" t="s">
        <v>906</v>
      </c>
      <c r="B206" s="1" t="s">
        <v>629</v>
      </c>
      <c r="C206" s="1" t="s">
        <v>907</v>
      </c>
      <c r="D206" s="1" t="s">
        <v>758</v>
      </c>
      <c r="E206" s="1" t="s">
        <v>65</v>
      </c>
      <c r="F206" s="1" t="s">
        <v>50</v>
      </c>
      <c r="G206" s="2">
        <v>44739</v>
      </c>
      <c r="H206" s="2"/>
      <c r="I206">
        <v>4</v>
      </c>
      <c r="J206">
        <v>8</v>
      </c>
      <c r="K206">
        <v>3.5</v>
      </c>
      <c r="L206" s="1" t="s">
        <v>42</v>
      </c>
      <c r="M206">
        <v>114.8</v>
      </c>
      <c r="N206">
        <v>273728.55</v>
      </c>
      <c r="O206">
        <v>2372710.0699999998</v>
      </c>
      <c r="P206">
        <v>387111.23</v>
      </c>
      <c r="Q206" s="1" t="s">
        <v>908</v>
      </c>
      <c r="R206">
        <v>47</v>
      </c>
      <c r="S206" s="1" t="s">
        <v>909</v>
      </c>
      <c r="T206" t="b">
        <v>1</v>
      </c>
    </row>
    <row r="207" spans="1:20" x14ac:dyDescent="0.25">
      <c r="A207" s="1" t="s">
        <v>910</v>
      </c>
      <c r="B207" s="1" t="s">
        <v>451</v>
      </c>
      <c r="C207" s="1" t="s">
        <v>31</v>
      </c>
      <c r="D207" s="1" t="s">
        <v>230</v>
      </c>
      <c r="E207" s="1" t="s">
        <v>49</v>
      </c>
      <c r="F207" s="1" t="s">
        <v>25</v>
      </c>
      <c r="G207" s="2">
        <v>44867</v>
      </c>
      <c r="H207" s="2">
        <v>44890</v>
      </c>
      <c r="I207">
        <v>25</v>
      </c>
      <c r="J207">
        <v>23</v>
      </c>
      <c r="K207">
        <v>0</v>
      </c>
      <c r="L207" s="1" t="s">
        <v>26</v>
      </c>
      <c r="M207">
        <v>362.5</v>
      </c>
      <c r="N207">
        <v>691707.43</v>
      </c>
      <c r="O207">
        <v>2358556.63</v>
      </c>
      <c r="P207">
        <v>539471.65</v>
      </c>
      <c r="Q207" s="1" t="s">
        <v>911</v>
      </c>
      <c r="R207">
        <v>51</v>
      </c>
      <c r="S207" s="1" t="s">
        <v>912</v>
      </c>
      <c r="T207" t="b">
        <v>1</v>
      </c>
    </row>
    <row r="208" spans="1:20" x14ac:dyDescent="0.25">
      <c r="A208" s="1" t="s">
        <v>913</v>
      </c>
      <c r="B208" s="1" t="s">
        <v>54</v>
      </c>
      <c r="C208" s="1" t="s">
        <v>914</v>
      </c>
      <c r="D208" s="1" t="s">
        <v>187</v>
      </c>
      <c r="E208" s="1" t="s">
        <v>49</v>
      </c>
      <c r="F208" s="1" t="s">
        <v>50</v>
      </c>
      <c r="G208" s="2">
        <v>44732</v>
      </c>
      <c r="H208" s="2"/>
      <c r="I208">
        <v>25</v>
      </c>
      <c r="J208">
        <v>10</v>
      </c>
      <c r="K208">
        <v>0</v>
      </c>
      <c r="L208" s="1" t="s">
        <v>26</v>
      </c>
      <c r="M208">
        <v>123.2</v>
      </c>
      <c r="N208">
        <v>357017.44</v>
      </c>
      <c r="O208">
        <v>1097852.3600000001</v>
      </c>
      <c r="P208">
        <v>197630.34</v>
      </c>
      <c r="Q208" s="1" t="s">
        <v>915</v>
      </c>
      <c r="R208">
        <v>39</v>
      </c>
      <c r="S208" s="1" t="s">
        <v>916</v>
      </c>
      <c r="T208" t="b">
        <v>1</v>
      </c>
    </row>
    <row r="209" spans="1:20" x14ac:dyDescent="0.25">
      <c r="A209" s="1" t="s">
        <v>917</v>
      </c>
      <c r="B209" s="1" t="s">
        <v>348</v>
      </c>
      <c r="C209" s="1" t="s">
        <v>918</v>
      </c>
      <c r="D209" s="1" t="s">
        <v>405</v>
      </c>
      <c r="E209" s="1" t="s">
        <v>49</v>
      </c>
      <c r="F209" s="1" t="s">
        <v>34</v>
      </c>
      <c r="G209" s="2">
        <v>45502</v>
      </c>
      <c r="H209" s="2"/>
      <c r="I209">
        <v>25</v>
      </c>
      <c r="J209">
        <v>28</v>
      </c>
      <c r="K209">
        <v>3</v>
      </c>
      <c r="L209" s="1" t="s">
        <v>26</v>
      </c>
      <c r="M209">
        <v>120.2</v>
      </c>
      <c r="N209">
        <v>363974.03</v>
      </c>
      <c r="O209">
        <v>3861456.69</v>
      </c>
      <c r="P209">
        <v>791929.82</v>
      </c>
      <c r="Q209" s="1" t="s">
        <v>919</v>
      </c>
      <c r="R209">
        <v>60</v>
      </c>
      <c r="S209" s="1" t="s">
        <v>920</v>
      </c>
      <c r="T209" t="b">
        <v>1</v>
      </c>
    </row>
    <row r="210" spans="1:20" x14ac:dyDescent="0.25">
      <c r="A210" s="1" t="s">
        <v>921</v>
      </c>
      <c r="B210" s="1" t="s">
        <v>76</v>
      </c>
      <c r="C210" s="1" t="s">
        <v>922</v>
      </c>
      <c r="D210" s="1" t="s">
        <v>320</v>
      </c>
      <c r="E210" s="1" t="s">
        <v>65</v>
      </c>
      <c r="F210" s="1" t="s">
        <v>34</v>
      </c>
      <c r="G210" s="2">
        <v>44706</v>
      </c>
      <c r="H210" s="2"/>
      <c r="I210">
        <v>4</v>
      </c>
      <c r="J210">
        <v>6</v>
      </c>
      <c r="K210">
        <v>1.5</v>
      </c>
      <c r="L210" s="1" t="s">
        <v>26</v>
      </c>
      <c r="M210">
        <v>62.2</v>
      </c>
      <c r="N210">
        <v>161769.32</v>
      </c>
      <c r="O210">
        <v>3766911.17</v>
      </c>
      <c r="P210">
        <v>667111.55000000005</v>
      </c>
      <c r="Q210" s="1" t="s">
        <v>923</v>
      </c>
      <c r="R210">
        <v>76</v>
      </c>
      <c r="S210" s="1" t="s">
        <v>924</v>
      </c>
      <c r="T210" t="b">
        <v>0</v>
      </c>
    </row>
    <row r="211" spans="1:20" x14ac:dyDescent="0.25">
      <c r="A211" s="1" t="s">
        <v>925</v>
      </c>
      <c r="B211" s="1" t="s">
        <v>99</v>
      </c>
      <c r="C211" s="1" t="s">
        <v>614</v>
      </c>
      <c r="D211" s="1" t="s">
        <v>202</v>
      </c>
      <c r="E211" s="1" t="s">
        <v>49</v>
      </c>
      <c r="F211" s="1" t="s">
        <v>34</v>
      </c>
      <c r="G211" s="2">
        <v>44674</v>
      </c>
      <c r="H211" s="2"/>
      <c r="I211">
        <v>25</v>
      </c>
      <c r="J211">
        <v>21</v>
      </c>
      <c r="K211">
        <v>0</v>
      </c>
      <c r="L211" s="1" t="s">
        <v>26</v>
      </c>
      <c r="M211">
        <v>307.8</v>
      </c>
      <c r="N211">
        <v>646259.86</v>
      </c>
      <c r="O211">
        <v>1834298.39</v>
      </c>
      <c r="P211">
        <v>401635.48</v>
      </c>
      <c r="Q211" s="1" t="s">
        <v>926</v>
      </c>
      <c r="R211">
        <v>65</v>
      </c>
      <c r="S211" s="1" t="s">
        <v>927</v>
      </c>
      <c r="T211" t="b">
        <v>1</v>
      </c>
    </row>
    <row r="212" spans="1:20" x14ac:dyDescent="0.25">
      <c r="A212" s="1" t="s">
        <v>928</v>
      </c>
      <c r="B212" s="1" t="s">
        <v>93</v>
      </c>
      <c r="C212" s="1" t="s">
        <v>504</v>
      </c>
      <c r="D212" s="1" t="s">
        <v>622</v>
      </c>
      <c r="E212" s="1" t="s">
        <v>24</v>
      </c>
      <c r="F212" s="1" t="s">
        <v>25</v>
      </c>
      <c r="G212" s="2">
        <v>44845</v>
      </c>
      <c r="H212" s="2">
        <v>44850</v>
      </c>
      <c r="I212">
        <v>3</v>
      </c>
      <c r="J212">
        <v>5</v>
      </c>
      <c r="K212">
        <v>2</v>
      </c>
      <c r="L212" s="1" t="s">
        <v>26</v>
      </c>
      <c r="M212">
        <v>26.8</v>
      </c>
      <c r="N212">
        <v>82863.789999999994</v>
      </c>
      <c r="O212">
        <v>4696348.18</v>
      </c>
      <c r="P212">
        <v>755172.55</v>
      </c>
      <c r="Q212" s="1" t="s">
        <v>929</v>
      </c>
      <c r="R212">
        <v>77</v>
      </c>
      <c r="S212" s="1" t="s">
        <v>930</v>
      </c>
      <c r="T212" t="b">
        <v>0</v>
      </c>
    </row>
    <row r="213" spans="1:20" x14ac:dyDescent="0.25">
      <c r="A213" s="1" t="s">
        <v>931</v>
      </c>
      <c r="B213" s="1" t="s">
        <v>122</v>
      </c>
      <c r="C213" s="1" t="s">
        <v>932</v>
      </c>
      <c r="D213" s="1" t="s">
        <v>713</v>
      </c>
      <c r="E213" s="1" t="s">
        <v>41</v>
      </c>
      <c r="F213" s="1" t="s">
        <v>25</v>
      </c>
      <c r="G213" s="2">
        <v>45593</v>
      </c>
      <c r="H213" s="2">
        <v>45600</v>
      </c>
      <c r="I213">
        <v>9</v>
      </c>
      <c r="J213">
        <v>7</v>
      </c>
      <c r="K213">
        <v>0</v>
      </c>
      <c r="L213" s="1" t="s">
        <v>26</v>
      </c>
      <c r="M213">
        <v>32.6</v>
      </c>
      <c r="N213">
        <v>91495.07</v>
      </c>
      <c r="O213">
        <v>2267529.14</v>
      </c>
      <c r="P213">
        <v>354195.71</v>
      </c>
      <c r="Q213" s="1" t="s">
        <v>933</v>
      </c>
      <c r="R213">
        <v>38</v>
      </c>
      <c r="S213" s="1" t="s">
        <v>934</v>
      </c>
      <c r="T213" t="b">
        <v>0</v>
      </c>
    </row>
    <row r="214" spans="1:20" x14ac:dyDescent="0.25">
      <c r="A214" s="1" t="s">
        <v>935</v>
      </c>
      <c r="B214" s="1" t="s">
        <v>163</v>
      </c>
      <c r="C214" s="1" t="s">
        <v>936</v>
      </c>
      <c r="D214" s="1" t="s">
        <v>686</v>
      </c>
      <c r="E214" s="1" t="s">
        <v>41</v>
      </c>
      <c r="F214" s="1" t="s">
        <v>34</v>
      </c>
      <c r="G214" s="2">
        <v>45315</v>
      </c>
      <c r="H214" s="2"/>
      <c r="I214">
        <v>9</v>
      </c>
      <c r="J214">
        <v>15</v>
      </c>
      <c r="K214">
        <v>6</v>
      </c>
      <c r="L214" s="1" t="s">
        <v>193</v>
      </c>
      <c r="M214">
        <v>236.1</v>
      </c>
      <c r="N214">
        <v>987949.09</v>
      </c>
      <c r="O214">
        <v>949884.38</v>
      </c>
      <c r="P214">
        <v>365083.75</v>
      </c>
      <c r="Q214" s="1" t="s">
        <v>937</v>
      </c>
      <c r="R214">
        <v>30</v>
      </c>
      <c r="S214" s="1" t="s">
        <v>938</v>
      </c>
      <c r="T214" t="b">
        <v>0</v>
      </c>
    </row>
    <row r="215" spans="1:20" x14ac:dyDescent="0.25">
      <c r="A215" s="1" t="s">
        <v>939</v>
      </c>
      <c r="B215" s="1" t="s">
        <v>70</v>
      </c>
      <c r="C215" s="1" t="s">
        <v>800</v>
      </c>
      <c r="D215" s="1" t="s">
        <v>622</v>
      </c>
      <c r="E215" s="1" t="s">
        <v>41</v>
      </c>
      <c r="F215" s="1" t="s">
        <v>25</v>
      </c>
      <c r="G215" s="2">
        <v>44791</v>
      </c>
      <c r="H215" s="2">
        <v>44801</v>
      </c>
      <c r="I215">
        <v>9</v>
      </c>
      <c r="J215">
        <v>10</v>
      </c>
      <c r="K215">
        <v>1</v>
      </c>
      <c r="L215" s="1" t="s">
        <v>26</v>
      </c>
      <c r="M215">
        <v>58.1</v>
      </c>
      <c r="N215">
        <v>136621.66</v>
      </c>
      <c r="O215">
        <v>4761002.79</v>
      </c>
      <c r="P215">
        <v>500875.29</v>
      </c>
      <c r="Q215" s="1" t="s">
        <v>940</v>
      </c>
      <c r="R215">
        <v>46</v>
      </c>
      <c r="S215" s="1" t="s">
        <v>941</v>
      </c>
      <c r="T215" t="b">
        <v>0</v>
      </c>
    </row>
    <row r="216" spans="1:20" x14ac:dyDescent="0.25">
      <c r="A216" s="1" t="s">
        <v>942</v>
      </c>
      <c r="B216" s="1" t="s">
        <v>545</v>
      </c>
      <c r="C216" s="1" t="s">
        <v>39</v>
      </c>
      <c r="D216" s="1" t="s">
        <v>130</v>
      </c>
      <c r="E216" s="1" t="s">
        <v>24</v>
      </c>
      <c r="F216" s="1" t="s">
        <v>25</v>
      </c>
      <c r="G216" s="2">
        <v>44605</v>
      </c>
      <c r="H216" s="2">
        <v>44606</v>
      </c>
      <c r="I216">
        <v>3</v>
      </c>
      <c r="J216">
        <v>1</v>
      </c>
      <c r="K216">
        <v>0</v>
      </c>
      <c r="L216" s="1" t="s">
        <v>26</v>
      </c>
      <c r="M216">
        <v>4.3</v>
      </c>
      <c r="N216">
        <v>17051.09</v>
      </c>
      <c r="O216">
        <v>4176388.12</v>
      </c>
      <c r="P216">
        <v>637243.61</v>
      </c>
      <c r="Q216" s="1" t="s">
        <v>943</v>
      </c>
      <c r="R216">
        <v>62</v>
      </c>
      <c r="S216" s="1" t="s">
        <v>944</v>
      </c>
      <c r="T216" t="b">
        <v>0</v>
      </c>
    </row>
    <row r="217" spans="1:20" x14ac:dyDescent="0.25">
      <c r="A217" s="1" t="s">
        <v>945</v>
      </c>
      <c r="B217" s="1" t="s">
        <v>62</v>
      </c>
      <c r="C217" s="1" t="s">
        <v>946</v>
      </c>
      <c r="D217" s="1" t="s">
        <v>622</v>
      </c>
      <c r="E217" s="1" t="s">
        <v>24</v>
      </c>
      <c r="F217" s="1" t="s">
        <v>66</v>
      </c>
      <c r="G217" s="2">
        <v>45499</v>
      </c>
      <c r="H217" s="2"/>
      <c r="I217">
        <v>3</v>
      </c>
      <c r="J217">
        <v>2</v>
      </c>
      <c r="K217">
        <v>0</v>
      </c>
      <c r="L217" s="1" t="s">
        <v>26</v>
      </c>
      <c r="M217">
        <v>29.6</v>
      </c>
      <c r="N217">
        <v>77775.08</v>
      </c>
      <c r="O217">
        <v>3948445.85</v>
      </c>
      <c r="P217">
        <v>493929.51</v>
      </c>
      <c r="Q217" s="1" t="s">
        <v>947</v>
      </c>
      <c r="R217">
        <v>38</v>
      </c>
      <c r="S217" s="1" t="s">
        <v>948</v>
      </c>
      <c r="T217" t="b">
        <v>0</v>
      </c>
    </row>
    <row r="218" spans="1:20" x14ac:dyDescent="0.25">
      <c r="A218" s="1" t="s">
        <v>949</v>
      </c>
      <c r="B218" s="1" t="s">
        <v>629</v>
      </c>
      <c r="C218" s="1" t="s">
        <v>950</v>
      </c>
      <c r="D218" s="1" t="s">
        <v>582</v>
      </c>
      <c r="E218" s="1" t="s">
        <v>49</v>
      </c>
      <c r="F218" s="1" t="s">
        <v>25</v>
      </c>
      <c r="G218" s="2">
        <v>44902</v>
      </c>
      <c r="H218" s="2">
        <v>44934</v>
      </c>
      <c r="I218">
        <v>25</v>
      </c>
      <c r="J218">
        <v>32</v>
      </c>
      <c r="K218">
        <v>7</v>
      </c>
      <c r="L218" s="1" t="s">
        <v>193</v>
      </c>
      <c r="M218">
        <v>333.6</v>
      </c>
      <c r="N218">
        <v>764663.7</v>
      </c>
      <c r="O218">
        <v>885043.13</v>
      </c>
      <c r="P218">
        <v>281788.26</v>
      </c>
      <c r="Q218" s="1" t="s">
        <v>951</v>
      </c>
      <c r="R218">
        <v>40</v>
      </c>
      <c r="S218" s="1" t="s">
        <v>952</v>
      </c>
      <c r="T218" t="b">
        <v>1</v>
      </c>
    </row>
    <row r="219" spans="1:20" x14ac:dyDescent="0.25">
      <c r="A219" s="1" t="s">
        <v>953</v>
      </c>
      <c r="B219" s="1" t="s">
        <v>174</v>
      </c>
      <c r="C219" s="1" t="s">
        <v>94</v>
      </c>
      <c r="D219" s="1" t="s">
        <v>78</v>
      </c>
      <c r="E219" s="1" t="s">
        <v>24</v>
      </c>
      <c r="F219" s="1" t="s">
        <v>25</v>
      </c>
      <c r="G219" s="2">
        <v>45464</v>
      </c>
      <c r="H219" s="2">
        <v>45466</v>
      </c>
      <c r="I219">
        <v>3</v>
      </c>
      <c r="J219">
        <v>2</v>
      </c>
      <c r="K219">
        <v>0</v>
      </c>
      <c r="L219" s="1" t="s">
        <v>26</v>
      </c>
      <c r="M219">
        <v>12.9</v>
      </c>
      <c r="N219">
        <v>47849.49</v>
      </c>
      <c r="O219">
        <v>3331110.88</v>
      </c>
      <c r="P219">
        <v>668365.99</v>
      </c>
      <c r="Q219" s="1" t="s">
        <v>954</v>
      </c>
      <c r="R219">
        <v>27</v>
      </c>
      <c r="S219" s="1" t="s">
        <v>955</v>
      </c>
      <c r="T219" t="b">
        <v>1</v>
      </c>
    </row>
    <row r="220" spans="1:20" x14ac:dyDescent="0.25">
      <c r="A220" s="1" t="s">
        <v>956</v>
      </c>
      <c r="B220" s="1" t="s">
        <v>163</v>
      </c>
      <c r="C220" s="1" t="s">
        <v>800</v>
      </c>
      <c r="D220" s="1" t="s">
        <v>713</v>
      </c>
      <c r="E220" s="1" t="s">
        <v>65</v>
      </c>
      <c r="F220" s="1" t="s">
        <v>50</v>
      </c>
      <c r="G220" s="2">
        <v>45390</v>
      </c>
      <c r="H220" s="2"/>
      <c r="I220">
        <v>4</v>
      </c>
      <c r="J220">
        <v>3</v>
      </c>
      <c r="K220">
        <v>0</v>
      </c>
      <c r="L220" s="1" t="s">
        <v>26</v>
      </c>
      <c r="M220">
        <v>46.1</v>
      </c>
      <c r="N220">
        <v>198464.67</v>
      </c>
      <c r="O220">
        <v>788705.8</v>
      </c>
      <c r="P220">
        <v>194487.41</v>
      </c>
      <c r="Q220" s="1" t="s">
        <v>957</v>
      </c>
      <c r="R220">
        <v>38</v>
      </c>
      <c r="S220" s="1" t="s">
        <v>958</v>
      </c>
      <c r="T220" t="b">
        <v>1</v>
      </c>
    </row>
    <row r="221" spans="1:20" x14ac:dyDescent="0.25">
      <c r="A221" s="1" t="s">
        <v>959</v>
      </c>
      <c r="B221" s="1" t="s">
        <v>93</v>
      </c>
      <c r="C221" s="1" t="s">
        <v>590</v>
      </c>
      <c r="D221" s="1" t="s">
        <v>622</v>
      </c>
      <c r="E221" s="1" t="s">
        <v>24</v>
      </c>
      <c r="F221" s="1" t="s">
        <v>34</v>
      </c>
      <c r="G221" s="2">
        <v>45467</v>
      </c>
      <c r="H221" s="2"/>
      <c r="I221">
        <v>3</v>
      </c>
      <c r="J221">
        <v>1</v>
      </c>
      <c r="K221">
        <v>0</v>
      </c>
      <c r="L221" s="1" t="s">
        <v>26</v>
      </c>
      <c r="M221">
        <v>12.8</v>
      </c>
      <c r="N221">
        <v>54150.03</v>
      </c>
      <c r="O221">
        <v>705722.23</v>
      </c>
      <c r="P221">
        <v>117853.15</v>
      </c>
      <c r="Q221" s="1" t="s">
        <v>960</v>
      </c>
      <c r="R221">
        <v>25</v>
      </c>
      <c r="S221" s="1" t="s">
        <v>961</v>
      </c>
      <c r="T221" t="b">
        <v>0</v>
      </c>
    </row>
    <row r="222" spans="1:20" x14ac:dyDescent="0.25">
      <c r="A222" s="1" t="s">
        <v>962</v>
      </c>
      <c r="B222" s="1" t="s">
        <v>169</v>
      </c>
      <c r="C222" s="1" t="s">
        <v>963</v>
      </c>
      <c r="D222" s="1" t="s">
        <v>726</v>
      </c>
      <c r="E222" s="1" t="s">
        <v>49</v>
      </c>
      <c r="F222" s="1" t="s">
        <v>34</v>
      </c>
      <c r="G222" s="2">
        <v>44674</v>
      </c>
      <c r="H222" s="2"/>
      <c r="I222">
        <v>25</v>
      </c>
      <c r="J222">
        <v>16</v>
      </c>
      <c r="K222">
        <v>0</v>
      </c>
      <c r="L222" s="1" t="s">
        <v>26</v>
      </c>
      <c r="M222">
        <v>176</v>
      </c>
      <c r="N222">
        <v>422362.76</v>
      </c>
      <c r="O222">
        <v>4678968.7300000004</v>
      </c>
      <c r="P222">
        <v>651913.01</v>
      </c>
      <c r="Q222" s="1" t="s">
        <v>656</v>
      </c>
      <c r="R222">
        <v>45</v>
      </c>
      <c r="S222" s="1" t="s">
        <v>964</v>
      </c>
      <c r="T222" t="b">
        <v>1</v>
      </c>
    </row>
    <row r="223" spans="1:20" x14ac:dyDescent="0.25">
      <c r="A223" s="1" t="s">
        <v>965</v>
      </c>
      <c r="B223" s="1" t="s">
        <v>128</v>
      </c>
      <c r="C223" s="1" t="s">
        <v>966</v>
      </c>
      <c r="D223" s="1" t="s">
        <v>192</v>
      </c>
      <c r="E223" s="1" t="s">
        <v>24</v>
      </c>
      <c r="F223" s="1" t="s">
        <v>66</v>
      </c>
      <c r="G223" s="2">
        <v>45566</v>
      </c>
      <c r="H223" s="2"/>
      <c r="I223">
        <v>3</v>
      </c>
      <c r="J223">
        <v>5</v>
      </c>
      <c r="K223">
        <v>2</v>
      </c>
      <c r="L223" s="1" t="s">
        <v>26</v>
      </c>
      <c r="M223">
        <v>50.7</v>
      </c>
      <c r="N223">
        <v>98932.36</v>
      </c>
      <c r="O223">
        <v>3337164.26</v>
      </c>
      <c r="P223">
        <v>480214.43</v>
      </c>
      <c r="Q223" s="1" t="s">
        <v>967</v>
      </c>
      <c r="R223">
        <v>38</v>
      </c>
      <c r="S223" s="1" t="s">
        <v>968</v>
      </c>
      <c r="T223" t="b">
        <v>0</v>
      </c>
    </row>
    <row r="224" spans="1:20" x14ac:dyDescent="0.25">
      <c r="A224" s="1" t="s">
        <v>969</v>
      </c>
      <c r="B224" s="1" t="s">
        <v>286</v>
      </c>
      <c r="C224" s="1" t="s">
        <v>562</v>
      </c>
      <c r="D224" s="1" t="s">
        <v>176</v>
      </c>
      <c r="E224" s="1" t="s">
        <v>24</v>
      </c>
      <c r="F224" s="1" t="s">
        <v>25</v>
      </c>
      <c r="G224" s="2">
        <v>45281</v>
      </c>
      <c r="H224" s="2">
        <v>45286</v>
      </c>
      <c r="I224">
        <v>3</v>
      </c>
      <c r="J224">
        <v>5</v>
      </c>
      <c r="K224">
        <v>2</v>
      </c>
      <c r="L224" s="1" t="s">
        <v>26</v>
      </c>
      <c r="M224">
        <v>25.3</v>
      </c>
      <c r="N224">
        <v>95259.66</v>
      </c>
      <c r="O224">
        <v>2226659.61</v>
      </c>
      <c r="P224">
        <v>462664.98</v>
      </c>
      <c r="Q224" s="1" t="s">
        <v>970</v>
      </c>
      <c r="R224">
        <v>73</v>
      </c>
      <c r="S224" s="1" t="s">
        <v>971</v>
      </c>
      <c r="T224" t="b">
        <v>1</v>
      </c>
    </row>
    <row r="225" spans="1:20" x14ac:dyDescent="0.25">
      <c r="A225" s="1" t="s">
        <v>972</v>
      </c>
      <c r="B225" s="1" t="s">
        <v>38</v>
      </c>
      <c r="C225" s="1" t="s">
        <v>738</v>
      </c>
      <c r="D225" s="1" t="s">
        <v>113</v>
      </c>
      <c r="E225" s="1" t="s">
        <v>57</v>
      </c>
      <c r="F225" s="1" t="s">
        <v>25</v>
      </c>
      <c r="G225" s="2">
        <v>44856</v>
      </c>
      <c r="H225" s="2">
        <v>44906</v>
      </c>
      <c r="I225">
        <v>40</v>
      </c>
      <c r="J225">
        <v>50</v>
      </c>
      <c r="K225">
        <v>10</v>
      </c>
      <c r="L225" s="1" t="s">
        <v>58</v>
      </c>
      <c r="M225">
        <v>793</v>
      </c>
      <c r="N225">
        <v>2552122.0699999998</v>
      </c>
      <c r="O225">
        <v>1683729.54</v>
      </c>
      <c r="P225">
        <v>818854.92</v>
      </c>
      <c r="Q225" s="1" t="s">
        <v>973</v>
      </c>
      <c r="R225">
        <v>31</v>
      </c>
      <c r="S225" s="1" t="s">
        <v>974</v>
      </c>
      <c r="T225" t="b">
        <v>0</v>
      </c>
    </row>
    <row r="226" spans="1:20" x14ac:dyDescent="0.25">
      <c r="A226" s="1" t="s">
        <v>975</v>
      </c>
      <c r="B226" s="1" t="s">
        <v>418</v>
      </c>
      <c r="C226" s="1" t="s">
        <v>186</v>
      </c>
      <c r="D226" s="1" t="s">
        <v>505</v>
      </c>
      <c r="E226" s="1" t="s">
        <v>57</v>
      </c>
      <c r="F226" s="1" t="s">
        <v>25</v>
      </c>
      <c r="G226" s="2">
        <v>44842</v>
      </c>
      <c r="H226" s="2">
        <v>44886</v>
      </c>
      <c r="I226">
        <v>40</v>
      </c>
      <c r="J226">
        <v>44</v>
      </c>
      <c r="K226">
        <v>4</v>
      </c>
      <c r="L226" s="1" t="s">
        <v>101</v>
      </c>
      <c r="M226">
        <v>328.8</v>
      </c>
      <c r="N226">
        <v>1027362.29</v>
      </c>
      <c r="O226">
        <v>4115768.1</v>
      </c>
      <c r="P226">
        <v>669631.92000000004</v>
      </c>
      <c r="Q226" s="1" t="s">
        <v>976</v>
      </c>
      <c r="R226">
        <v>70</v>
      </c>
      <c r="S226" s="1" t="s">
        <v>977</v>
      </c>
      <c r="T226" t="b">
        <v>1</v>
      </c>
    </row>
    <row r="227" spans="1:20" x14ac:dyDescent="0.25">
      <c r="A227" s="1" t="s">
        <v>978</v>
      </c>
      <c r="B227" s="1" t="s">
        <v>54</v>
      </c>
      <c r="C227" s="1" t="s">
        <v>869</v>
      </c>
      <c r="D227" s="1" t="s">
        <v>40</v>
      </c>
      <c r="E227" s="1" t="s">
        <v>24</v>
      </c>
      <c r="F227" s="1" t="s">
        <v>25</v>
      </c>
      <c r="G227" s="2">
        <v>44877</v>
      </c>
      <c r="H227" s="2">
        <v>44881</v>
      </c>
      <c r="I227">
        <v>3</v>
      </c>
      <c r="J227">
        <v>4</v>
      </c>
      <c r="K227">
        <v>1</v>
      </c>
      <c r="L227" s="1" t="s">
        <v>26</v>
      </c>
      <c r="M227">
        <v>22</v>
      </c>
      <c r="N227">
        <v>79155.259999999995</v>
      </c>
      <c r="O227">
        <v>1445568.28</v>
      </c>
      <c r="P227">
        <v>179821.67</v>
      </c>
      <c r="Q227" s="1" t="s">
        <v>979</v>
      </c>
      <c r="R227">
        <v>37</v>
      </c>
      <c r="S227" s="1" t="s">
        <v>980</v>
      </c>
      <c r="T227" t="b">
        <v>0</v>
      </c>
    </row>
    <row r="228" spans="1:20" x14ac:dyDescent="0.25">
      <c r="A228" s="1" t="s">
        <v>981</v>
      </c>
      <c r="B228" s="1" t="s">
        <v>105</v>
      </c>
      <c r="C228" s="1" t="s">
        <v>982</v>
      </c>
      <c r="D228" s="1" t="s">
        <v>726</v>
      </c>
      <c r="E228" s="1" t="s">
        <v>49</v>
      </c>
      <c r="F228" s="1" t="s">
        <v>34</v>
      </c>
      <c r="G228" s="2">
        <v>44698</v>
      </c>
      <c r="H228" s="2"/>
      <c r="I228">
        <v>25</v>
      </c>
      <c r="J228">
        <v>21</v>
      </c>
      <c r="K228">
        <v>0</v>
      </c>
      <c r="L228" s="1" t="s">
        <v>26</v>
      </c>
      <c r="M228">
        <v>230.4</v>
      </c>
      <c r="N228">
        <v>766552.64</v>
      </c>
      <c r="O228">
        <v>4343046.13</v>
      </c>
      <c r="P228">
        <v>831840.66</v>
      </c>
      <c r="Q228" s="1" t="s">
        <v>983</v>
      </c>
      <c r="R228">
        <v>66</v>
      </c>
      <c r="S228" s="1" t="s">
        <v>984</v>
      </c>
      <c r="T228" t="b">
        <v>1</v>
      </c>
    </row>
    <row r="229" spans="1:20" x14ac:dyDescent="0.25">
      <c r="A229" s="1" t="s">
        <v>985</v>
      </c>
      <c r="B229" s="1" t="s">
        <v>358</v>
      </c>
      <c r="C229" s="1" t="s">
        <v>986</v>
      </c>
      <c r="D229" s="1" t="s">
        <v>238</v>
      </c>
      <c r="E229" s="1" t="s">
        <v>57</v>
      </c>
      <c r="F229" s="1" t="s">
        <v>66</v>
      </c>
      <c r="G229" s="2">
        <v>45093</v>
      </c>
      <c r="H229" s="2"/>
      <c r="I229">
        <v>40</v>
      </c>
      <c r="J229">
        <v>23</v>
      </c>
      <c r="K229">
        <v>0</v>
      </c>
      <c r="L229" s="1" t="s">
        <v>26</v>
      </c>
      <c r="M229">
        <v>132.30000000000001</v>
      </c>
      <c r="N229">
        <v>402829.52</v>
      </c>
      <c r="O229">
        <v>3469482.39</v>
      </c>
      <c r="P229">
        <v>525621.99</v>
      </c>
      <c r="Q229" s="1" t="s">
        <v>987</v>
      </c>
      <c r="R229">
        <v>38</v>
      </c>
      <c r="S229" s="1" t="s">
        <v>988</v>
      </c>
      <c r="T229" t="b">
        <v>1</v>
      </c>
    </row>
    <row r="230" spans="1:20" x14ac:dyDescent="0.25">
      <c r="A230" s="1" t="s">
        <v>989</v>
      </c>
      <c r="B230" s="1" t="s">
        <v>328</v>
      </c>
      <c r="C230" s="1" t="s">
        <v>455</v>
      </c>
      <c r="D230" s="1" t="s">
        <v>89</v>
      </c>
      <c r="E230" s="1" t="s">
        <v>57</v>
      </c>
      <c r="F230" s="1" t="s">
        <v>50</v>
      </c>
      <c r="G230" s="2">
        <v>45614</v>
      </c>
      <c r="H230" s="2"/>
      <c r="I230">
        <v>40</v>
      </c>
      <c r="J230">
        <v>60</v>
      </c>
      <c r="K230">
        <v>20</v>
      </c>
      <c r="L230" s="1" t="s">
        <v>101</v>
      </c>
      <c r="M230">
        <v>371.9</v>
      </c>
      <c r="N230">
        <v>764318.97</v>
      </c>
      <c r="O230">
        <v>3765616.25</v>
      </c>
      <c r="P230">
        <v>699291.69</v>
      </c>
      <c r="Q230" s="1" t="s">
        <v>990</v>
      </c>
      <c r="R230">
        <v>64</v>
      </c>
      <c r="S230" s="1" t="s">
        <v>991</v>
      </c>
      <c r="T230" t="b">
        <v>0</v>
      </c>
    </row>
    <row r="231" spans="1:20" x14ac:dyDescent="0.25">
      <c r="A231" s="1" t="s">
        <v>992</v>
      </c>
      <c r="B231" s="1" t="s">
        <v>174</v>
      </c>
      <c r="C231" s="1" t="s">
        <v>734</v>
      </c>
      <c r="D231" s="1" t="s">
        <v>372</v>
      </c>
      <c r="E231" s="1" t="s">
        <v>49</v>
      </c>
      <c r="F231" s="1" t="s">
        <v>66</v>
      </c>
      <c r="G231" s="2">
        <v>44758</v>
      </c>
      <c r="H231" s="2"/>
      <c r="I231">
        <v>25</v>
      </c>
      <c r="J231">
        <v>21</v>
      </c>
      <c r="K231">
        <v>0</v>
      </c>
      <c r="L231" s="1" t="s">
        <v>26</v>
      </c>
      <c r="M231">
        <v>291.5</v>
      </c>
      <c r="N231">
        <v>534851.11</v>
      </c>
      <c r="O231">
        <v>2595672.02</v>
      </c>
      <c r="P231">
        <v>429825.27</v>
      </c>
      <c r="Q231" s="1" t="s">
        <v>993</v>
      </c>
      <c r="R231">
        <v>29</v>
      </c>
      <c r="S231" s="1" t="s">
        <v>994</v>
      </c>
      <c r="T231" t="b">
        <v>1</v>
      </c>
    </row>
    <row r="232" spans="1:20" x14ac:dyDescent="0.25">
      <c r="A232" s="1" t="s">
        <v>995</v>
      </c>
      <c r="B232" s="1" t="s">
        <v>82</v>
      </c>
      <c r="C232" s="1" t="s">
        <v>950</v>
      </c>
      <c r="D232" s="1" t="s">
        <v>336</v>
      </c>
      <c r="E232" s="1" t="s">
        <v>49</v>
      </c>
      <c r="F232" s="1" t="s">
        <v>66</v>
      </c>
      <c r="G232" s="2">
        <v>44947</v>
      </c>
      <c r="H232" s="2"/>
      <c r="I232">
        <v>25</v>
      </c>
      <c r="J232">
        <v>32</v>
      </c>
      <c r="K232">
        <v>7</v>
      </c>
      <c r="L232" s="1" t="s">
        <v>26</v>
      </c>
      <c r="M232">
        <v>447.3</v>
      </c>
      <c r="N232">
        <v>1439976.17</v>
      </c>
      <c r="O232">
        <v>2665157.31</v>
      </c>
      <c r="P232">
        <v>636752.52</v>
      </c>
      <c r="Q232" s="1" t="s">
        <v>996</v>
      </c>
      <c r="R232">
        <v>28</v>
      </c>
      <c r="S232" s="1" t="s">
        <v>997</v>
      </c>
      <c r="T232" t="b">
        <v>1</v>
      </c>
    </row>
    <row r="233" spans="1:20" x14ac:dyDescent="0.25">
      <c r="A233" s="1" t="s">
        <v>998</v>
      </c>
      <c r="B233" s="1" t="s">
        <v>328</v>
      </c>
      <c r="C233" s="1" t="s">
        <v>999</v>
      </c>
      <c r="D233" s="1" t="s">
        <v>288</v>
      </c>
      <c r="E233" s="1" t="s">
        <v>24</v>
      </c>
      <c r="F233" s="1" t="s">
        <v>25</v>
      </c>
      <c r="G233" s="2">
        <v>45544</v>
      </c>
      <c r="H233" s="2">
        <v>45547</v>
      </c>
      <c r="I233">
        <v>3</v>
      </c>
      <c r="J233">
        <v>3</v>
      </c>
      <c r="K233">
        <v>0</v>
      </c>
      <c r="L233" s="1" t="s">
        <v>26</v>
      </c>
      <c r="M233">
        <v>17</v>
      </c>
      <c r="N233">
        <v>50884.95</v>
      </c>
      <c r="O233">
        <v>4938032.8499999996</v>
      </c>
      <c r="P233">
        <v>759872.6</v>
      </c>
      <c r="Q233" s="1" t="s">
        <v>1000</v>
      </c>
      <c r="R233">
        <v>72</v>
      </c>
      <c r="S233" s="1" t="s">
        <v>1001</v>
      </c>
      <c r="T233" t="b">
        <v>1</v>
      </c>
    </row>
    <row r="234" spans="1:20" x14ac:dyDescent="0.25">
      <c r="A234" s="1" t="s">
        <v>1002</v>
      </c>
      <c r="B234" s="1" t="s">
        <v>105</v>
      </c>
      <c r="C234" s="1" t="s">
        <v>936</v>
      </c>
      <c r="D234" s="1" t="s">
        <v>505</v>
      </c>
      <c r="E234" s="1" t="s">
        <v>57</v>
      </c>
      <c r="F234" s="1" t="s">
        <v>50</v>
      </c>
      <c r="G234" s="2">
        <v>45017</v>
      </c>
      <c r="H234" s="2"/>
      <c r="I234">
        <v>40</v>
      </c>
      <c r="J234">
        <v>29</v>
      </c>
      <c r="K234">
        <v>0</v>
      </c>
      <c r="L234" s="1" t="s">
        <v>26</v>
      </c>
      <c r="M234">
        <v>355.4</v>
      </c>
      <c r="N234">
        <v>934722.07</v>
      </c>
      <c r="O234">
        <v>1057106.6200000001</v>
      </c>
      <c r="P234">
        <v>394603.09</v>
      </c>
      <c r="Q234" s="1" t="s">
        <v>1003</v>
      </c>
      <c r="R234">
        <v>69</v>
      </c>
      <c r="S234" s="1" t="s">
        <v>1004</v>
      </c>
      <c r="T234" t="b">
        <v>0</v>
      </c>
    </row>
    <row r="235" spans="1:20" x14ac:dyDescent="0.25">
      <c r="A235" s="1" t="s">
        <v>1005</v>
      </c>
      <c r="B235" s="1" t="s">
        <v>328</v>
      </c>
      <c r="C235" s="1" t="s">
        <v>586</v>
      </c>
      <c r="D235" s="1" t="s">
        <v>40</v>
      </c>
      <c r="E235" s="1" t="s">
        <v>33</v>
      </c>
      <c r="F235" s="1" t="s">
        <v>25</v>
      </c>
      <c r="G235" s="2">
        <v>45445</v>
      </c>
      <c r="H235" s="2">
        <v>45452</v>
      </c>
      <c r="I235">
        <v>12</v>
      </c>
      <c r="J235">
        <v>7</v>
      </c>
      <c r="K235">
        <v>0</v>
      </c>
      <c r="L235" s="1" t="s">
        <v>26</v>
      </c>
      <c r="M235">
        <v>30.8</v>
      </c>
      <c r="N235">
        <v>110308.04</v>
      </c>
      <c r="O235">
        <v>2969949.1</v>
      </c>
      <c r="P235">
        <v>452515.14</v>
      </c>
      <c r="Q235" s="1" t="s">
        <v>1006</v>
      </c>
      <c r="R235">
        <v>26</v>
      </c>
      <c r="S235" s="1" t="s">
        <v>1007</v>
      </c>
      <c r="T235" t="b">
        <v>1</v>
      </c>
    </row>
    <row r="236" spans="1:20" x14ac:dyDescent="0.25">
      <c r="A236" s="1" t="s">
        <v>1008</v>
      </c>
      <c r="B236" s="1" t="s">
        <v>358</v>
      </c>
      <c r="C236" s="1" t="s">
        <v>1009</v>
      </c>
      <c r="D236" s="1" t="s">
        <v>64</v>
      </c>
      <c r="E236" s="1" t="s">
        <v>49</v>
      </c>
      <c r="F236" s="1" t="s">
        <v>25</v>
      </c>
      <c r="G236" s="2">
        <v>44982</v>
      </c>
      <c r="H236" s="2">
        <v>44997</v>
      </c>
      <c r="I236">
        <v>25</v>
      </c>
      <c r="J236">
        <v>15</v>
      </c>
      <c r="K236">
        <v>0</v>
      </c>
      <c r="L236" s="1" t="s">
        <v>26</v>
      </c>
      <c r="M236">
        <v>180.7</v>
      </c>
      <c r="N236">
        <v>339535.23</v>
      </c>
      <c r="O236">
        <v>736329.32</v>
      </c>
      <c r="P236">
        <v>187867.25</v>
      </c>
      <c r="Q236" s="1" t="s">
        <v>1010</v>
      </c>
      <c r="R236">
        <v>52</v>
      </c>
      <c r="S236" s="1" t="s">
        <v>1011</v>
      </c>
      <c r="T236" t="b">
        <v>1</v>
      </c>
    </row>
    <row r="237" spans="1:20" x14ac:dyDescent="0.25">
      <c r="A237" s="1" t="s">
        <v>1012</v>
      </c>
      <c r="B237" s="1" t="s">
        <v>122</v>
      </c>
      <c r="C237" s="1" t="s">
        <v>1013</v>
      </c>
      <c r="D237" s="1" t="s">
        <v>124</v>
      </c>
      <c r="E237" s="1" t="s">
        <v>49</v>
      </c>
      <c r="F237" s="1" t="s">
        <v>25</v>
      </c>
      <c r="G237" s="2">
        <v>45596</v>
      </c>
      <c r="H237" s="2">
        <v>45609</v>
      </c>
      <c r="I237">
        <v>25</v>
      </c>
      <c r="J237">
        <v>13</v>
      </c>
      <c r="K237">
        <v>0</v>
      </c>
      <c r="L237" s="1" t="s">
        <v>26</v>
      </c>
      <c r="M237">
        <v>179.9</v>
      </c>
      <c r="N237">
        <v>694550.52</v>
      </c>
      <c r="O237">
        <v>2648905.31</v>
      </c>
      <c r="P237">
        <v>573674.04</v>
      </c>
      <c r="Q237" s="1" t="s">
        <v>1014</v>
      </c>
      <c r="R237">
        <v>26</v>
      </c>
      <c r="S237" s="1" t="s">
        <v>1015</v>
      </c>
      <c r="T237" t="b">
        <v>1</v>
      </c>
    </row>
    <row r="238" spans="1:20" x14ac:dyDescent="0.25">
      <c r="A238" s="1" t="s">
        <v>1016</v>
      </c>
      <c r="B238" s="1" t="s">
        <v>286</v>
      </c>
      <c r="C238" s="1" t="s">
        <v>1017</v>
      </c>
      <c r="D238" s="1" t="s">
        <v>726</v>
      </c>
      <c r="E238" s="1" t="s">
        <v>41</v>
      </c>
      <c r="F238" s="1" t="s">
        <v>25</v>
      </c>
      <c r="G238" s="2">
        <v>45594</v>
      </c>
      <c r="H238" s="2">
        <v>45602</v>
      </c>
      <c r="I238">
        <v>9</v>
      </c>
      <c r="J238">
        <v>8</v>
      </c>
      <c r="K238">
        <v>0</v>
      </c>
      <c r="L238" s="1" t="s">
        <v>26</v>
      </c>
      <c r="M238">
        <v>99</v>
      </c>
      <c r="N238">
        <v>227684.12</v>
      </c>
      <c r="O238">
        <v>3370893.23</v>
      </c>
      <c r="P238">
        <v>398479.29</v>
      </c>
      <c r="Q238" s="1" t="s">
        <v>1018</v>
      </c>
      <c r="R238">
        <v>34</v>
      </c>
      <c r="S238" s="1" t="s">
        <v>1019</v>
      </c>
      <c r="T238" t="b">
        <v>0</v>
      </c>
    </row>
    <row r="239" spans="1:20" x14ac:dyDescent="0.25">
      <c r="A239" s="1" t="s">
        <v>1020</v>
      </c>
      <c r="B239" s="1" t="s">
        <v>545</v>
      </c>
      <c r="C239" s="1" t="s">
        <v>1021</v>
      </c>
      <c r="D239" s="1" t="s">
        <v>1022</v>
      </c>
      <c r="E239" s="1" t="s">
        <v>24</v>
      </c>
      <c r="F239" s="1" t="s">
        <v>25</v>
      </c>
      <c r="G239" s="2">
        <v>44793</v>
      </c>
      <c r="H239" s="2">
        <v>44797</v>
      </c>
      <c r="I239">
        <v>3</v>
      </c>
      <c r="J239">
        <v>4</v>
      </c>
      <c r="K239">
        <v>1</v>
      </c>
      <c r="L239" s="1" t="s">
        <v>26</v>
      </c>
      <c r="M239">
        <v>21.3</v>
      </c>
      <c r="N239">
        <v>46156.32</v>
      </c>
      <c r="O239">
        <v>3813745.66</v>
      </c>
      <c r="P239">
        <v>658009.42000000004</v>
      </c>
      <c r="Q239" s="1" t="s">
        <v>1023</v>
      </c>
      <c r="R239">
        <v>44</v>
      </c>
      <c r="S239" s="1" t="s">
        <v>1024</v>
      </c>
      <c r="T239" t="b">
        <v>0</v>
      </c>
    </row>
    <row r="240" spans="1:20" x14ac:dyDescent="0.25">
      <c r="A240" s="1" t="s">
        <v>1025</v>
      </c>
      <c r="B240" s="1" t="s">
        <v>82</v>
      </c>
      <c r="C240" s="1" t="s">
        <v>525</v>
      </c>
      <c r="D240" s="1" t="s">
        <v>89</v>
      </c>
      <c r="E240" s="1" t="s">
        <v>49</v>
      </c>
      <c r="F240" s="1" t="s">
        <v>34</v>
      </c>
      <c r="G240" s="2">
        <v>45497</v>
      </c>
      <c r="H240" s="2"/>
      <c r="I240">
        <v>25</v>
      </c>
      <c r="J240">
        <v>19</v>
      </c>
      <c r="K240">
        <v>0</v>
      </c>
      <c r="L240" s="1" t="s">
        <v>26</v>
      </c>
      <c r="M240">
        <v>232.6</v>
      </c>
      <c r="N240">
        <v>946901.45</v>
      </c>
      <c r="O240">
        <v>1137108.4099999999</v>
      </c>
      <c r="P240">
        <v>293279</v>
      </c>
      <c r="Q240" s="1" t="s">
        <v>1026</v>
      </c>
      <c r="R240">
        <v>43</v>
      </c>
      <c r="S240" s="1" t="s">
        <v>1027</v>
      </c>
      <c r="T240" t="b">
        <v>1</v>
      </c>
    </row>
    <row r="241" spans="1:20" x14ac:dyDescent="0.25">
      <c r="A241" s="1" t="s">
        <v>1028</v>
      </c>
      <c r="B241" s="1" t="s">
        <v>148</v>
      </c>
      <c r="C241" s="1" t="s">
        <v>324</v>
      </c>
      <c r="D241" s="1" t="s">
        <v>159</v>
      </c>
      <c r="E241" s="1" t="s">
        <v>41</v>
      </c>
      <c r="F241" s="1" t="s">
        <v>25</v>
      </c>
      <c r="G241" s="2">
        <v>44588</v>
      </c>
      <c r="H241" s="2">
        <v>44601</v>
      </c>
      <c r="I241">
        <v>9</v>
      </c>
      <c r="J241">
        <v>13</v>
      </c>
      <c r="K241">
        <v>4</v>
      </c>
      <c r="L241" s="1" t="s">
        <v>26</v>
      </c>
      <c r="M241">
        <v>68.400000000000006</v>
      </c>
      <c r="N241">
        <v>204020.62</v>
      </c>
      <c r="O241">
        <v>3296155.83</v>
      </c>
      <c r="P241">
        <v>379771.21</v>
      </c>
      <c r="Q241" s="1" t="s">
        <v>1029</v>
      </c>
      <c r="R241">
        <v>43</v>
      </c>
      <c r="S241" s="1" t="s">
        <v>1030</v>
      </c>
      <c r="T241" t="b">
        <v>1</v>
      </c>
    </row>
    <row r="242" spans="1:20" x14ac:dyDescent="0.25">
      <c r="A242" s="1" t="s">
        <v>1031</v>
      </c>
      <c r="B242" s="1" t="s">
        <v>21</v>
      </c>
      <c r="C242" s="1" t="s">
        <v>1032</v>
      </c>
      <c r="D242" s="1" t="s">
        <v>350</v>
      </c>
      <c r="E242" s="1" t="s">
        <v>57</v>
      </c>
      <c r="F242" s="1" t="s">
        <v>66</v>
      </c>
      <c r="G242" s="2">
        <v>45255</v>
      </c>
      <c r="H242" s="2"/>
      <c r="I242">
        <v>40</v>
      </c>
      <c r="J242">
        <v>45</v>
      </c>
      <c r="K242">
        <v>5</v>
      </c>
      <c r="L242" s="1" t="s">
        <v>330</v>
      </c>
      <c r="M242">
        <v>246.3</v>
      </c>
      <c r="N242">
        <v>1000690.95</v>
      </c>
      <c r="O242">
        <v>3628750.5</v>
      </c>
      <c r="P242">
        <v>591882.57999999996</v>
      </c>
      <c r="Q242" s="1" t="s">
        <v>1033</v>
      </c>
      <c r="R242">
        <v>62</v>
      </c>
      <c r="S242" s="1" t="s">
        <v>1034</v>
      </c>
      <c r="T242" t="b">
        <v>0</v>
      </c>
    </row>
    <row r="243" spans="1:20" x14ac:dyDescent="0.25">
      <c r="A243" s="1" t="s">
        <v>1035</v>
      </c>
      <c r="B243" s="1" t="s">
        <v>148</v>
      </c>
      <c r="C243" s="1" t="s">
        <v>191</v>
      </c>
      <c r="D243" s="1" t="s">
        <v>244</v>
      </c>
      <c r="E243" s="1" t="s">
        <v>49</v>
      </c>
      <c r="F243" s="1" t="s">
        <v>25</v>
      </c>
      <c r="G243" s="2">
        <v>45554</v>
      </c>
      <c r="H243" s="2">
        <v>45568</v>
      </c>
      <c r="I243">
        <v>25</v>
      </c>
      <c r="J243">
        <v>14</v>
      </c>
      <c r="K243">
        <v>0</v>
      </c>
      <c r="L243" s="1" t="s">
        <v>26</v>
      </c>
      <c r="M243">
        <v>185</v>
      </c>
      <c r="N243">
        <v>386964.32</v>
      </c>
      <c r="O243">
        <v>1260942.3999999999</v>
      </c>
      <c r="P243">
        <v>246736.75</v>
      </c>
      <c r="Q243" s="1" t="s">
        <v>1036</v>
      </c>
      <c r="R243">
        <v>24</v>
      </c>
      <c r="S243" s="1" t="s">
        <v>1037</v>
      </c>
      <c r="T243" t="b">
        <v>0</v>
      </c>
    </row>
    <row r="244" spans="1:20" x14ac:dyDescent="0.25">
      <c r="A244" s="1" t="s">
        <v>1038</v>
      </c>
      <c r="B244" s="1" t="s">
        <v>30</v>
      </c>
      <c r="C244" s="1" t="s">
        <v>77</v>
      </c>
      <c r="D244" s="1" t="s">
        <v>513</v>
      </c>
      <c r="E244" s="1" t="s">
        <v>57</v>
      </c>
      <c r="F244" s="1" t="s">
        <v>25</v>
      </c>
      <c r="G244" s="2">
        <v>44616</v>
      </c>
      <c r="H244" s="2">
        <v>44674</v>
      </c>
      <c r="I244">
        <v>40</v>
      </c>
      <c r="J244">
        <v>58</v>
      </c>
      <c r="K244">
        <v>18</v>
      </c>
      <c r="L244" s="1" t="s">
        <v>42</v>
      </c>
      <c r="M244">
        <v>704.7</v>
      </c>
      <c r="N244">
        <v>1559070.5</v>
      </c>
      <c r="O244">
        <v>3113614.14</v>
      </c>
      <c r="P244">
        <v>512282.13</v>
      </c>
      <c r="Q244" s="1" t="s">
        <v>1039</v>
      </c>
      <c r="R244">
        <v>38</v>
      </c>
      <c r="S244" s="1" t="s">
        <v>1040</v>
      </c>
      <c r="T244" t="b">
        <v>0</v>
      </c>
    </row>
    <row r="245" spans="1:20" x14ac:dyDescent="0.25">
      <c r="A245" s="1" t="s">
        <v>1041</v>
      </c>
      <c r="B245" s="1" t="s">
        <v>105</v>
      </c>
      <c r="C245" s="1" t="s">
        <v>1042</v>
      </c>
      <c r="D245" s="1" t="s">
        <v>230</v>
      </c>
      <c r="E245" s="1" t="s">
        <v>49</v>
      </c>
      <c r="F245" s="1" t="s">
        <v>25</v>
      </c>
      <c r="G245" s="2">
        <v>45566</v>
      </c>
      <c r="H245" s="2">
        <v>45593</v>
      </c>
      <c r="I245">
        <v>25</v>
      </c>
      <c r="J245">
        <v>27</v>
      </c>
      <c r="K245">
        <v>2</v>
      </c>
      <c r="L245" s="1" t="s">
        <v>26</v>
      </c>
      <c r="M245">
        <v>219.3</v>
      </c>
      <c r="N245">
        <v>903760.57</v>
      </c>
      <c r="O245">
        <v>2737633.97</v>
      </c>
      <c r="P245">
        <v>711011.6</v>
      </c>
      <c r="Q245" s="1" t="s">
        <v>1043</v>
      </c>
      <c r="R245">
        <v>40</v>
      </c>
      <c r="S245" s="1" t="s">
        <v>1044</v>
      </c>
      <c r="T245" t="b">
        <v>0</v>
      </c>
    </row>
    <row r="246" spans="1:20" x14ac:dyDescent="0.25">
      <c r="A246" s="1" t="s">
        <v>1045</v>
      </c>
      <c r="B246" s="1" t="s">
        <v>328</v>
      </c>
      <c r="C246" s="1" t="s">
        <v>248</v>
      </c>
      <c r="D246" s="1" t="s">
        <v>263</v>
      </c>
      <c r="E246" s="1" t="s">
        <v>65</v>
      </c>
      <c r="F246" s="1" t="s">
        <v>25</v>
      </c>
      <c r="G246" s="2">
        <v>45468</v>
      </c>
      <c r="H246" s="2">
        <v>45469</v>
      </c>
      <c r="I246">
        <v>4</v>
      </c>
      <c r="J246">
        <v>1</v>
      </c>
      <c r="K246">
        <v>0</v>
      </c>
      <c r="L246" s="1" t="s">
        <v>26</v>
      </c>
      <c r="M246">
        <v>6.1</v>
      </c>
      <c r="N246">
        <v>21840.5</v>
      </c>
      <c r="O246">
        <v>3899118.52</v>
      </c>
      <c r="P246">
        <v>738983.24</v>
      </c>
      <c r="Q246" s="1" t="s">
        <v>1046</v>
      </c>
      <c r="R246">
        <v>68</v>
      </c>
      <c r="S246" s="1" t="s">
        <v>1047</v>
      </c>
      <c r="T246" t="b">
        <v>1</v>
      </c>
    </row>
    <row r="247" spans="1:20" x14ac:dyDescent="0.25">
      <c r="A247" s="1" t="s">
        <v>1048</v>
      </c>
      <c r="B247" s="1" t="s">
        <v>128</v>
      </c>
      <c r="C247" s="1" t="s">
        <v>1049</v>
      </c>
      <c r="D247" s="1" t="s">
        <v>541</v>
      </c>
      <c r="E247" s="1" t="s">
        <v>41</v>
      </c>
      <c r="F247" s="1" t="s">
        <v>66</v>
      </c>
      <c r="G247" s="2">
        <v>45566</v>
      </c>
      <c r="H247" s="2"/>
      <c r="I247">
        <v>9</v>
      </c>
      <c r="J247">
        <v>13</v>
      </c>
      <c r="K247">
        <v>4</v>
      </c>
      <c r="L247" s="1" t="s">
        <v>26</v>
      </c>
      <c r="M247">
        <v>136.1</v>
      </c>
      <c r="N247">
        <v>417624.16</v>
      </c>
      <c r="O247">
        <v>2815654.5</v>
      </c>
      <c r="P247">
        <v>373867.55</v>
      </c>
      <c r="Q247" s="1" t="s">
        <v>1050</v>
      </c>
      <c r="R247">
        <v>38</v>
      </c>
      <c r="S247" s="1" t="s">
        <v>1051</v>
      </c>
      <c r="T247" t="b">
        <v>0</v>
      </c>
    </row>
    <row r="248" spans="1:20" x14ac:dyDescent="0.25">
      <c r="A248" s="1" t="s">
        <v>1052</v>
      </c>
      <c r="B248" s="1" t="s">
        <v>128</v>
      </c>
      <c r="C248" s="1" t="s">
        <v>819</v>
      </c>
      <c r="D248" s="1" t="s">
        <v>595</v>
      </c>
      <c r="E248" s="1" t="s">
        <v>33</v>
      </c>
      <c r="F248" s="1" t="s">
        <v>66</v>
      </c>
      <c r="G248" s="2">
        <v>44687</v>
      </c>
      <c r="H248" s="2"/>
      <c r="I248">
        <v>12</v>
      </c>
      <c r="J248">
        <v>6</v>
      </c>
      <c r="K248">
        <v>0</v>
      </c>
      <c r="L248" s="1" t="s">
        <v>26</v>
      </c>
      <c r="M248">
        <v>33.200000000000003</v>
      </c>
      <c r="N248">
        <v>92605</v>
      </c>
      <c r="O248">
        <v>4049671.6</v>
      </c>
      <c r="P248">
        <v>656122.93000000005</v>
      </c>
      <c r="Q248" s="1" t="s">
        <v>1053</v>
      </c>
      <c r="R248">
        <v>42</v>
      </c>
      <c r="S248" s="1" t="s">
        <v>1054</v>
      </c>
      <c r="T248" t="b">
        <v>0</v>
      </c>
    </row>
    <row r="249" spans="1:20" x14ac:dyDescent="0.25">
      <c r="A249" s="1" t="s">
        <v>1055</v>
      </c>
      <c r="B249" s="1" t="s">
        <v>228</v>
      </c>
      <c r="C249" s="1" t="s">
        <v>324</v>
      </c>
      <c r="D249" s="1" t="s">
        <v>505</v>
      </c>
      <c r="E249" s="1" t="s">
        <v>24</v>
      </c>
      <c r="F249" s="1" t="s">
        <v>25</v>
      </c>
      <c r="G249" s="2">
        <v>45405</v>
      </c>
      <c r="H249" s="2">
        <v>45407</v>
      </c>
      <c r="I249">
        <v>3</v>
      </c>
      <c r="J249">
        <v>2</v>
      </c>
      <c r="K249">
        <v>0</v>
      </c>
      <c r="L249" s="1" t="s">
        <v>26</v>
      </c>
      <c r="M249">
        <v>13.9</v>
      </c>
      <c r="N249">
        <v>49342.55</v>
      </c>
      <c r="O249">
        <v>2966733.02</v>
      </c>
      <c r="P249">
        <v>576187.76</v>
      </c>
      <c r="Q249" s="1" t="s">
        <v>1056</v>
      </c>
      <c r="R249">
        <v>54</v>
      </c>
      <c r="S249" s="1" t="s">
        <v>1057</v>
      </c>
      <c r="T249" t="b">
        <v>0</v>
      </c>
    </row>
    <row r="250" spans="1:20" x14ac:dyDescent="0.25">
      <c r="A250" s="1" t="s">
        <v>1058</v>
      </c>
      <c r="B250" s="1" t="s">
        <v>128</v>
      </c>
      <c r="C250" s="1" t="s">
        <v>550</v>
      </c>
      <c r="D250" s="1" t="s">
        <v>293</v>
      </c>
      <c r="E250" s="1" t="s">
        <v>65</v>
      </c>
      <c r="F250" s="1" t="s">
        <v>34</v>
      </c>
      <c r="G250" s="2">
        <v>44638</v>
      </c>
      <c r="H250" s="2"/>
      <c r="I250">
        <v>4</v>
      </c>
      <c r="J250">
        <v>7</v>
      </c>
      <c r="K250">
        <v>2.5</v>
      </c>
      <c r="L250" s="1" t="s">
        <v>26</v>
      </c>
      <c r="M250">
        <v>75.7</v>
      </c>
      <c r="N250">
        <v>320499.15999999997</v>
      </c>
      <c r="O250">
        <v>1340428.24</v>
      </c>
      <c r="P250">
        <v>281686.39</v>
      </c>
      <c r="Q250" s="1" t="s">
        <v>1059</v>
      </c>
      <c r="R250">
        <v>40</v>
      </c>
      <c r="S250" s="1" t="s">
        <v>1060</v>
      </c>
      <c r="T250" t="b">
        <v>1</v>
      </c>
    </row>
    <row r="251" spans="1:20" x14ac:dyDescent="0.25">
      <c r="A251" s="1" t="s">
        <v>1061</v>
      </c>
      <c r="B251" s="1" t="s">
        <v>111</v>
      </c>
      <c r="C251" s="1" t="s">
        <v>1062</v>
      </c>
      <c r="D251" s="1" t="s">
        <v>95</v>
      </c>
      <c r="E251" s="1" t="s">
        <v>33</v>
      </c>
      <c r="F251" s="1" t="s">
        <v>34</v>
      </c>
      <c r="G251" s="2">
        <v>45562</v>
      </c>
      <c r="H251" s="2"/>
      <c r="I251">
        <v>12</v>
      </c>
      <c r="J251">
        <v>16</v>
      </c>
      <c r="K251">
        <v>4</v>
      </c>
      <c r="L251" s="1" t="s">
        <v>26</v>
      </c>
      <c r="M251">
        <v>103.5</v>
      </c>
      <c r="N251">
        <v>325111.59000000003</v>
      </c>
      <c r="O251">
        <v>4059171.32</v>
      </c>
      <c r="P251">
        <v>731029.88</v>
      </c>
      <c r="Q251" s="1" t="s">
        <v>1063</v>
      </c>
      <c r="R251">
        <v>74</v>
      </c>
      <c r="S251" s="1" t="s">
        <v>1064</v>
      </c>
      <c r="T251" t="b">
        <v>1</v>
      </c>
    </row>
    <row r="252" spans="1:20" x14ac:dyDescent="0.25">
      <c r="A252" s="1" t="s">
        <v>1065</v>
      </c>
      <c r="B252" s="1" t="s">
        <v>220</v>
      </c>
      <c r="C252" s="1" t="s">
        <v>1066</v>
      </c>
      <c r="D252" s="1" t="s">
        <v>130</v>
      </c>
      <c r="E252" s="1" t="s">
        <v>24</v>
      </c>
      <c r="F252" s="1" t="s">
        <v>25</v>
      </c>
      <c r="G252" s="2">
        <v>45000</v>
      </c>
      <c r="H252" s="2">
        <v>45001</v>
      </c>
      <c r="I252">
        <v>3</v>
      </c>
      <c r="J252">
        <v>1</v>
      </c>
      <c r="K252">
        <v>0</v>
      </c>
      <c r="L252" s="1" t="s">
        <v>26</v>
      </c>
      <c r="M252">
        <v>7.6</v>
      </c>
      <c r="N252">
        <v>25448.639999999999</v>
      </c>
      <c r="O252">
        <v>4024969.07</v>
      </c>
      <c r="P252">
        <v>658019.64</v>
      </c>
      <c r="Q252" s="1" t="s">
        <v>1067</v>
      </c>
      <c r="R252">
        <v>41</v>
      </c>
      <c r="S252" s="1" t="s">
        <v>1068</v>
      </c>
      <c r="T252" t="b">
        <v>0</v>
      </c>
    </row>
    <row r="253" spans="1:20" x14ac:dyDescent="0.25">
      <c r="A253" s="1" t="s">
        <v>1069</v>
      </c>
      <c r="B253" s="1" t="s">
        <v>286</v>
      </c>
      <c r="C253" s="1" t="s">
        <v>277</v>
      </c>
      <c r="D253" s="1" t="s">
        <v>758</v>
      </c>
      <c r="E253" s="1" t="s">
        <v>49</v>
      </c>
      <c r="F253" s="1" t="s">
        <v>50</v>
      </c>
      <c r="G253" s="2">
        <v>44699</v>
      </c>
      <c r="H253" s="2"/>
      <c r="I253">
        <v>25</v>
      </c>
      <c r="J253">
        <v>26</v>
      </c>
      <c r="K253">
        <v>1</v>
      </c>
      <c r="L253" s="1" t="s">
        <v>26</v>
      </c>
      <c r="M253">
        <v>252.3</v>
      </c>
      <c r="N253">
        <v>597016.41</v>
      </c>
      <c r="O253">
        <v>3980302.23</v>
      </c>
      <c r="P253">
        <v>755961.02</v>
      </c>
      <c r="Q253" s="1" t="s">
        <v>809</v>
      </c>
      <c r="R253">
        <v>32</v>
      </c>
      <c r="S253" s="1" t="s">
        <v>1070</v>
      </c>
      <c r="T253" t="b">
        <v>0</v>
      </c>
    </row>
    <row r="254" spans="1:20" x14ac:dyDescent="0.25">
      <c r="A254" s="1" t="s">
        <v>1071</v>
      </c>
      <c r="B254" s="1" t="s">
        <v>185</v>
      </c>
      <c r="C254" s="1" t="s">
        <v>1072</v>
      </c>
      <c r="D254" s="1" t="s">
        <v>372</v>
      </c>
      <c r="E254" s="1" t="s">
        <v>24</v>
      </c>
      <c r="F254" s="1" t="s">
        <v>66</v>
      </c>
      <c r="G254" s="2">
        <v>45385</v>
      </c>
      <c r="H254" s="2"/>
      <c r="I254">
        <v>3</v>
      </c>
      <c r="J254">
        <v>5</v>
      </c>
      <c r="K254">
        <v>2</v>
      </c>
      <c r="L254" s="1" t="s">
        <v>26</v>
      </c>
      <c r="M254">
        <v>47.2</v>
      </c>
      <c r="N254">
        <v>182253.08</v>
      </c>
      <c r="O254">
        <v>911198.25</v>
      </c>
      <c r="P254">
        <v>111379.32</v>
      </c>
      <c r="Q254" s="1" t="s">
        <v>1073</v>
      </c>
      <c r="R254">
        <v>62</v>
      </c>
      <c r="S254" s="1" t="s">
        <v>1074</v>
      </c>
      <c r="T254" t="b">
        <v>0</v>
      </c>
    </row>
    <row r="255" spans="1:20" x14ac:dyDescent="0.25">
      <c r="A255" s="1" t="s">
        <v>1075</v>
      </c>
      <c r="B255" s="1" t="s">
        <v>418</v>
      </c>
      <c r="C255" s="1" t="s">
        <v>946</v>
      </c>
      <c r="D255" s="1" t="s">
        <v>249</v>
      </c>
      <c r="E255" s="1" t="s">
        <v>41</v>
      </c>
      <c r="F255" s="1" t="s">
        <v>66</v>
      </c>
      <c r="G255" s="2">
        <v>45110</v>
      </c>
      <c r="H255" s="2"/>
      <c r="I255">
        <v>9</v>
      </c>
      <c r="J255">
        <v>15</v>
      </c>
      <c r="K255">
        <v>6</v>
      </c>
      <c r="L255" s="1" t="s">
        <v>330</v>
      </c>
      <c r="M255">
        <v>170.6</v>
      </c>
      <c r="N255">
        <v>661351.67000000004</v>
      </c>
      <c r="O255">
        <v>2174285.1800000002</v>
      </c>
      <c r="P255">
        <v>444093.75</v>
      </c>
      <c r="Q255" s="1" t="s">
        <v>1076</v>
      </c>
      <c r="R255">
        <v>29</v>
      </c>
      <c r="S255" s="1" t="s">
        <v>1077</v>
      </c>
      <c r="T255" t="b">
        <v>0</v>
      </c>
    </row>
    <row r="256" spans="1:20" x14ac:dyDescent="0.25">
      <c r="A256" s="1" t="s">
        <v>1078</v>
      </c>
      <c r="B256" s="1" t="s">
        <v>629</v>
      </c>
      <c r="C256" s="1" t="s">
        <v>1079</v>
      </c>
      <c r="D256" s="1" t="s">
        <v>249</v>
      </c>
      <c r="E256" s="1" t="s">
        <v>65</v>
      </c>
      <c r="F256" s="1" t="s">
        <v>25</v>
      </c>
      <c r="G256" s="2">
        <v>45453</v>
      </c>
      <c r="H256" s="2">
        <v>45455</v>
      </c>
      <c r="I256">
        <v>4</v>
      </c>
      <c r="J256">
        <v>2</v>
      </c>
      <c r="K256">
        <v>0</v>
      </c>
      <c r="L256" s="1" t="s">
        <v>26</v>
      </c>
      <c r="M256">
        <v>23.2</v>
      </c>
      <c r="N256">
        <v>94751.37</v>
      </c>
      <c r="O256">
        <v>1342004.45</v>
      </c>
      <c r="P256">
        <v>184916.88</v>
      </c>
      <c r="Q256" s="1" t="s">
        <v>1080</v>
      </c>
      <c r="R256">
        <v>27</v>
      </c>
      <c r="S256" s="1" t="s">
        <v>1081</v>
      </c>
      <c r="T256" t="b">
        <v>1</v>
      </c>
    </row>
    <row r="257" spans="1:20" x14ac:dyDescent="0.25">
      <c r="A257" s="1" t="s">
        <v>1082</v>
      </c>
      <c r="B257" s="1" t="s">
        <v>117</v>
      </c>
      <c r="C257" s="1" t="s">
        <v>634</v>
      </c>
      <c r="D257" s="1" t="s">
        <v>505</v>
      </c>
      <c r="E257" s="1" t="s">
        <v>33</v>
      </c>
      <c r="F257" s="1" t="s">
        <v>25</v>
      </c>
      <c r="G257" s="2">
        <v>44955</v>
      </c>
      <c r="H257" s="2">
        <v>44973</v>
      </c>
      <c r="I257">
        <v>12</v>
      </c>
      <c r="J257">
        <v>18</v>
      </c>
      <c r="K257">
        <v>6</v>
      </c>
      <c r="L257" s="1" t="s">
        <v>193</v>
      </c>
      <c r="M257">
        <v>250.7</v>
      </c>
      <c r="N257">
        <v>765445.06</v>
      </c>
      <c r="O257">
        <v>2803526.8</v>
      </c>
      <c r="P257">
        <v>512551.79</v>
      </c>
      <c r="Q257" s="1" t="s">
        <v>1083</v>
      </c>
      <c r="R257">
        <v>36</v>
      </c>
      <c r="S257" s="1" t="s">
        <v>1084</v>
      </c>
      <c r="T257" t="b">
        <v>0</v>
      </c>
    </row>
    <row r="258" spans="1:20" x14ac:dyDescent="0.25">
      <c r="A258" s="1" t="s">
        <v>1085</v>
      </c>
      <c r="B258" s="1" t="s">
        <v>82</v>
      </c>
      <c r="C258" s="1" t="s">
        <v>292</v>
      </c>
      <c r="D258" s="1" t="s">
        <v>713</v>
      </c>
      <c r="E258" s="1" t="s">
        <v>41</v>
      </c>
      <c r="F258" s="1" t="s">
        <v>50</v>
      </c>
      <c r="G258" s="2">
        <v>44922</v>
      </c>
      <c r="H258" s="2"/>
      <c r="I258">
        <v>9</v>
      </c>
      <c r="J258">
        <v>3</v>
      </c>
      <c r="K258">
        <v>0</v>
      </c>
      <c r="L258" s="1" t="s">
        <v>26</v>
      </c>
      <c r="M258">
        <v>46.7</v>
      </c>
      <c r="N258">
        <v>145319.81</v>
      </c>
      <c r="O258">
        <v>109344.62</v>
      </c>
      <c r="P258">
        <v>47356.99</v>
      </c>
      <c r="Q258" s="1" t="s">
        <v>1086</v>
      </c>
      <c r="R258">
        <v>43</v>
      </c>
      <c r="S258" s="1" t="s">
        <v>1087</v>
      </c>
      <c r="T258" t="b">
        <v>1</v>
      </c>
    </row>
    <row r="259" spans="1:20" x14ac:dyDescent="0.25">
      <c r="A259" s="1" t="s">
        <v>1088</v>
      </c>
      <c r="B259" s="1" t="s">
        <v>403</v>
      </c>
      <c r="C259" s="1" t="s">
        <v>827</v>
      </c>
      <c r="D259" s="1" t="s">
        <v>263</v>
      </c>
      <c r="E259" s="1" t="s">
        <v>41</v>
      </c>
      <c r="F259" s="1" t="s">
        <v>50</v>
      </c>
      <c r="G259" s="2">
        <v>45374</v>
      </c>
      <c r="H259" s="2"/>
      <c r="I259">
        <v>9</v>
      </c>
      <c r="J259">
        <v>5</v>
      </c>
      <c r="K259">
        <v>0</v>
      </c>
      <c r="L259" s="1" t="s">
        <v>26</v>
      </c>
      <c r="M259">
        <v>34.200000000000003</v>
      </c>
      <c r="N259">
        <v>114283.68</v>
      </c>
      <c r="O259">
        <v>2506240.16</v>
      </c>
      <c r="P259">
        <v>293667.07</v>
      </c>
      <c r="Q259" s="1" t="s">
        <v>1089</v>
      </c>
      <c r="R259">
        <v>76</v>
      </c>
      <c r="S259" s="1" t="s">
        <v>1090</v>
      </c>
      <c r="T259" t="b">
        <v>1</v>
      </c>
    </row>
    <row r="260" spans="1:20" x14ac:dyDescent="0.25">
      <c r="A260" s="1" t="s">
        <v>1091</v>
      </c>
      <c r="B260" s="1" t="s">
        <v>76</v>
      </c>
      <c r="C260" s="1" t="s">
        <v>1092</v>
      </c>
      <c r="D260" s="1" t="s">
        <v>686</v>
      </c>
      <c r="E260" s="1" t="s">
        <v>49</v>
      </c>
      <c r="F260" s="1" t="s">
        <v>25</v>
      </c>
      <c r="G260" s="2">
        <v>45049</v>
      </c>
      <c r="H260" s="2">
        <v>45083</v>
      </c>
      <c r="I260">
        <v>25</v>
      </c>
      <c r="J260">
        <v>34</v>
      </c>
      <c r="K260">
        <v>9</v>
      </c>
      <c r="L260" s="1" t="s">
        <v>26</v>
      </c>
      <c r="M260">
        <v>465.1</v>
      </c>
      <c r="N260">
        <v>1250687.3700000001</v>
      </c>
      <c r="O260">
        <v>2925787.84</v>
      </c>
      <c r="P260">
        <v>580509.44999999995</v>
      </c>
      <c r="Q260" s="1" t="s">
        <v>1093</v>
      </c>
      <c r="R260">
        <v>31</v>
      </c>
      <c r="S260" s="1" t="s">
        <v>1094</v>
      </c>
      <c r="T260" t="b">
        <v>1</v>
      </c>
    </row>
    <row r="261" spans="1:20" x14ac:dyDescent="0.25">
      <c r="A261" s="1" t="s">
        <v>1095</v>
      </c>
      <c r="B261" s="1" t="s">
        <v>451</v>
      </c>
      <c r="C261" s="1" t="s">
        <v>907</v>
      </c>
      <c r="D261" s="1" t="s">
        <v>84</v>
      </c>
      <c r="E261" s="1" t="s">
        <v>65</v>
      </c>
      <c r="F261" s="1" t="s">
        <v>25</v>
      </c>
      <c r="G261" s="2">
        <v>45124</v>
      </c>
      <c r="H261" s="2">
        <v>45129</v>
      </c>
      <c r="I261">
        <v>4</v>
      </c>
      <c r="J261">
        <v>5</v>
      </c>
      <c r="K261">
        <v>0.5</v>
      </c>
      <c r="L261" s="1" t="s">
        <v>26</v>
      </c>
      <c r="M261">
        <v>71.8</v>
      </c>
      <c r="N261">
        <v>140081.70000000001</v>
      </c>
      <c r="O261">
        <v>2672015.15</v>
      </c>
      <c r="P261">
        <v>477948.97</v>
      </c>
      <c r="Q261" s="1" t="s">
        <v>1096</v>
      </c>
      <c r="R261">
        <v>76</v>
      </c>
      <c r="S261" s="1" t="s">
        <v>1097</v>
      </c>
      <c r="T261" t="b">
        <v>1</v>
      </c>
    </row>
    <row r="262" spans="1:20" x14ac:dyDescent="0.25">
      <c r="A262" s="1" t="s">
        <v>1098</v>
      </c>
      <c r="B262" s="1" t="s">
        <v>62</v>
      </c>
      <c r="C262" s="1" t="s">
        <v>1099</v>
      </c>
      <c r="D262" s="1" t="s">
        <v>144</v>
      </c>
      <c r="E262" s="1" t="s">
        <v>65</v>
      </c>
      <c r="F262" s="1" t="s">
        <v>34</v>
      </c>
      <c r="G262" s="2">
        <v>45305</v>
      </c>
      <c r="H262" s="2"/>
      <c r="I262">
        <v>4</v>
      </c>
      <c r="J262">
        <v>6</v>
      </c>
      <c r="K262">
        <v>1.5</v>
      </c>
      <c r="L262" s="1" t="s">
        <v>26</v>
      </c>
      <c r="M262">
        <v>83.1</v>
      </c>
      <c r="N262">
        <v>154308.42000000001</v>
      </c>
      <c r="O262">
        <v>4834357.75</v>
      </c>
      <c r="P262">
        <v>801087.36</v>
      </c>
      <c r="Q262" s="1" t="s">
        <v>1100</v>
      </c>
      <c r="R262">
        <v>55</v>
      </c>
      <c r="S262" s="1" t="s">
        <v>1101</v>
      </c>
      <c r="T262" t="b">
        <v>0</v>
      </c>
    </row>
    <row r="263" spans="1:20" x14ac:dyDescent="0.25">
      <c r="A263" s="1" t="s">
        <v>1102</v>
      </c>
      <c r="B263" s="1" t="s">
        <v>21</v>
      </c>
      <c r="C263" s="1" t="s">
        <v>1103</v>
      </c>
      <c r="D263" s="1" t="s">
        <v>78</v>
      </c>
      <c r="E263" s="1" t="s">
        <v>41</v>
      </c>
      <c r="F263" s="1" t="s">
        <v>34</v>
      </c>
      <c r="G263" s="2">
        <v>45195</v>
      </c>
      <c r="H263" s="2"/>
      <c r="I263">
        <v>9</v>
      </c>
      <c r="J263">
        <v>8</v>
      </c>
      <c r="K263">
        <v>0</v>
      </c>
      <c r="L263" s="1" t="s">
        <v>26</v>
      </c>
      <c r="M263">
        <v>118.7</v>
      </c>
      <c r="N263">
        <v>433275.24</v>
      </c>
      <c r="O263">
        <v>2679204.36</v>
      </c>
      <c r="P263">
        <v>384821.34</v>
      </c>
      <c r="Q263" s="1" t="s">
        <v>1104</v>
      </c>
      <c r="R263">
        <v>25</v>
      </c>
      <c r="S263" s="1" t="s">
        <v>1105</v>
      </c>
      <c r="T263" t="b">
        <v>1</v>
      </c>
    </row>
    <row r="264" spans="1:20" x14ac:dyDescent="0.25">
      <c r="A264" s="1" t="s">
        <v>1106</v>
      </c>
      <c r="B264" s="1" t="s">
        <v>158</v>
      </c>
      <c r="C264" s="1" t="s">
        <v>844</v>
      </c>
      <c r="D264" s="1" t="s">
        <v>350</v>
      </c>
      <c r="E264" s="1" t="s">
        <v>57</v>
      </c>
      <c r="F264" s="1" t="s">
        <v>50</v>
      </c>
      <c r="G264" s="2">
        <v>45171</v>
      </c>
      <c r="H264" s="2"/>
      <c r="I264">
        <v>40</v>
      </c>
      <c r="J264">
        <v>30</v>
      </c>
      <c r="K264">
        <v>0</v>
      </c>
      <c r="L264" s="1" t="s">
        <v>26</v>
      </c>
      <c r="M264">
        <v>449.7</v>
      </c>
      <c r="N264">
        <v>1576042.14</v>
      </c>
      <c r="O264">
        <v>4398541.57</v>
      </c>
      <c r="P264">
        <v>1055554.1399999999</v>
      </c>
      <c r="Q264" s="1" t="s">
        <v>1107</v>
      </c>
      <c r="R264">
        <v>67</v>
      </c>
      <c r="S264" s="1" t="s">
        <v>1108</v>
      </c>
      <c r="T264" t="b">
        <v>0</v>
      </c>
    </row>
    <row r="265" spans="1:20" x14ac:dyDescent="0.25">
      <c r="A265" s="1" t="s">
        <v>1109</v>
      </c>
      <c r="B265" s="1" t="s">
        <v>545</v>
      </c>
      <c r="C265" s="1" t="s">
        <v>206</v>
      </c>
      <c r="D265" s="1" t="s">
        <v>410</v>
      </c>
      <c r="E265" s="1" t="s">
        <v>41</v>
      </c>
      <c r="F265" s="1" t="s">
        <v>25</v>
      </c>
      <c r="G265" s="2">
        <v>45243</v>
      </c>
      <c r="H265" s="2">
        <v>45247</v>
      </c>
      <c r="I265">
        <v>9</v>
      </c>
      <c r="J265">
        <v>4</v>
      </c>
      <c r="K265">
        <v>0</v>
      </c>
      <c r="L265" s="1" t="s">
        <v>26</v>
      </c>
      <c r="M265">
        <v>55.6</v>
      </c>
      <c r="N265">
        <v>204936.15</v>
      </c>
      <c r="O265">
        <v>2536609.2200000002</v>
      </c>
      <c r="P265">
        <v>370617.55</v>
      </c>
      <c r="Q265" s="1" t="s">
        <v>1110</v>
      </c>
      <c r="R265">
        <v>21</v>
      </c>
      <c r="S265" s="1" t="s">
        <v>1111</v>
      </c>
      <c r="T265" t="b">
        <v>1</v>
      </c>
    </row>
    <row r="266" spans="1:20" x14ac:dyDescent="0.25">
      <c r="A266" s="1" t="s">
        <v>1112</v>
      </c>
      <c r="B266" s="1" t="s">
        <v>403</v>
      </c>
      <c r="C266" s="1" t="s">
        <v>1113</v>
      </c>
      <c r="D266" s="1" t="s">
        <v>64</v>
      </c>
      <c r="E266" s="1" t="s">
        <v>41</v>
      </c>
      <c r="F266" s="1" t="s">
        <v>25</v>
      </c>
      <c r="G266" s="2">
        <v>44938</v>
      </c>
      <c r="H266" s="2">
        <v>44953</v>
      </c>
      <c r="I266">
        <v>9</v>
      </c>
      <c r="J266">
        <v>15</v>
      </c>
      <c r="K266">
        <v>6</v>
      </c>
      <c r="L266" s="1" t="s">
        <v>193</v>
      </c>
      <c r="M266">
        <v>175.4</v>
      </c>
      <c r="N266">
        <v>317176.64</v>
      </c>
      <c r="O266">
        <v>1008375.84</v>
      </c>
      <c r="P266">
        <v>173057.18</v>
      </c>
      <c r="Q266" s="1" t="s">
        <v>1114</v>
      </c>
      <c r="R266">
        <v>58</v>
      </c>
      <c r="S266" s="1" t="s">
        <v>1115</v>
      </c>
      <c r="T266" t="b">
        <v>0</v>
      </c>
    </row>
    <row r="267" spans="1:20" x14ac:dyDescent="0.25">
      <c r="A267" s="1" t="s">
        <v>1116</v>
      </c>
      <c r="B267" s="1" t="s">
        <v>46</v>
      </c>
      <c r="C267" s="1" t="s">
        <v>837</v>
      </c>
      <c r="D267" s="1" t="s">
        <v>48</v>
      </c>
      <c r="E267" s="1" t="s">
        <v>65</v>
      </c>
      <c r="F267" s="1" t="s">
        <v>25</v>
      </c>
      <c r="G267" s="2">
        <v>45216</v>
      </c>
      <c r="H267" s="2">
        <v>45219</v>
      </c>
      <c r="I267">
        <v>4</v>
      </c>
      <c r="J267">
        <v>3</v>
      </c>
      <c r="K267">
        <v>0</v>
      </c>
      <c r="L267" s="1" t="s">
        <v>26</v>
      </c>
      <c r="M267">
        <v>21.4</v>
      </c>
      <c r="N267">
        <v>78241.84</v>
      </c>
      <c r="O267">
        <v>4135575.36</v>
      </c>
      <c r="P267">
        <v>758288.49</v>
      </c>
      <c r="Q267" s="1" t="s">
        <v>1117</v>
      </c>
      <c r="R267">
        <v>44</v>
      </c>
      <c r="S267" s="1" t="s">
        <v>1118</v>
      </c>
      <c r="T267" t="b">
        <v>1</v>
      </c>
    </row>
    <row r="268" spans="1:20" x14ac:dyDescent="0.25">
      <c r="A268" s="1" t="s">
        <v>1119</v>
      </c>
      <c r="B268" s="1" t="s">
        <v>21</v>
      </c>
      <c r="C268" s="1" t="s">
        <v>258</v>
      </c>
      <c r="D268" s="1" t="s">
        <v>72</v>
      </c>
      <c r="E268" s="1" t="s">
        <v>33</v>
      </c>
      <c r="F268" s="1" t="s">
        <v>66</v>
      </c>
      <c r="G268" s="2">
        <v>44604</v>
      </c>
      <c r="H268" s="2"/>
      <c r="I268">
        <v>12</v>
      </c>
      <c r="J268">
        <v>16</v>
      </c>
      <c r="K268">
        <v>4</v>
      </c>
      <c r="L268" s="1" t="s">
        <v>58</v>
      </c>
      <c r="M268">
        <v>181.5</v>
      </c>
      <c r="N268">
        <v>438777.99</v>
      </c>
      <c r="O268">
        <v>453993.08</v>
      </c>
      <c r="P268">
        <v>130561.06</v>
      </c>
      <c r="Q268" s="1" t="s">
        <v>1120</v>
      </c>
      <c r="R268">
        <v>36</v>
      </c>
      <c r="S268" s="1" t="s">
        <v>1121</v>
      </c>
      <c r="T268" t="b">
        <v>1</v>
      </c>
    </row>
    <row r="269" spans="1:20" x14ac:dyDescent="0.25">
      <c r="A269" s="1" t="s">
        <v>1122</v>
      </c>
      <c r="B269" s="1" t="s">
        <v>105</v>
      </c>
      <c r="C269" s="1" t="s">
        <v>186</v>
      </c>
      <c r="D269" s="1" t="s">
        <v>405</v>
      </c>
      <c r="E269" s="1" t="s">
        <v>24</v>
      </c>
      <c r="F269" s="1" t="s">
        <v>25</v>
      </c>
      <c r="G269" s="2">
        <v>44744</v>
      </c>
      <c r="H269" s="2">
        <v>44749</v>
      </c>
      <c r="I269">
        <v>3</v>
      </c>
      <c r="J269">
        <v>5</v>
      </c>
      <c r="K269">
        <v>2</v>
      </c>
      <c r="L269" s="1" t="s">
        <v>26</v>
      </c>
      <c r="M269">
        <v>27</v>
      </c>
      <c r="N269">
        <v>100984.73</v>
      </c>
      <c r="O269">
        <v>2181442.09</v>
      </c>
      <c r="P269">
        <v>438223.45</v>
      </c>
      <c r="Q269" s="1" t="s">
        <v>1123</v>
      </c>
      <c r="R269">
        <v>33</v>
      </c>
      <c r="S269" s="1" t="s">
        <v>1124</v>
      </c>
      <c r="T269" t="b">
        <v>1</v>
      </c>
    </row>
    <row r="270" spans="1:20" x14ac:dyDescent="0.25">
      <c r="A270" s="1" t="s">
        <v>1125</v>
      </c>
      <c r="B270" s="1" t="s">
        <v>111</v>
      </c>
      <c r="C270" s="1" t="s">
        <v>1126</v>
      </c>
      <c r="D270" s="1" t="s">
        <v>344</v>
      </c>
      <c r="E270" s="1" t="s">
        <v>24</v>
      </c>
      <c r="F270" s="1" t="s">
        <v>34</v>
      </c>
      <c r="G270" s="2">
        <v>45107</v>
      </c>
      <c r="H270" s="2"/>
      <c r="I270">
        <v>3</v>
      </c>
      <c r="J270">
        <v>4</v>
      </c>
      <c r="K270">
        <v>1</v>
      </c>
      <c r="L270" s="1" t="s">
        <v>26</v>
      </c>
      <c r="M270">
        <v>34.299999999999997</v>
      </c>
      <c r="N270">
        <v>101683.49</v>
      </c>
      <c r="O270">
        <v>1040963.71</v>
      </c>
      <c r="P270">
        <v>138896.38</v>
      </c>
      <c r="Q270" s="1" t="s">
        <v>1127</v>
      </c>
      <c r="R270">
        <v>46</v>
      </c>
      <c r="S270" s="1" t="s">
        <v>1128</v>
      </c>
      <c r="T270" t="b">
        <v>1</v>
      </c>
    </row>
    <row r="271" spans="1:20" x14ac:dyDescent="0.25">
      <c r="A271" s="1" t="s">
        <v>1129</v>
      </c>
      <c r="B271" s="1" t="s">
        <v>70</v>
      </c>
      <c r="C271" s="1" t="s">
        <v>1130</v>
      </c>
      <c r="D271" s="1" t="s">
        <v>410</v>
      </c>
      <c r="E271" s="1" t="s">
        <v>24</v>
      </c>
      <c r="F271" s="1" t="s">
        <v>25</v>
      </c>
      <c r="G271" s="2">
        <v>44620</v>
      </c>
      <c r="H271" s="2">
        <v>44622</v>
      </c>
      <c r="I271">
        <v>3</v>
      </c>
      <c r="J271">
        <v>2</v>
      </c>
      <c r="K271">
        <v>0</v>
      </c>
      <c r="L271" s="1" t="s">
        <v>26</v>
      </c>
      <c r="M271">
        <v>22.8</v>
      </c>
      <c r="N271">
        <v>96895.13</v>
      </c>
      <c r="O271">
        <v>1854492.32</v>
      </c>
      <c r="P271">
        <v>328665.77</v>
      </c>
      <c r="Q271" s="1" t="s">
        <v>1131</v>
      </c>
      <c r="R271">
        <v>45</v>
      </c>
      <c r="S271" s="1" t="s">
        <v>1132</v>
      </c>
      <c r="T271" t="b">
        <v>1</v>
      </c>
    </row>
    <row r="272" spans="1:20" x14ac:dyDescent="0.25">
      <c r="A272" s="1" t="s">
        <v>1133</v>
      </c>
      <c r="B272" s="1" t="s">
        <v>566</v>
      </c>
      <c r="C272" s="1" t="s">
        <v>1134</v>
      </c>
      <c r="D272" s="1" t="s">
        <v>192</v>
      </c>
      <c r="E272" s="1" t="s">
        <v>41</v>
      </c>
      <c r="F272" s="1" t="s">
        <v>25</v>
      </c>
      <c r="G272" s="2">
        <v>45347</v>
      </c>
      <c r="H272" s="2">
        <v>45361</v>
      </c>
      <c r="I272">
        <v>9</v>
      </c>
      <c r="J272">
        <v>14</v>
      </c>
      <c r="K272">
        <v>5</v>
      </c>
      <c r="L272" s="1" t="s">
        <v>330</v>
      </c>
      <c r="M272">
        <v>156.30000000000001</v>
      </c>
      <c r="N272">
        <v>312170.2</v>
      </c>
      <c r="O272">
        <v>2789429.87</v>
      </c>
      <c r="P272">
        <v>326323.25</v>
      </c>
      <c r="Q272" s="1" t="s">
        <v>1135</v>
      </c>
      <c r="R272">
        <v>36</v>
      </c>
      <c r="S272" s="1" t="s">
        <v>1136</v>
      </c>
      <c r="T272" t="b">
        <v>0</v>
      </c>
    </row>
    <row r="273" spans="1:20" x14ac:dyDescent="0.25">
      <c r="A273" s="1" t="s">
        <v>1137</v>
      </c>
      <c r="B273" s="1" t="s">
        <v>228</v>
      </c>
      <c r="C273" s="1" t="s">
        <v>486</v>
      </c>
      <c r="D273" s="1" t="s">
        <v>176</v>
      </c>
      <c r="E273" s="1" t="s">
        <v>65</v>
      </c>
      <c r="F273" s="1" t="s">
        <v>34</v>
      </c>
      <c r="G273" s="2">
        <v>45181</v>
      </c>
      <c r="H273" s="2"/>
      <c r="I273">
        <v>4</v>
      </c>
      <c r="J273">
        <v>6</v>
      </c>
      <c r="K273">
        <v>1.5</v>
      </c>
      <c r="L273" s="1" t="s">
        <v>26</v>
      </c>
      <c r="M273">
        <v>33.5</v>
      </c>
      <c r="N273">
        <v>141001.84</v>
      </c>
      <c r="O273">
        <v>215213.69</v>
      </c>
      <c r="P273">
        <v>42011.07</v>
      </c>
      <c r="Q273" s="1" t="s">
        <v>1138</v>
      </c>
      <c r="R273">
        <v>25</v>
      </c>
      <c r="S273" s="1" t="s">
        <v>1139</v>
      </c>
      <c r="T273" t="b">
        <v>0</v>
      </c>
    </row>
    <row r="274" spans="1:20" x14ac:dyDescent="0.25">
      <c r="A274" s="1" t="s">
        <v>1140</v>
      </c>
      <c r="B274" s="1" t="s">
        <v>286</v>
      </c>
      <c r="C274" s="1" t="s">
        <v>1141</v>
      </c>
      <c r="D274" s="1" t="s">
        <v>713</v>
      </c>
      <c r="E274" s="1" t="s">
        <v>65</v>
      </c>
      <c r="F274" s="1" t="s">
        <v>25</v>
      </c>
      <c r="G274" s="2">
        <v>45648</v>
      </c>
      <c r="H274" s="2">
        <v>45653</v>
      </c>
      <c r="I274">
        <v>4</v>
      </c>
      <c r="J274">
        <v>5</v>
      </c>
      <c r="K274">
        <v>0.5</v>
      </c>
      <c r="L274" s="1" t="s">
        <v>26</v>
      </c>
      <c r="M274">
        <v>27</v>
      </c>
      <c r="N274">
        <v>51819.42</v>
      </c>
      <c r="O274">
        <v>648078.76</v>
      </c>
      <c r="P274">
        <v>130998.51</v>
      </c>
      <c r="Q274" s="1" t="s">
        <v>1142</v>
      </c>
      <c r="R274">
        <v>76</v>
      </c>
      <c r="S274" s="1" t="s">
        <v>1143</v>
      </c>
      <c r="T274" t="b">
        <v>0</v>
      </c>
    </row>
    <row r="275" spans="1:20" x14ac:dyDescent="0.25">
      <c r="A275" s="1" t="s">
        <v>1144</v>
      </c>
      <c r="B275" s="1" t="s">
        <v>169</v>
      </c>
      <c r="C275" s="1" t="s">
        <v>191</v>
      </c>
      <c r="D275" s="1" t="s">
        <v>513</v>
      </c>
      <c r="E275" s="1" t="s">
        <v>49</v>
      </c>
      <c r="F275" s="1" t="s">
        <v>25</v>
      </c>
      <c r="G275" s="2">
        <v>45102</v>
      </c>
      <c r="H275" s="2">
        <v>45125</v>
      </c>
      <c r="I275">
        <v>25</v>
      </c>
      <c r="J275">
        <v>23</v>
      </c>
      <c r="K275">
        <v>0</v>
      </c>
      <c r="L275" s="1" t="s">
        <v>26</v>
      </c>
      <c r="M275">
        <v>338.4</v>
      </c>
      <c r="N275">
        <v>897425.25</v>
      </c>
      <c r="O275">
        <v>4972879.68</v>
      </c>
      <c r="P275">
        <v>1035331.25</v>
      </c>
      <c r="Q275" s="1" t="s">
        <v>1145</v>
      </c>
      <c r="R275">
        <v>29</v>
      </c>
      <c r="S275" s="1" t="s">
        <v>1146</v>
      </c>
      <c r="T275" t="b">
        <v>1</v>
      </c>
    </row>
    <row r="276" spans="1:20" x14ac:dyDescent="0.25">
      <c r="A276" s="1" t="s">
        <v>1147</v>
      </c>
      <c r="B276" s="1" t="s">
        <v>99</v>
      </c>
      <c r="C276" s="1" t="s">
        <v>39</v>
      </c>
      <c r="D276" s="1" t="s">
        <v>216</v>
      </c>
      <c r="E276" s="1" t="s">
        <v>57</v>
      </c>
      <c r="F276" s="1" t="s">
        <v>25</v>
      </c>
      <c r="G276" s="2">
        <v>45032</v>
      </c>
      <c r="H276" s="2">
        <v>45082</v>
      </c>
      <c r="I276">
        <v>40</v>
      </c>
      <c r="J276">
        <v>50</v>
      </c>
      <c r="K276">
        <v>10</v>
      </c>
      <c r="L276" s="1" t="s">
        <v>330</v>
      </c>
      <c r="M276">
        <v>356.1</v>
      </c>
      <c r="N276">
        <v>1319742.1100000001</v>
      </c>
      <c r="O276">
        <v>2187785.0299999998</v>
      </c>
      <c r="P276">
        <v>699822.43</v>
      </c>
      <c r="Q276" s="1" t="s">
        <v>1148</v>
      </c>
      <c r="R276">
        <v>51</v>
      </c>
      <c r="S276" s="1" t="s">
        <v>1149</v>
      </c>
      <c r="T276" t="b">
        <v>1</v>
      </c>
    </row>
    <row r="277" spans="1:20" x14ac:dyDescent="0.25">
      <c r="A277" s="1" t="s">
        <v>1150</v>
      </c>
      <c r="B277" s="1" t="s">
        <v>220</v>
      </c>
      <c r="C277" s="1" t="s">
        <v>780</v>
      </c>
      <c r="D277" s="1" t="s">
        <v>130</v>
      </c>
      <c r="E277" s="1" t="s">
        <v>33</v>
      </c>
      <c r="F277" s="1" t="s">
        <v>25</v>
      </c>
      <c r="G277" s="2">
        <v>44865</v>
      </c>
      <c r="H277" s="2">
        <v>44872</v>
      </c>
      <c r="I277">
        <v>12</v>
      </c>
      <c r="J277">
        <v>7</v>
      </c>
      <c r="K277">
        <v>0</v>
      </c>
      <c r="L277" s="1" t="s">
        <v>26</v>
      </c>
      <c r="M277">
        <v>45.1</v>
      </c>
      <c r="N277">
        <v>115776.86</v>
      </c>
      <c r="O277">
        <v>4176418.76</v>
      </c>
      <c r="P277">
        <v>751107.04</v>
      </c>
      <c r="Q277" s="1" t="s">
        <v>1151</v>
      </c>
      <c r="R277">
        <v>20</v>
      </c>
      <c r="S277" s="1" t="s">
        <v>1152</v>
      </c>
      <c r="T277" t="b">
        <v>1</v>
      </c>
    </row>
    <row r="278" spans="1:20" x14ac:dyDescent="0.25">
      <c r="A278" s="1" t="s">
        <v>1153</v>
      </c>
      <c r="B278" s="1" t="s">
        <v>220</v>
      </c>
      <c r="C278" s="1" t="s">
        <v>757</v>
      </c>
      <c r="D278" s="1" t="s">
        <v>244</v>
      </c>
      <c r="E278" s="1" t="s">
        <v>33</v>
      </c>
      <c r="F278" s="1" t="s">
        <v>25</v>
      </c>
      <c r="G278" s="2">
        <v>45414</v>
      </c>
      <c r="H278" s="2">
        <v>45432</v>
      </c>
      <c r="I278">
        <v>12</v>
      </c>
      <c r="J278">
        <v>18</v>
      </c>
      <c r="K278">
        <v>6</v>
      </c>
      <c r="L278" s="1" t="s">
        <v>330</v>
      </c>
      <c r="M278">
        <v>179.6</v>
      </c>
      <c r="N278">
        <v>369010.49</v>
      </c>
      <c r="O278">
        <v>1650002.3</v>
      </c>
      <c r="P278">
        <v>259298.03</v>
      </c>
      <c r="Q278" s="1" t="s">
        <v>1154</v>
      </c>
      <c r="R278">
        <v>40</v>
      </c>
      <c r="S278" s="1" t="s">
        <v>1155</v>
      </c>
      <c r="T278" t="b">
        <v>1</v>
      </c>
    </row>
    <row r="279" spans="1:20" x14ac:dyDescent="0.25">
      <c r="A279" s="1" t="s">
        <v>1156</v>
      </c>
      <c r="B279" s="1" t="s">
        <v>253</v>
      </c>
      <c r="C279" s="1" t="s">
        <v>1157</v>
      </c>
      <c r="D279" s="1" t="s">
        <v>758</v>
      </c>
      <c r="E279" s="1" t="s">
        <v>33</v>
      </c>
      <c r="F279" s="1" t="s">
        <v>25</v>
      </c>
      <c r="G279" s="2">
        <v>44621</v>
      </c>
      <c r="H279" s="2">
        <v>44638</v>
      </c>
      <c r="I279">
        <v>12</v>
      </c>
      <c r="J279">
        <v>17</v>
      </c>
      <c r="K279">
        <v>5</v>
      </c>
      <c r="L279" s="1" t="s">
        <v>101</v>
      </c>
      <c r="M279">
        <v>202.5</v>
      </c>
      <c r="N279">
        <v>612754.85</v>
      </c>
      <c r="O279">
        <v>4776455.6399999997</v>
      </c>
      <c r="P279">
        <v>859150.23</v>
      </c>
      <c r="Q279" s="1" t="s">
        <v>1158</v>
      </c>
      <c r="R279">
        <v>80</v>
      </c>
      <c r="S279" s="1" t="s">
        <v>1159</v>
      </c>
      <c r="T279" t="b">
        <v>1</v>
      </c>
    </row>
    <row r="280" spans="1:20" x14ac:dyDescent="0.25">
      <c r="A280" s="1" t="s">
        <v>1160</v>
      </c>
      <c r="B280" s="1" t="s">
        <v>46</v>
      </c>
      <c r="C280" s="1" t="s">
        <v>1099</v>
      </c>
      <c r="D280" s="1" t="s">
        <v>541</v>
      </c>
      <c r="E280" s="1" t="s">
        <v>33</v>
      </c>
      <c r="F280" s="1" t="s">
        <v>50</v>
      </c>
      <c r="G280" s="2">
        <v>44994</v>
      </c>
      <c r="H280" s="2"/>
      <c r="I280">
        <v>12</v>
      </c>
      <c r="J280">
        <v>16</v>
      </c>
      <c r="K280">
        <v>4</v>
      </c>
      <c r="L280" s="1" t="s">
        <v>330</v>
      </c>
      <c r="M280">
        <v>118.3</v>
      </c>
      <c r="N280">
        <v>467876.12</v>
      </c>
      <c r="O280">
        <v>3721561.96</v>
      </c>
      <c r="P280">
        <v>648171.52000000002</v>
      </c>
      <c r="Q280" s="1" t="s">
        <v>1161</v>
      </c>
      <c r="R280">
        <v>75</v>
      </c>
      <c r="S280" s="1" t="s">
        <v>1162</v>
      </c>
      <c r="T280" t="b">
        <v>0</v>
      </c>
    </row>
    <row r="281" spans="1:20" x14ac:dyDescent="0.25">
      <c r="A281" s="1" t="s">
        <v>1163</v>
      </c>
      <c r="B281" s="1" t="s">
        <v>30</v>
      </c>
      <c r="C281" s="1" t="s">
        <v>1164</v>
      </c>
      <c r="D281" s="1" t="s">
        <v>288</v>
      </c>
      <c r="E281" s="1" t="s">
        <v>33</v>
      </c>
      <c r="F281" s="1" t="s">
        <v>50</v>
      </c>
      <c r="G281" s="2">
        <v>44744</v>
      </c>
      <c r="H281" s="2"/>
      <c r="I281">
        <v>12</v>
      </c>
      <c r="J281">
        <v>9</v>
      </c>
      <c r="K281">
        <v>0</v>
      </c>
      <c r="L281" s="1" t="s">
        <v>26</v>
      </c>
      <c r="M281">
        <v>53.6</v>
      </c>
      <c r="N281">
        <v>209288.16</v>
      </c>
      <c r="O281">
        <v>1431830.09</v>
      </c>
      <c r="P281">
        <v>287615.58</v>
      </c>
      <c r="Q281" s="1" t="s">
        <v>1165</v>
      </c>
      <c r="R281">
        <v>71</v>
      </c>
      <c r="S281" s="1" t="s">
        <v>1166</v>
      </c>
      <c r="T281" t="b">
        <v>0</v>
      </c>
    </row>
    <row r="282" spans="1:20" x14ac:dyDescent="0.25">
      <c r="A282" s="1" t="s">
        <v>1167</v>
      </c>
      <c r="B282" s="1" t="s">
        <v>286</v>
      </c>
      <c r="C282" s="1" t="s">
        <v>399</v>
      </c>
      <c r="D282" s="1" t="s">
        <v>40</v>
      </c>
      <c r="E282" s="1" t="s">
        <v>24</v>
      </c>
      <c r="F282" s="1" t="s">
        <v>34</v>
      </c>
      <c r="G282" s="2">
        <v>44830</v>
      </c>
      <c r="H282" s="2"/>
      <c r="I282">
        <v>3</v>
      </c>
      <c r="J282">
        <v>1</v>
      </c>
      <c r="K282">
        <v>0</v>
      </c>
      <c r="L282" s="1" t="s">
        <v>26</v>
      </c>
      <c r="M282">
        <v>14</v>
      </c>
      <c r="N282">
        <v>44578.29</v>
      </c>
      <c r="O282">
        <v>2453218.9500000002</v>
      </c>
      <c r="P282">
        <v>470937.95</v>
      </c>
      <c r="Q282" s="1" t="s">
        <v>1168</v>
      </c>
      <c r="R282">
        <v>47</v>
      </c>
      <c r="S282" s="1" t="s">
        <v>1169</v>
      </c>
      <c r="T282" t="b">
        <v>0</v>
      </c>
    </row>
    <row r="283" spans="1:20" x14ac:dyDescent="0.25">
      <c r="A283" s="1" t="s">
        <v>1170</v>
      </c>
      <c r="B283" s="1" t="s">
        <v>30</v>
      </c>
      <c r="C283" s="1" t="s">
        <v>693</v>
      </c>
      <c r="D283" s="1" t="s">
        <v>95</v>
      </c>
      <c r="E283" s="1" t="s">
        <v>65</v>
      </c>
      <c r="F283" s="1" t="s">
        <v>34</v>
      </c>
      <c r="G283" s="2">
        <v>44943</v>
      </c>
      <c r="H283" s="2"/>
      <c r="I283">
        <v>4</v>
      </c>
      <c r="J283">
        <v>7</v>
      </c>
      <c r="K283">
        <v>2.5</v>
      </c>
      <c r="L283" s="1" t="s">
        <v>26</v>
      </c>
      <c r="M283">
        <v>35.799999999999997</v>
      </c>
      <c r="N283">
        <v>114059.59</v>
      </c>
      <c r="O283">
        <v>4866626.24</v>
      </c>
      <c r="P283">
        <v>834982.11</v>
      </c>
      <c r="Q283" s="1" t="s">
        <v>1117</v>
      </c>
      <c r="R283">
        <v>61</v>
      </c>
      <c r="S283" s="1" t="s">
        <v>1171</v>
      </c>
      <c r="T283" t="b">
        <v>1</v>
      </c>
    </row>
    <row r="284" spans="1:20" x14ac:dyDescent="0.25">
      <c r="A284" s="1" t="s">
        <v>1172</v>
      </c>
      <c r="B284" s="1" t="s">
        <v>403</v>
      </c>
      <c r="C284" s="1" t="s">
        <v>697</v>
      </c>
      <c r="D284" s="1" t="s">
        <v>238</v>
      </c>
      <c r="E284" s="1" t="s">
        <v>65</v>
      </c>
      <c r="F284" s="1" t="s">
        <v>25</v>
      </c>
      <c r="G284" s="2">
        <v>45157</v>
      </c>
      <c r="H284" s="2">
        <v>45159</v>
      </c>
      <c r="I284">
        <v>4</v>
      </c>
      <c r="J284">
        <v>2</v>
      </c>
      <c r="K284">
        <v>0</v>
      </c>
      <c r="L284" s="1" t="s">
        <v>26</v>
      </c>
      <c r="M284">
        <v>29.8</v>
      </c>
      <c r="N284">
        <v>92068.61</v>
      </c>
      <c r="O284">
        <v>751546.63</v>
      </c>
      <c r="P284">
        <v>95142.06</v>
      </c>
      <c r="Q284" s="1" t="s">
        <v>1173</v>
      </c>
      <c r="R284">
        <v>56</v>
      </c>
      <c r="S284" s="1" t="s">
        <v>1174</v>
      </c>
      <c r="T284" t="b">
        <v>1</v>
      </c>
    </row>
    <row r="285" spans="1:20" x14ac:dyDescent="0.25">
      <c r="A285" s="1" t="s">
        <v>1175</v>
      </c>
      <c r="B285" s="1" t="s">
        <v>220</v>
      </c>
      <c r="C285" s="1" t="s">
        <v>922</v>
      </c>
      <c r="D285" s="1" t="s">
        <v>541</v>
      </c>
      <c r="E285" s="1" t="s">
        <v>33</v>
      </c>
      <c r="F285" s="1" t="s">
        <v>66</v>
      </c>
      <c r="G285" s="2">
        <v>44718</v>
      </c>
      <c r="H285" s="2"/>
      <c r="I285">
        <v>12</v>
      </c>
      <c r="J285">
        <v>7</v>
      </c>
      <c r="K285">
        <v>0</v>
      </c>
      <c r="L285" s="1" t="s">
        <v>26</v>
      </c>
      <c r="M285">
        <v>70.900000000000006</v>
      </c>
      <c r="N285">
        <v>206684.3</v>
      </c>
      <c r="O285">
        <v>2328635.9</v>
      </c>
      <c r="P285">
        <v>436153.67</v>
      </c>
      <c r="Q285" s="1" t="s">
        <v>1176</v>
      </c>
      <c r="R285">
        <v>52</v>
      </c>
      <c r="S285" s="1" t="s">
        <v>1177</v>
      </c>
      <c r="T285" t="b">
        <v>1</v>
      </c>
    </row>
    <row r="286" spans="1:20" x14ac:dyDescent="0.25">
      <c r="A286" s="1" t="s">
        <v>1178</v>
      </c>
      <c r="B286" s="1" t="s">
        <v>220</v>
      </c>
      <c r="C286" s="1" t="s">
        <v>206</v>
      </c>
      <c r="D286" s="1" t="s">
        <v>40</v>
      </c>
      <c r="E286" s="1" t="s">
        <v>41</v>
      </c>
      <c r="F286" s="1" t="s">
        <v>34</v>
      </c>
      <c r="G286" s="2">
        <v>44795</v>
      </c>
      <c r="H286" s="2"/>
      <c r="I286">
        <v>9</v>
      </c>
      <c r="J286">
        <v>10</v>
      </c>
      <c r="K286">
        <v>1</v>
      </c>
      <c r="L286" s="1" t="s">
        <v>26</v>
      </c>
      <c r="M286">
        <v>61.5</v>
      </c>
      <c r="N286">
        <v>140955.66</v>
      </c>
      <c r="O286">
        <v>1970857.11</v>
      </c>
      <c r="P286">
        <v>228770.68</v>
      </c>
      <c r="Q286" s="1" t="s">
        <v>1179</v>
      </c>
      <c r="R286">
        <v>62</v>
      </c>
      <c r="S286" s="1" t="s">
        <v>1180</v>
      </c>
      <c r="T286" t="b">
        <v>0</v>
      </c>
    </row>
    <row r="287" spans="1:20" x14ac:dyDescent="0.25">
      <c r="A287" s="1" t="s">
        <v>1181</v>
      </c>
      <c r="B287" s="1" t="s">
        <v>54</v>
      </c>
      <c r="C287" s="1" t="s">
        <v>1013</v>
      </c>
      <c r="D287" s="1" t="s">
        <v>23</v>
      </c>
      <c r="E287" s="1" t="s">
        <v>24</v>
      </c>
      <c r="F287" s="1" t="s">
        <v>50</v>
      </c>
      <c r="G287" s="2">
        <v>45104</v>
      </c>
      <c r="H287" s="2"/>
      <c r="I287">
        <v>3</v>
      </c>
      <c r="J287">
        <v>2</v>
      </c>
      <c r="K287">
        <v>0</v>
      </c>
      <c r="L287" s="1" t="s">
        <v>26</v>
      </c>
      <c r="M287">
        <v>13.1</v>
      </c>
      <c r="N287">
        <v>26346.66</v>
      </c>
      <c r="O287">
        <v>4911109.08</v>
      </c>
      <c r="P287">
        <v>621782.53</v>
      </c>
      <c r="Q287" s="1" t="s">
        <v>1182</v>
      </c>
      <c r="R287">
        <v>27</v>
      </c>
      <c r="S287" s="1" t="s">
        <v>1183</v>
      </c>
      <c r="T287" t="b">
        <v>1</v>
      </c>
    </row>
    <row r="288" spans="1:20" x14ac:dyDescent="0.25">
      <c r="A288" s="1" t="s">
        <v>1184</v>
      </c>
      <c r="B288" s="1" t="s">
        <v>253</v>
      </c>
      <c r="C288" s="1" t="s">
        <v>164</v>
      </c>
      <c r="D288" s="1" t="s">
        <v>410</v>
      </c>
      <c r="E288" s="1" t="s">
        <v>41</v>
      </c>
      <c r="F288" s="1" t="s">
        <v>25</v>
      </c>
      <c r="G288" s="2">
        <v>44913</v>
      </c>
      <c r="H288" s="2">
        <v>44923</v>
      </c>
      <c r="I288">
        <v>9</v>
      </c>
      <c r="J288">
        <v>10</v>
      </c>
      <c r="K288">
        <v>1</v>
      </c>
      <c r="L288" s="1" t="s">
        <v>26</v>
      </c>
      <c r="M288">
        <v>123</v>
      </c>
      <c r="N288">
        <v>509922.01</v>
      </c>
      <c r="O288">
        <v>4829361</v>
      </c>
      <c r="P288">
        <v>855293.04</v>
      </c>
      <c r="Q288" s="1" t="s">
        <v>1185</v>
      </c>
      <c r="R288">
        <v>63</v>
      </c>
      <c r="S288" s="1" t="s">
        <v>1186</v>
      </c>
      <c r="T288" t="b">
        <v>0</v>
      </c>
    </row>
    <row r="289" spans="1:20" x14ac:dyDescent="0.25">
      <c r="A289" s="1" t="s">
        <v>1187</v>
      </c>
      <c r="B289" s="1" t="s">
        <v>471</v>
      </c>
      <c r="C289" s="1" t="s">
        <v>55</v>
      </c>
      <c r="D289" s="1" t="s">
        <v>595</v>
      </c>
      <c r="E289" s="1" t="s">
        <v>33</v>
      </c>
      <c r="F289" s="1" t="s">
        <v>25</v>
      </c>
      <c r="G289" s="2">
        <v>45181</v>
      </c>
      <c r="H289" s="2">
        <v>45189</v>
      </c>
      <c r="I289">
        <v>12</v>
      </c>
      <c r="J289">
        <v>8</v>
      </c>
      <c r="K289">
        <v>0</v>
      </c>
      <c r="L289" s="1" t="s">
        <v>26</v>
      </c>
      <c r="M289">
        <v>33.299999999999997</v>
      </c>
      <c r="N289">
        <v>70002.05</v>
      </c>
      <c r="O289">
        <v>89267.38</v>
      </c>
      <c r="P289">
        <v>31384.37</v>
      </c>
      <c r="Q289" s="1" t="s">
        <v>1188</v>
      </c>
      <c r="R289">
        <v>73</v>
      </c>
      <c r="S289" s="1" t="s">
        <v>1189</v>
      </c>
      <c r="T289" t="b">
        <v>1</v>
      </c>
    </row>
    <row r="290" spans="1:20" x14ac:dyDescent="0.25">
      <c r="A290" s="1" t="s">
        <v>1190</v>
      </c>
      <c r="B290" s="1" t="s">
        <v>30</v>
      </c>
      <c r="C290" s="1" t="s">
        <v>1191</v>
      </c>
      <c r="D290" s="1" t="s">
        <v>505</v>
      </c>
      <c r="E290" s="1" t="s">
        <v>24</v>
      </c>
      <c r="F290" s="1" t="s">
        <v>50</v>
      </c>
      <c r="G290" s="2">
        <v>44738</v>
      </c>
      <c r="H290" s="2"/>
      <c r="I290">
        <v>3</v>
      </c>
      <c r="J290">
        <v>4</v>
      </c>
      <c r="K290">
        <v>1</v>
      </c>
      <c r="L290" s="1" t="s">
        <v>26</v>
      </c>
      <c r="M290">
        <v>23.1</v>
      </c>
      <c r="N290">
        <v>67892.61</v>
      </c>
      <c r="O290">
        <v>591129.51</v>
      </c>
      <c r="P290">
        <v>125373.38</v>
      </c>
      <c r="Q290" s="1" t="s">
        <v>1192</v>
      </c>
      <c r="R290">
        <v>75</v>
      </c>
      <c r="S290" s="1" t="s">
        <v>1193</v>
      </c>
      <c r="T290" t="b">
        <v>0</v>
      </c>
    </row>
    <row r="291" spans="1:20" x14ac:dyDescent="0.25">
      <c r="A291" s="1" t="s">
        <v>1194</v>
      </c>
      <c r="B291" s="1" t="s">
        <v>30</v>
      </c>
      <c r="C291" s="1" t="s">
        <v>892</v>
      </c>
      <c r="D291" s="1" t="s">
        <v>72</v>
      </c>
      <c r="E291" s="1" t="s">
        <v>57</v>
      </c>
      <c r="F291" s="1" t="s">
        <v>25</v>
      </c>
      <c r="G291" s="2">
        <v>45058</v>
      </c>
      <c r="H291" s="2">
        <v>45114</v>
      </c>
      <c r="I291">
        <v>40</v>
      </c>
      <c r="J291">
        <v>56</v>
      </c>
      <c r="K291">
        <v>16</v>
      </c>
      <c r="L291" s="1" t="s">
        <v>26</v>
      </c>
      <c r="M291">
        <v>781.4</v>
      </c>
      <c r="N291">
        <v>2232991.2799999998</v>
      </c>
      <c r="O291">
        <v>1675911.78</v>
      </c>
      <c r="P291">
        <v>431020.48</v>
      </c>
      <c r="Q291" s="1" t="s">
        <v>1195</v>
      </c>
      <c r="R291">
        <v>66</v>
      </c>
      <c r="S291" s="1" t="s">
        <v>1196</v>
      </c>
      <c r="T291" t="b">
        <v>0</v>
      </c>
    </row>
    <row r="292" spans="1:20" x14ac:dyDescent="0.25">
      <c r="A292" s="1" t="s">
        <v>1197</v>
      </c>
      <c r="B292" s="1" t="s">
        <v>403</v>
      </c>
      <c r="C292" s="1" t="s">
        <v>621</v>
      </c>
      <c r="D292" s="1" t="s">
        <v>595</v>
      </c>
      <c r="E292" s="1" t="s">
        <v>65</v>
      </c>
      <c r="F292" s="1" t="s">
        <v>25</v>
      </c>
      <c r="G292" s="2">
        <v>44637</v>
      </c>
      <c r="H292" s="2">
        <v>44645</v>
      </c>
      <c r="I292">
        <v>4</v>
      </c>
      <c r="J292">
        <v>8</v>
      </c>
      <c r="K292">
        <v>3.5</v>
      </c>
      <c r="L292" s="1" t="s">
        <v>58</v>
      </c>
      <c r="M292">
        <v>81.3</v>
      </c>
      <c r="N292">
        <v>305400.06</v>
      </c>
      <c r="O292">
        <v>4677051.96</v>
      </c>
      <c r="P292">
        <v>949193.55</v>
      </c>
      <c r="Q292" s="1" t="s">
        <v>1198</v>
      </c>
      <c r="R292">
        <v>56</v>
      </c>
      <c r="S292" s="1" t="s">
        <v>1199</v>
      </c>
      <c r="T292" t="b">
        <v>0</v>
      </c>
    </row>
    <row r="293" spans="1:20" x14ac:dyDescent="0.25">
      <c r="A293" s="1" t="s">
        <v>1200</v>
      </c>
      <c r="B293" s="1" t="s">
        <v>174</v>
      </c>
      <c r="C293" s="1" t="s">
        <v>606</v>
      </c>
      <c r="D293" s="1" t="s">
        <v>124</v>
      </c>
      <c r="E293" s="1" t="s">
        <v>24</v>
      </c>
      <c r="F293" s="1" t="s">
        <v>34</v>
      </c>
      <c r="G293" s="2">
        <v>44692</v>
      </c>
      <c r="H293" s="2"/>
      <c r="I293">
        <v>3</v>
      </c>
      <c r="J293">
        <v>4</v>
      </c>
      <c r="K293">
        <v>1</v>
      </c>
      <c r="L293" s="1" t="s">
        <v>26</v>
      </c>
      <c r="M293">
        <v>58.7</v>
      </c>
      <c r="N293">
        <v>124193.94</v>
      </c>
      <c r="O293">
        <v>3117256.48</v>
      </c>
      <c r="P293">
        <v>533601.02</v>
      </c>
      <c r="Q293" s="1" t="s">
        <v>1201</v>
      </c>
      <c r="R293">
        <v>32</v>
      </c>
      <c r="S293" s="1" t="s">
        <v>1202</v>
      </c>
      <c r="T293" t="b">
        <v>0</v>
      </c>
    </row>
    <row r="294" spans="1:20" x14ac:dyDescent="0.25">
      <c r="A294" s="1" t="s">
        <v>1203</v>
      </c>
      <c r="B294" s="1" t="s">
        <v>163</v>
      </c>
      <c r="C294" s="1" t="s">
        <v>248</v>
      </c>
      <c r="D294" s="1" t="s">
        <v>113</v>
      </c>
      <c r="E294" s="1" t="s">
        <v>65</v>
      </c>
      <c r="F294" s="1" t="s">
        <v>25</v>
      </c>
      <c r="G294" s="2">
        <v>45266</v>
      </c>
      <c r="H294" s="2">
        <v>45270</v>
      </c>
      <c r="I294">
        <v>4</v>
      </c>
      <c r="J294">
        <v>4</v>
      </c>
      <c r="K294">
        <v>0</v>
      </c>
      <c r="L294" s="1" t="s">
        <v>26</v>
      </c>
      <c r="M294">
        <v>44.2</v>
      </c>
      <c r="N294">
        <v>161304.81</v>
      </c>
      <c r="O294">
        <v>4609460.63</v>
      </c>
      <c r="P294">
        <v>884239.33</v>
      </c>
      <c r="Q294" s="1" t="s">
        <v>1204</v>
      </c>
      <c r="R294">
        <v>73</v>
      </c>
      <c r="S294" s="1" t="s">
        <v>1205</v>
      </c>
      <c r="T294" t="b">
        <v>0</v>
      </c>
    </row>
    <row r="295" spans="1:20" x14ac:dyDescent="0.25">
      <c r="A295" s="1" t="s">
        <v>1206</v>
      </c>
      <c r="B295" s="1" t="s">
        <v>148</v>
      </c>
      <c r="C295" s="1" t="s">
        <v>562</v>
      </c>
      <c r="D295" s="1" t="s">
        <v>263</v>
      </c>
      <c r="E295" s="1" t="s">
        <v>57</v>
      </c>
      <c r="F295" s="1" t="s">
        <v>66</v>
      </c>
      <c r="G295" s="2">
        <v>45529</v>
      </c>
      <c r="H295" s="2"/>
      <c r="I295">
        <v>40</v>
      </c>
      <c r="J295">
        <v>33</v>
      </c>
      <c r="K295">
        <v>0</v>
      </c>
      <c r="L295" s="1" t="s">
        <v>26</v>
      </c>
      <c r="M295">
        <v>243.9</v>
      </c>
      <c r="N295">
        <v>932426.44</v>
      </c>
      <c r="O295">
        <v>3338611.7</v>
      </c>
      <c r="P295">
        <v>482241.44</v>
      </c>
      <c r="Q295" s="1" t="s">
        <v>1207</v>
      </c>
      <c r="R295">
        <v>39</v>
      </c>
      <c r="S295" s="1" t="s">
        <v>1208</v>
      </c>
      <c r="T295" t="b">
        <v>1</v>
      </c>
    </row>
    <row r="296" spans="1:20" x14ac:dyDescent="0.25">
      <c r="A296" s="1" t="s">
        <v>1209</v>
      </c>
      <c r="B296" s="1" t="s">
        <v>82</v>
      </c>
      <c r="C296" s="1" t="s">
        <v>83</v>
      </c>
      <c r="D296" s="1" t="s">
        <v>595</v>
      </c>
      <c r="E296" s="1" t="s">
        <v>49</v>
      </c>
      <c r="F296" s="1" t="s">
        <v>25</v>
      </c>
      <c r="G296" s="2">
        <v>44990</v>
      </c>
      <c r="H296" s="2">
        <v>45000</v>
      </c>
      <c r="I296">
        <v>25</v>
      </c>
      <c r="J296">
        <v>10</v>
      </c>
      <c r="K296">
        <v>0</v>
      </c>
      <c r="L296" s="1" t="s">
        <v>26</v>
      </c>
      <c r="M296">
        <v>83.1</v>
      </c>
      <c r="N296">
        <v>208097.49</v>
      </c>
      <c r="O296">
        <v>3387870.01</v>
      </c>
      <c r="P296">
        <v>422423.62</v>
      </c>
      <c r="Q296" s="1" t="s">
        <v>911</v>
      </c>
      <c r="R296">
        <v>27</v>
      </c>
      <c r="S296" s="1" t="s">
        <v>1210</v>
      </c>
      <c r="T296" t="b">
        <v>1</v>
      </c>
    </row>
    <row r="297" spans="1:20" x14ac:dyDescent="0.25">
      <c r="A297" s="1" t="s">
        <v>1211</v>
      </c>
      <c r="B297" s="1" t="s">
        <v>471</v>
      </c>
      <c r="C297" s="1" t="s">
        <v>1212</v>
      </c>
      <c r="D297" s="1" t="s">
        <v>72</v>
      </c>
      <c r="E297" s="1" t="s">
        <v>49</v>
      </c>
      <c r="F297" s="1" t="s">
        <v>25</v>
      </c>
      <c r="G297" s="2">
        <v>44809</v>
      </c>
      <c r="H297" s="2">
        <v>44834</v>
      </c>
      <c r="I297">
        <v>25</v>
      </c>
      <c r="J297">
        <v>25</v>
      </c>
      <c r="K297">
        <v>0</v>
      </c>
      <c r="L297" s="1" t="s">
        <v>26</v>
      </c>
      <c r="M297">
        <v>177.3</v>
      </c>
      <c r="N297">
        <v>482056.6</v>
      </c>
      <c r="O297">
        <v>1782652.47</v>
      </c>
      <c r="P297">
        <v>237041.74</v>
      </c>
      <c r="Q297" s="1" t="s">
        <v>1213</v>
      </c>
      <c r="R297">
        <v>62</v>
      </c>
      <c r="S297" s="1" t="s">
        <v>1214</v>
      </c>
      <c r="T297" t="b">
        <v>1</v>
      </c>
    </row>
    <row r="298" spans="1:20" x14ac:dyDescent="0.25">
      <c r="A298" s="1" t="s">
        <v>1215</v>
      </c>
      <c r="B298" s="1" t="s">
        <v>99</v>
      </c>
      <c r="C298" s="1" t="s">
        <v>1216</v>
      </c>
      <c r="D298" s="1" t="s">
        <v>726</v>
      </c>
      <c r="E298" s="1" t="s">
        <v>65</v>
      </c>
      <c r="F298" s="1" t="s">
        <v>50</v>
      </c>
      <c r="G298" s="2">
        <v>44665</v>
      </c>
      <c r="H298" s="2"/>
      <c r="I298">
        <v>4</v>
      </c>
      <c r="J298">
        <v>8</v>
      </c>
      <c r="K298">
        <v>3.5</v>
      </c>
      <c r="L298" s="1" t="s">
        <v>58</v>
      </c>
      <c r="M298">
        <v>124.4</v>
      </c>
      <c r="N298">
        <v>477766.13</v>
      </c>
      <c r="O298">
        <v>4873552.1900000004</v>
      </c>
      <c r="P298">
        <v>953418.91</v>
      </c>
      <c r="Q298" s="1" t="s">
        <v>1217</v>
      </c>
      <c r="R298">
        <v>26</v>
      </c>
      <c r="S298" s="1" t="s">
        <v>1218</v>
      </c>
      <c r="T298" t="b">
        <v>1</v>
      </c>
    </row>
    <row r="299" spans="1:20" x14ac:dyDescent="0.25">
      <c r="A299" s="1" t="s">
        <v>1219</v>
      </c>
      <c r="B299" s="1" t="s">
        <v>348</v>
      </c>
      <c r="C299" s="1" t="s">
        <v>888</v>
      </c>
      <c r="D299" s="1" t="s">
        <v>336</v>
      </c>
      <c r="E299" s="1" t="s">
        <v>57</v>
      </c>
      <c r="F299" s="1" t="s">
        <v>25</v>
      </c>
      <c r="G299" s="2">
        <v>44803</v>
      </c>
      <c r="H299" s="2">
        <v>44833</v>
      </c>
      <c r="I299">
        <v>40</v>
      </c>
      <c r="J299">
        <v>30</v>
      </c>
      <c r="K299">
        <v>0</v>
      </c>
      <c r="L299" s="1" t="s">
        <v>26</v>
      </c>
      <c r="M299">
        <v>382.2</v>
      </c>
      <c r="N299">
        <v>1418742.1</v>
      </c>
      <c r="O299">
        <v>3812203.8</v>
      </c>
      <c r="P299">
        <v>783800.23</v>
      </c>
      <c r="Q299" s="1" t="s">
        <v>1220</v>
      </c>
      <c r="R299">
        <v>28</v>
      </c>
      <c r="S299" s="1" t="s">
        <v>1221</v>
      </c>
      <c r="T299" t="b">
        <v>1</v>
      </c>
    </row>
    <row r="300" spans="1:20" x14ac:dyDescent="0.25">
      <c r="A300" s="1" t="s">
        <v>1222</v>
      </c>
      <c r="B300" s="1" t="s">
        <v>38</v>
      </c>
      <c r="C300" s="1" t="s">
        <v>164</v>
      </c>
      <c r="D300" s="1" t="s">
        <v>95</v>
      </c>
      <c r="E300" s="1" t="s">
        <v>65</v>
      </c>
      <c r="F300" s="1" t="s">
        <v>25</v>
      </c>
      <c r="G300" s="2">
        <v>44975</v>
      </c>
      <c r="H300" s="2">
        <v>44976</v>
      </c>
      <c r="I300">
        <v>4</v>
      </c>
      <c r="J300">
        <v>1</v>
      </c>
      <c r="K300">
        <v>0</v>
      </c>
      <c r="L300" s="1" t="s">
        <v>26</v>
      </c>
      <c r="M300">
        <v>6.9</v>
      </c>
      <c r="N300">
        <v>27494.38</v>
      </c>
      <c r="O300">
        <v>1713187.15</v>
      </c>
      <c r="P300">
        <v>261976.53</v>
      </c>
      <c r="Q300" s="1" t="s">
        <v>1223</v>
      </c>
      <c r="R300">
        <v>62</v>
      </c>
      <c r="S300" s="1" t="s">
        <v>1224</v>
      </c>
      <c r="T300" t="b">
        <v>1</v>
      </c>
    </row>
    <row r="301" spans="1:20" x14ac:dyDescent="0.25">
      <c r="A301" s="1" t="s">
        <v>1225</v>
      </c>
      <c r="B301" s="1" t="s">
        <v>348</v>
      </c>
      <c r="C301" s="1" t="s">
        <v>335</v>
      </c>
      <c r="D301" s="1" t="s">
        <v>230</v>
      </c>
      <c r="E301" s="1" t="s">
        <v>49</v>
      </c>
      <c r="F301" s="1" t="s">
        <v>25</v>
      </c>
      <c r="G301" s="2">
        <v>44872</v>
      </c>
      <c r="H301" s="2">
        <v>44907</v>
      </c>
      <c r="I301">
        <v>25</v>
      </c>
      <c r="J301">
        <v>35</v>
      </c>
      <c r="K301">
        <v>10</v>
      </c>
      <c r="L301" s="1" t="s">
        <v>42</v>
      </c>
      <c r="M301">
        <v>235.8</v>
      </c>
      <c r="N301">
        <v>934894.05</v>
      </c>
      <c r="O301">
        <v>2072913</v>
      </c>
      <c r="P301">
        <v>423893.05</v>
      </c>
      <c r="Q301" s="1" t="s">
        <v>1226</v>
      </c>
      <c r="R301">
        <v>29</v>
      </c>
      <c r="S301" s="1" t="s">
        <v>1227</v>
      </c>
      <c r="T301" t="b">
        <v>1</v>
      </c>
    </row>
    <row r="302" spans="1:20" x14ac:dyDescent="0.25">
      <c r="A302" s="1" t="s">
        <v>1228</v>
      </c>
      <c r="B302" s="1" t="s">
        <v>471</v>
      </c>
      <c r="C302" s="1" t="s">
        <v>424</v>
      </c>
      <c r="D302" s="1" t="s">
        <v>107</v>
      </c>
      <c r="E302" s="1" t="s">
        <v>33</v>
      </c>
      <c r="F302" s="1" t="s">
        <v>25</v>
      </c>
      <c r="G302" s="2">
        <v>45621</v>
      </c>
      <c r="H302" s="2">
        <v>45632</v>
      </c>
      <c r="I302">
        <v>12</v>
      </c>
      <c r="J302">
        <v>11</v>
      </c>
      <c r="K302">
        <v>0</v>
      </c>
      <c r="L302" s="1" t="s">
        <v>26</v>
      </c>
      <c r="M302">
        <v>85.6</v>
      </c>
      <c r="N302">
        <v>381027.11</v>
      </c>
      <c r="O302">
        <v>829980.16000000003</v>
      </c>
      <c r="P302">
        <v>128544.59</v>
      </c>
      <c r="Q302" s="1" t="s">
        <v>1229</v>
      </c>
      <c r="R302">
        <v>60</v>
      </c>
      <c r="S302" s="1" t="s">
        <v>1230</v>
      </c>
      <c r="T302" t="b">
        <v>0</v>
      </c>
    </row>
    <row r="303" spans="1:20" x14ac:dyDescent="0.25">
      <c r="A303" s="1" t="s">
        <v>1231</v>
      </c>
      <c r="B303" s="1" t="s">
        <v>471</v>
      </c>
      <c r="C303" s="1" t="s">
        <v>419</v>
      </c>
      <c r="D303" s="1" t="s">
        <v>230</v>
      </c>
      <c r="E303" s="1" t="s">
        <v>65</v>
      </c>
      <c r="F303" s="1" t="s">
        <v>34</v>
      </c>
      <c r="G303" s="2">
        <v>45420</v>
      </c>
      <c r="H303" s="2"/>
      <c r="I303">
        <v>4</v>
      </c>
      <c r="J303">
        <v>5</v>
      </c>
      <c r="K303">
        <v>0.5</v>
      </c>
      <c r="L303" s="1" t="s">
        <v>26</v>
      </c>
      <c r="M303">
        <v>63.3</v>
      </c>
      <c r="N303">
        <v>167553.65</v>
      </c>
      <c r="O303">
        <v>1727345.23</v>
      </c>
      <c r="P303">
        <v>346198.7</v>
      </c>
      <c r="Q303" s="1" t="s">
        <v>1232</v>
      </c>
      <c r="R303">
        <v>61</v>
      </c>
      <c r="S303" s="1" t="s">
        <v>1233</v>
      </c>
      <c r="T303" t="b">
        <v>1</v>
      </c>
    </row>
    <row r="304" spans="1:20" x14ac:dyDescent="0.25">
      <c r="A304" s="1" t="s">
        <v>1234</v>
      </c>
      <c r="B304" s="1" t="s">
        <v>70</v>
      </c>
      <c r="C304" s="1" t="s">
        <v>517</v>
      </c>
      <c r="D304" s="1" t="s">
        <v>282</v>
      </c>
      <c r="E304" s="1" t="s">
        <v>41</v>
      </c>
      <c r="F304" s="1" t="s">
        <v>25</v>
      </c>
      <c r="G304" s="2">
        <v>45467</v>
      </c>
      <c r="H304" s="2">
        <v>45482</v>
      </c>
      <c r="I304">
        <v>9</v>
      </c>
      <c r="J304">
        <v>15</v>
      </c>
      <c r="K304">
        <v>6</v>
      </c>
      <c r="L304" s="1" t="s">
        <v>101</v>
      </c>
      <c r="M304">
        <v>200.7</v>
      </c>
      <c r="N304">
        <v>580457.6</v>
      </c>
      <c r="O304">
        <v>994505.81</v>
      </c>
      <c r="P304">
        <v>204986.44</v>
      </c>
      <c r="Q304" s="1" t="s">
        <v>1235</v>
      </c>
      <c r="R304">
        <v>38</v>
      </c>
      <c r="S304" s="1" t="s">
        <v>1236</v>
      </c>
      <c r="T304" t="b">
        <v>1</v>
      </c>
    </row>
    <row r="305" spans="1:20" x14ac:dyDescent="0.25">
      <c r="A305" s="1" t="s">
        <v>1237</v>
      </c>
      <c r="B305" s="1" t="s">
        <v>629</v>
      </c>
      <c r="C305" s="1" t="s">
        <v>558</v>
      </c>
      <c r="D305" s="1" t="s">
        <v>124</v>
      </c>
      <c r="E305" s="1" t="s">
        <v>49</v>
      </c>
      <c r="F305" s="1" t="s">
        <v>66</v>
      </c>
      <c r="G305" s="2">
        <v>44752</v>
      </c>
      <c r="H305" s="2"/>
      <c r="I305">
        <v>25</v>
      </c>
      <c r="J305">
        <v>19</v>
      </c>
      <c r="K305">
        <v>0</v>
      </c>
      <c r="L305" s="1" t="s">
        <v>26</v>
      </c>
      <c r="M305">
        <v>194.9</v>
      </c>
      <c r="N305">
        <v>749200.49</v>
      </c>
      <c r="O305">
        <v>808536.43</v>
      </c>
      <c r="P305">
        <v>160118.41</v>
      </c>
      <c r="Q305" s="1" t="s">
        <v>1238</v>
      </c>
      <c r="R305">
        <v>47</v>
      </c>
      <c r="S305" s="1" t="s">
        <v>1239</v>
      </c>
      <c r="T305" t="b">
        <v>1</v>
      </c>
    </row>
    <row r="306" spans="1:20" x14ac:dyDescent="0.25">
      <c r="A306" s="1" t="s">
        <v>1240</v>
      </c>
      <c r="B306" s="1" t="s">
        <v>418</v>
      </c>
      <c r="C306" s="1" t="s">
        <v>1241</v>
      </c>
      <c r="D306" s="1" t="s">
        <v>249</v>
      </c>
      <c r="E306" s="1" t="s">
        <v>24</v>
      </c>
      <c r="F306" s="1" t="s">
        <v>25</v>
      </c>
      <c r="G306" s="2">
        <v>44684</v>
      </c>
      <c r="H306" s="2">
        <v>44689</v>
      </c>
      <c r="I306">
        <v>3</v>
      </c>
      <c r="J306">
        <v>5</v>
      </c>
      <c r="K306">
        <v>2</v>
      </c>
      <c r="L306" s="1" t="s">
        <v>26</v>
      </c>
      <c r="M306">
        <v>41.3</v>
      </c>
      <c r="N306">
        <v>79662.69</v>
      </c>
      <c r="O306">
        <v>3258302.47</v>
      </c>
      <c r="P306">
        <v>375437.57</v>
      </c>
      <c r="Q306" s="1" t="s">
        <v>1242</v>
      </c>
      <c r="R306">
        <v>71</v>
      </c>
      <c r="S306" s="1" t="s">
        <v>1243</v>
      </c>
      <c r="T306" t="b">
        <v>1</v>
      </c>
    </row>
    <row r="307" spans="1:20" x14ac:dyDescent="0.25">
      <c r="A307" s="1" t="s">
        <v>1244</v>
      </c>
      <c r="B307" s="1" t="s">
        <v>348</v>
      </c>
      <c r="C307" s="1" t="s">
        <v>206</v>
      </c>
      <c r="D307" s="1" t="s">
        <v>686</v>
      </c>
      <c r="E307" s="1" t="s">
        <v>24</v>
      </c>
      <c r="F307" s="1" t="s">
        <v>25</v>
      </c>
      <c r="G307" s="2">
        <v>45279</v>
      </c>
      <c r="H307" s="2">
        <v>45284</v>
      </c>
      <c r="I307">
        <v>3</v>
      </c>
      <c r="J307">
        <v>5</v>
      </c>
      <c r="K307">
        <v>2</v>
      </c>
      <c r="L307" s="1" t="s">
        <v>26</v>
      </c>
      <c r="M307">
        <v>60.3</v>
      </c>
      <c r="N307">
        <v>224843.48</v>
      </c>
      <c r="O307">
        <v>2603136.5699999998</v>
      </c>
      <c r="P307">
        <v>352828.22</v>
      </c>
      <c r="Q307" s="1" t="s">
        <v>1245</v>
      </c>
      <c r="R307">
        <v>29</v>
      </c>
      <c r="S307" s="1" t="s">
        <v>1246</v>
      </c>
      <c r="T307" t="b">
        <v>0</v>
      </c>
    </row>
    <row r="308" spans="1:20" x14ac:dyDescent="0.25">
      <c r="A308" s="1" t="s">
        <v>1247</v>
      </c>
      <c r="B308" s="1" t="s">
        <v>99</v>
      </c>
      <c r="C308" s="1" t="s">
        <v>414</v>
      </c>
      <c r="D308" s="1" t="s">
        <v>541</v>
      </c>
      <c r="E308" s="1" t="s">
        <v>33</v>
      </c>
      <c r="F308" s="1" t="s">
        <v>25</v>
      </c>
      <c r="G308" s="2">
        <v>45405</v>
      </c>
      <c r="H308" s="2">
        <v>45411</v>
      </c>
      <c r="I308">
        <v>12</v>
      </c>
      <c r="J308">
        <v>6</v>
      </c>
      <c r="K308">
        <v>0</v>
      </c>
      <c r="L308" s="1" t="s">
        <v>26</v>
      </c>
      <c r="M308">
        <v>54.6</v>
      </c>
      <c r="N308">
        <v>117453.93</v>
      </c>
      <c r="O308">
        <v>1081774.17</v>
      </c>
      <c r="P308">
        <v>129285.51</v>
      </c>
      <c r="Q308" s="1" t="s">
        <v>1248</v>
      </c>
      <c r="R308">
        <v>45</v>
      </c>
      <c r="S308" s="1" t="s">
        <v>1249</v>
      </c>
      <c r="T308" t="b">
        <v>0</v>
      </c>
    </row>
    <row r="309" spans="1:20" x14ac:dyDescent="0.25">
      <c r="A309" s="1" t="s">
        <v>1250</v>
      </c>
      <c r="B309" s="1" t="s">
        <v>30</v>
      </c>
      <c r="C309" s="1" t="s">
        <v>677</v>
      </c>
      <c r="D309" s="1" t="s">
        <v>176</v>
      </c>
      <c r="E309" s="1" t="s">
        <v>41</v>
      </c>
      <c r="F309" s="1" t="s">
        <v>25</v>
      </c>
      <c r="G309" s="2">
        <v>45583</v>
      </c>
      <c r="H309" s="2">
        <v>45593</v>
      </c>
      <c r="I309">
        <v>9</v>
      </c>
      <c r="J309">
        <v>10</v>
      </c>
      <c r="K309">
        <v>1</v>
      </c>
      <c r="L309" s="1" t="s">
        <v>26</v>
      </c>
      <c r="M309">
        <v>122.7</v>
      </c>
      <c r="N309">
        <v>534863.30000000005</v>
      </c>
      <c r="O309">
        <v>3661267.63</v>
      </c>
      <c r="P309">
        <v>594559.17000000004</v>
      </c>
      <c r="Q309" s="1" t="s">
        <v>1251</v>
      </c>
      <c r="R309">
        <v>65</v>
      </c>
      <c r="S309" s="1" t="s">
        <v>1252</v>
      </c>
      <c r="T309" t="b">
        <v>1</v>
      </c>
    </row>
    <row r="310" spans="1:20" x14ac:dyDescent="0.25">
      <c r="A310" s="1" t="s">
        <v>1253</v>
      </c>
      <c r="B310" s="1" t="s">
        <v>105</v>
      </c>
      <c r="C310" s="1" t="s">
        <v>1254</v>
      </c>
      <c r="D310" s="1" t="s">
        <v>420</v>
      </c>
      <c r="E310" s="1" t="s">
        <v>65</v>
      </c>
      <c r="F310" s="1" t="s">
        <v>25</v>
      </c>
      <c r="G310" s="2">
        <v>44997</v>
      </c>
      <c r="H310" s="2">
        <v>44998</v>
      </c>
      <c r="I310">
        <v>4</v>
      </c>
      <c r="J310">
        <v>1</v>
      </c>
      <c r="K310">
        <v>0</v>
      </c>
      <c r="L310" s="1" t="s">
        <v>26</v>
      </c>
      <c r="M310">
        <v>13</v>
      </c>
      <c r="N310">
        <v>56536.84</v>
      </c>
      <c r="O310">
        <v>1852966.98</v>
      </c>
      <c r="P310">
        <v>372701.11</v>
      </c>
      <c r="Q310" s="1" t="s">
        <v>1255</v>
      </c>
      <c r="R310">
        <v>38</v>
      </c>
      <c r="S310" s="1" t="s">
        <v>1256</v>
      </c>
      <c r="T310" t="b">
        <v>1</v>
      </c>
    </row>
    <row r="311" spans="1:20" x14ac:dyDescent="0.25">
      <c r="A311" s="1" t="s">
        <v>1257</v>
      </c>
      <c r="B311" s="1" t="s">
        <v>38</v>
      </c>
      <c r="C311" s="1" t="s">
        <v>986</v>
      </c>
      <c r="D311" s="1" t="s">
        <v>297</v>
      </c>
      <c r="E311" s="1" t="s">
        <v>57</v>
      </c>
      <c r="F311" s="1" t="s">
        <v>25</v>
      </c>
      <c r="G311" s="2">
        <v>45632</v>
      </c>
      <c r="H311" s="2">
        <v>45675</v>
      </c>
      <c r="I311">
        <v>40</v>
      </c>
      <c r="J311">
        <v>43</v>
      </c>
      <c r="K311">
        <v>3</v>
      </c>
      <c r="L311" s="1" t="s">
        <v>26</v>
      </c>
      <c r="M311">
        <v>329.3</v>
      </c>
      <c r="N311">
        <v>925675.92</v>
      </c>
      <c r="O311">
        <v>1476966.66</v>
      </c>
      <c r="P311">
        <v>246986.32</v>
      </c>
      <c r="Q311" s="1" t="s">
        <v>1258</v>
      </c>
      <c r="R311">
        <v>77</v>
      </c>
      <c r="S311" s="1" t="s">
        <v>1259</v>
      </c>
      <c r="T311" t="b">
        <v>0</v>
      </c>
    </row>
    <row r="312" spans="1:20" x14ac:dyDescent="0.25">
      <c r="A312" s="1" t="s">
        <v>1260</v>
      </c>
      <c r="B312" s="1" t="s">
        <v>228</v>
      </c>
      <c r="C312" s="1" t="s">
        <v>197</v>
      </c>
      <c r="D312" s="1" t="s">
        <v>350</v>
      </c>
      <c r="E312" s="1" t="s">
        <v>57</v>
      </c>
      <c r="F312" s="1" t="s">
        <v>25</v>
      </c>
      <c r="G312" s="2">
        <v>45142</v>
      </c>
      <c r="H312" s="2">
        <v>45193</v>
      </c>
      <c r="I312">
        <v>40</v>
      </c>
      <c r="J312">
        <v>51</v>
      </c>
      <c r="K312">
        <v>11</v>
      </c>
      <c r="L312" s="1" t="s">
        <v>26</v>
      </c>
      <c r="M312">
        <v>205.3</v>
      </c>
      <c r="N312">
        <v>673045.4</v>
      </c>
      <c r="O312">
        <v>347147.05</v>
      </c>
      <c r="P312">
        <v>106577.72</v>
      </c>
      <c r="Q312" s="1" t="s">
        <v>1261</v>
      </c>
      <c r="R312">
        <v>73</v>
      </c>
      <c r="S312" s="1" t="s">
        <v>1262</v>
      </c>
      <c r="T312" t="b">
        <v>1</v>
      </c>
    </row>
    <row r="313" spans="1:20" x14ac:dyDescent="0.25">
      <c r="A313" s="1" t="s">
        <v>1263</v>
      </c>
      <c r="B313" s="1" t="s">
        <v>253</v>
      </c>
      <c r="C313" s="1" t="s">
        <v>546</v>
      </c>
      <c r="D313" s="1" t="s">
        <v>293</v>
      </c>
      <c r="E313" s="1" t="s">
        <v>49</v>
      </c>
      <c r="F313" s="1" t="s">
        <v>34</v>
      </c>
      <c r="G313" s="2">
        <v>44845</v>
      </c>
      <c r="H313" s="2"/>
      <c r="I313">
        <v>25</v>
      </c>
      <c r="J313">
        <v>24</v>
      </c>
      <c r="K313">
        <v>0</v>
      </c>
      <c r="L313" s="1" t="s">
        <v>26</v>
      </c>
      <c r="M313">
        <v>315.39999999999998</v>
      </c>
      <c r="N313">
        <v>1135911.8400000001</v>
      </c>
      <c r="O313">
        <v>753423.13</v>
      </c>
      <c r="P313">
        <v>326451.42</v>
      </c>
      <c r="Q313" s="1" t="s">
        <v>1264</v>
      </c>
      <c r="R313">
        <v>34</v>
      </c>
      <c r="S313" s="1" t="s">
        <v>1265</v>
      </c>
      <c r="T313" t="b">
        <v>0</v>
      </c>
    </row>
    <row r="314" spans="1:20" x14ac:dyDescent="0.25">
      <c r="A314" s="1" t="s">
        <v>1266</v>
      </c>
      <c r="B314" s="1" t="s">
        <v>328</v>
      </c>
      <c r="C314" s="1" t="s">
        <v>1267</v>
      </c>
      <c r="D314" s="1" t="s">
        <v>315</v>
      </c>
      <c r="E314" s="1" t="s">
        <v>49</v>
      </c>
      <c r="F314" s="1" t="s">
        <v>25</v>
      </c>
      <c r="G314" s="2">
        <v>45256</v>
      </c>
      <c r="H314" s="2">
        <v>45296</v>
      </c>
      <c r="I314">
        <v>25</v>
      </c>
      <c r="J314">
        <v>40</v>
      </c>
      <c r="K314">
        <v>15</v>
      </c>
      <c r="L314" s="1" t="s">
        <v>101</v>
      </c>
      <c r="M314">
        <v>481.8</v>
      </c>
      <c r="N314">
        <v>1443646.13</v>
      </c>
      <c r="O314">
        <v>1394101.75</v>
      </c>
      <c r="P314">
        <v>308897.34000000003</v>
      </c>
      <c r="Q314" s="1" t="s">
        <v>1268</v>
      </c>
      <c r="R314">
        <v>27</v>
      </c>
      <c r="S314" s="1" t="s">
        <v>1269</v>
      </c>
      <c r="T314" t="b">
        <v>1</v>
      </c>
    </row>
    <row r="315" spans="1:20" x14ac:dyDescent="0.25">
      <c r="A315" s="1" t="s">
        <v>1270</v>
      </c>
      <c r="B315" s="1" t="s">
        <v>122</v>
      </c>
      <c r="C315" s="1" t="s">
        <v>512</v>
      </c>
      <c r="D315" s="1" t="s">
        <v>505</v>
      </c>
      <c r="E315" s="1" t="s">
        <v>49</v>
      </c>
      <c r="F315" s="1" t="s">
        <v>66</v>
      </c>
      <c r="G315" s="2">
        <v>44956</v>
      </c>
      <c r="H315" s="2"/>
      <c r="I315">
        <v>25</v>
      </c>
      <c r="J315">
        <v>28</v>
      </c>
      <c r="K315">
        <v>3</v>
      </c>
      <c r="L315" s="1" t="s">
        <v>26</v>
      </c>
      <c r="M315">
        <v>366.6</v>
      </c>
      <c r="N315">
        <v>1607427.57</v>
      </c>
      <c r="O315">
        <v>2613551.41</v>
      </c>
      <c r="P315">
        <v>738907.09</v>
      </c>
      <c r="Q315" s="1" t="s">
        <v>1271</v>
      </c>
      <c r="R315">
        <v>37</v>
      </c>
      <c r="S315" s="1" t="s">
        <v>1272</v>
      </c>
      <c r="T315" t="b">
        <v>1</v>
      </c>
    </row>
    <row r="316" spans="1:20" x14ac:dyDescent="0.25">
      <c r="A316" s="1" t="s">
        <v>1273</v>
      </c>
      <c r="B316" s="1" t="s">
        <v>54</v>
      </c>
      <c r="C316" s="1" t="s">
        <v>709</v>
      </c>
      <c r="D316" s="1" t="s">
        <v>595</v>
      </c>
      <c r="E316" s="1" t="s">
        <v>41</v>
      </c>
      <c r="F316" s="1" t="s">
        <v>50</v>
      </c>
      <c r="G316" s="2">
        <v>45064</v>
      </c>
      <c r="H316" s="2"/>
      <c r="I316">
        <v>9</v>
      </c>
      <c r="J316">
        <v>12</v>
      </c>
      <c r="K316">
        <v>3</v>
      </c>
      <c r="L316" s="1" t="s">
        <v>26</v>
      </c>
      <c r="M316">
        <v>112</v>
      </c>
      <c r="N316">
        <v>445612.92</v>
      </c>
      <c r="O316">
        <v>3038205.56</v>
      </c>
      <c r="P316">
        <v>488360.93</v>
      </c>
      <c r="Q316" s="1" t="s">
        <v>1274</v>
      </c>
      <c r="R316">
        <v>31</v>
      </c>
      <c r="S316" s="1" t="s">
        <v>1275</v>
      </c>
      <c r="T316" t="b">
        <v>0</v>
      </c>
    </row>
    <row r="317" spans="1:20" x14ac:dyDescent="0.25">
      <c r="A317" s="1" t="s">
        <v>1276</v>
      </c>
      <c r="B317" s="1" t="s">
        <v>158</v>
      </c>
      <c r="C317" s="1" t="s">
        <v>529</v>
      </c>
      <c r="D317" s="1" t="s">
        <v>78</v>
      </c>
      <c r="E317" s="1" t="s">
        <v>49</v>
      </c>
      <c r="F317" s="1" t="s">
        <v>25</v>
      </c>
      <c r="G317" s="2">
        <v>44611</v>
      </c>
      <c r="H317" s="2">
        <v>44633</v>
      </c>
      <c r="I317">
        <v>25</v>
      </c>
      <c r="J317">
        <v>22</v>
      </c>
      <c r="K317">
        <v>0</v>
      </c>
      <c r="L317" s="1" t="s">
        <v>26</v>
      </c>
      <c r="M317">
        <v>155.9</v>
      </c>
      <c r="N317">
        <v>328877.36</v>
      </c>
      <c r="O317">
        <v>505674.83</v>
      </c>
      <c r="P317">
        <v>97488.71</v>
      </c>
      <c r="Q317" s="1" t="s">
        <v>1277</v>
      </c>
      <c r="R317">
        <v>80</v>
      </c>
      <c r="S317" s="1" t="s">
        <v>1278</v>
      </c>
      <c r="T317" t="b">
        <v>0</v>
      </c>
    </row>
    <row r="318" spans="1:20" x14ac:dyDescent="0.25">
      <c r="A318" s="1" t="s">
        <v>1279</v>
      </c>
      <c r="B318" s="1" t="s">
        <v>242</v>
      </c>
      <c r="C318" s="1" t="s">
        <v>139</v>
      </c>
      <c r="D318" s="1" t="s">
        <v>336</v>
      </c>
      <c r="E318" s="1" t="s">
        <v>33</v>
      </c>
      <c r="F318" s="1" t="s">
        <v>66</v>
      </c>
      <c r="G318" s="2">
        <v>44908</v>
      </c>
      <c r="H318" s="2"/>
      <c r="I318">
        <v>12</v>
      </c>
      <c r="J318">
        <v>11</v>
      </c>
      <c r="K318">
        <v>0</v>
      </c>
      <c r="L318" s="1" t="s">
        <v>26</v>
      </c>
      <c r="M318">
        <v>68</v>
      </c>
      <c r="N318">
        <v>253361.99</v>
      </c>
      <c r="O318">
        <v>1497141.44</v>
      </c>
      <c r="P318">
        <v>192335.55</v>
      </c>
      <c r="Q318" s="1" t="s">
        <v>1280</v>
      </c>
      <c r="R318">
        <v>77</v>
      </c>
      <c r="S318" s="1" t="s">
        <v>1281</v>
      </c>
      <c r="T318" t="b">
        <v>1</v>
      </c>
    </row>
    <row r="319" spans="1:20" x14ac:dyDescent="0.25">
      <c r="A319" s="1" t="s">
        <v>1282</v>
      </c>
      <c r="B319" s="1" t="s">
        <v>99</v>
      </c>
      <c r="C319" s="1" t="s">
        <v>292</v>
      </c>
      <c r="D319" s="1" t="s">
        <v>159</v>
      </c>
      <c r="E319" s="1" t="s">
        <v>57</v>
      </c>
      <c r="F319" s="1" t="s">
        <v>25</v>
      </c>
      <c r="G319" s="2">
        <v>44668</v>
      </c>
      <c r="H319" s="2">
        <v>44726</v>
      </c>
      <c r="I319">
        <v>40</v>
      </c>
      <c r="J319">
        <v>58</v>
      </c>
      <c r="K319">
        <v>18</v>
      </c>
      <c r="L319" s="1" t="s">
        <v>26</v>
      </c>
      <c r="M319">
        <v>639.9</v>
      </c>
      <c r="N319">
        <v>2003555.37</v>
      </c>
      <c r="O319">
        <v>3764425.99</v>
      </c>
      <c r="P319">
        <v>798893.5</v>
      </c>
      <c r="Q319" s="1" t="s">
        <v>1283</v>
      </c>
      <c r="R319">
        <v>50</v>
      </c>
      <c r="S319" s="1" t="s">
        <v>1284</v>
      </c>
      <c r="T319" t="b">
        <v>1</v>
      </c>
    </row>
    <row r="320" spans="1:20" x14ac:dyDescent="0.25">
      <c r="A320" s="1" t="s">
        <v>1285</v>
      </c>
      <c r="B320" s="1" t="s">
        <v>328</v>
      </c>
      <c r="C320" s="1" t="s">
        <v>1286</v>
      </c>
      <c r="D320" s="1" t="s">
        <v>113</v>
      </c>
      <c r="E320" s="1" t="s">
        <v>41</v>
      </c>
      <c r="F320" s="1" t="s">
        <v>25</v>
      </c>
      <c r="G320" s="2">
        <v>45396</v>
      </c>
      <c r="H320" s="2">
        <v>45399</v>
      </c>
      <c r="I320">
        <v>9</v>
      </c>
      <c r="J320">
        <v>3</v>
      </c>
      <c r="K320">
        <v>0</v>
      </c>
      <c r="L320" s="1" t="s">
        <v>26</v>
      </c>
      <c r="M320">
        <v>21.7</v>
      </c>
      <c r="N320">
        <v>95509.98</v>
      </c>
      <c r="O320">
        <v>3378736.17</v>
      </c>
      <c r="P320">
        <v>433000.89</v>
      </c>
      <c r="Q320" s="1" t="s">
        <v>1287</v>
      </c>
      <c r="R320">
        <v>48</v>
      </c>
      <c r="S320" s="1" t="s">
        <v>1288</v>
      </c>
      <c r="T320" t="b">
        <v>1</v>
      </c>
    </row>
    <row r="321" spans="1:20" x14ac:dyDescent="0.25">
      <c r="A321" s="1" t="s">
        <v>1289</v>
      </c>
      <c r="B321" s="1" t="s">
        <v>169</v>
      </c>
      <c r="C321" s="1" t="s">
        <v>1216</v>
      </c>
      <c r="D321" s="1" t="s">
        <v>192</v>
      </c>
      <c r="E321" s="1" t="s">
        <v>57</v>
      </c>
      <c r="F321" s="1" t="s">
        <v>50</v>
      </c>
      <c r="G321" s="2">
        <v>45586</v>
      </c>
      <c r="H321" s="2"/>
      <c r="I321">
        <v>40</v>
      </c>
      <c r="J321">
        <v>29</v>
      </c>
      <c r="K321">
        <v>0</v>
      </c>
      <c r="L321" s="1" t="s">
        <v>26</v>
      </c>
      <c r="M321">
        <v>245.9</v>
      </c>
      <c r="N321">
        <v>1096796.02</v>
      </c>
      <c r="O321">
        <v>3912298.08</v>
      </c>
      <c r="P321">
        <v>770166.07</v>
      </c>
      <c r="Q321" s="1" t="s">
        <v>1290</v>
      </c>
      <c r="R321">
        <v>72</v>
      </c>
      <c r="S321" s="1" t="s">
        <v>1291</v>
      </c>
      <c r="T321" t="b">
        <v>0</v>
      </c>
    </row>
    <row r="322" spans="1:20" x14ac:dyDescent="0.25">
      <c r="A322" s="1" t="s">
        <v>1292</v>
      </c>
      <c r="B322" s="1" t="s">
        <v>76</v>
      </c>
      <c r="C322" s="1" t="s">
        <v>896</v>
      </c>
      <c r="D322" s="1" t="s">
        <v>244</v>
      </c>
      <c r="E322" s="1" t="s">
        <v>41</v>
      </c>
      <c r="F322" s="1" t="s">
        <v>25</v>
      </c>
      <c r="G322" s="2">
        <v>45154</v>
      </c>
      <c r="H322" s="2">
        <v>45157</v>
      </c>
      <c r="I322">
        <v>9</v>
      </c>
      <c r="J322">
        <v>3</v>
      </c>
      <c r="K322">
        <v>0</v>
      </c>
      <c r="L322" s="1" t="s">
        <v>26</v>
      </c>
      <c r="M322">
        <v>14.2</v>
      </c>
      <c r="N322">
        <v>60902.22</v>
      </c>
      <c r="O322">
        <v>1373781.67</v>
      </c>
      <c r="P322">
        <v>179463.02</v>
      </c>
      <c r="Q322" s="1" t="s">
        <v>1293</v>
      </c>
      <c r="R322">
        <v>52</v>
      </c>
      <c r="S322" s="1" t="s">
        <v>1294</v>
      </c>
      <c r="T322" t="b">
        <v>0</v>
      </c>
    </row>
    <row r="323" spans="1:20" x14ac:dyDescent="0.25">
      <c r="A323" s="1" t="s">
        <v>1295</v>
      </c>
      <c r="B323" s="1" t="s">
        <v>286</v>
      </c>
      <c r="C323" s="1" t="s">
        <v>118</v>
      </c>
      <c r="D323" s="1" t="s">
        <v>320</v>
      </c>
      <c r="E323" s="1" t="s">
        <v>57</v>
      </c>
      <c r="F323" s="1" t="s">
        <v>34</v>
      </c>
      <c r="G323" s="2">
        <v>44655</v>
      </c>
      <c r="H323" s="2"/>
      <c r="I323">
        <v>40</v>
      </c>
      <c r="J323">
        <v>54</v>
      </c>
      <c r="K323">
        <v>14</v>
      </c>
      <c r="L323" s="1" t="s">
        <v>330</v>
      </c>
      <c r="M323">
        <v>580.9</v>
      </c>
      <c r="N323">
        <v>1517150.2</v>
      </c>
      <c r="O323">
        <v>1982571.46</v>
      </c>
      <c r="P323">
        <v>393010.68</v>
      </c>
      <c r="Q323" s="1" t="s">
        <v>1296</v>
      </c>
      <c r="R323">
        <v>52</v>
      </c>
      <c r="S323" s="1" t="s">
        <v>1297</v>
      </c>
      <c r="T323" t="b">
        <v>0</v>
      </c>
    </row>
    <row r="324" spans="1:20" x14ac:dyDescent="0.25">
      <c r="A324" s="1" t="s">
        <v>1298</v>
      </c>
      <c r="B324" s="1" t="s">
        <v>54</v>
      </c>
      <c r="C324" s="1" t="s">
        <v>367</v>
      </c>
      <c r="D324" s="1" t="s">
        <v>315</v>
      </c>
      <c r="E324" s="1" t="s">
        <v>41</v>
      </c>
      <c r="F324" s="1" t="s">
        <v>25</v>
      </c>
      <c r="G324" s="2">
        <v>45263</v>
      </c>
      <c r="H324" s="2">
        <v>45278</v>
      </c>
      <c r="I324">
        <v>9</v>
      </c>
      <c r="J324">
        <v>15</v>
      </c>
      <c r="K324">
        <v>6</v>
      </c>
      <c r="L324" s="1" t="s">
        <v>330</v>
      </c>
      <c r="M324">
        <v>187.4</v>
      </c>
      <c r="N324">
        <v>475459.19</v>
      </c>
      <c r="O324">
        <v>3314762.37</v>
      </c>
      <c r="P324">
        <v>500930.18</v>
      </c>
      <c r="Q324" s="1" t="s">
        <v>1299</v>
      </c>
      <c r="R324">
        <v>79</v>
      </c>
      <c r="S324" s="1" t="s">
        <v>1300</v>
      </c>
      <c r="T324" t="b">
        <v>1</v>
      </c>
    </row>
    <row r="325" spans="1:20" x14ac:dyDescent="0.25">
      <c r="A325" s="1" t="s">
        <v>1301</v>
      </c>
      <c r="B325" s="1" t="s">
        <v>82</v>
      </c>
      <c r="C325" s="1" t="s">
        <v>281</v>
      </c>
      <c r="D325" s="1" t="s">
        <v>505</v>
      </c>
      <c r="E325" s="1" t="s">
        <v>33</v>
      </c>
      <c r="F325" s="1" t="s">
        <v>25</v>
      </c>
      <c r="G325" s="2">
        <v>45537</v>
      </c>
      <c r="H325" s="2">
        <v>45553</v>
      </c>
      <c r="I325">
        <v>12</v>
      </c>
      <c r="J325">
        <v>16</v>
      </c>
      <c r="K325">
        <v>4</v>
      </c>
      <c r="L325" s="1" t="s">
        <v>101</v>
      </c>
      <c r="M325">
        <v>97.3</v>
      </c>
      <c r="N325">
        <v>321151.76</v>
      </c>
      <c r="O325">
        <v>3485484.81</v>
      </c>
      <c r="P325">
        <v>566799.31999999995</v>
      </c>
      <c r="Q325" s="1" t="s">
        <v>1302</v>
      </c>
      <c r="R325">
        <v>77</v>
      </c>
      <c r="S325" s="1" t="s">
        <v>1303</v>
      </c>
      <c r="T325" t="b">
        <v>0</v>
      </c>
    </row>
    <row r="326" spans="1:20" x14ac:dyDescent="0.25">
      <c r="A326" s="1" t="s">
        <v>1304</v>
      </c>
      <c r="B326" s="1" t="s">
        <v>418</v>
      </c>
      <c r="C326" s="1" t="s">
        <v>1254</v>
      </c>
      <c r="D326" s="1" t="s">
        <v>297</v>
      </c>
      <c r="E326" s="1" t="s">
        <v>24</v>
      </c>
      <c r="F326" s="1" t="s">
        <v>50</v>
      </c>
      <c r="G326" s="2">
        <v>44814</v>
      </c>
      <c r="H326" s="2"/>
      <c r="I326">
        <v>3</v>
      </c>
      <c r="J326">
        <v>4</v>
      </c>
      <c r="K326">
        <v>1</v>
      </c>
      <c r="L326" s="1" t="s">
        <v>26</v>
      </c>
      <c r="M326">
        <v>55.7</v>
      </c>
      <c r="N326">
        <v>154094.47</v>
      </c>
      <c r="O326">
        <v>894161.32</v>
      </c>
      <c r="P326">
        <v>185328.04</v>
      </c>
      <c r="Q326" s="1" t="s">
        <v>1305</v>
      </c>
      <c r="R326">
        <v>32</v>
      </c>
      <c r="S326" s="1" t="s">
        <v>1306</v>
      </c>
      <c r="T326" t="b">
        <v>0</v>
      </c>
    </row>
    <row r="327" spans="1:20" x14ac:dyDescent="0.25">
      <c r="A327" s="1" t="s">
        <v>1307</v>
      </c>
      <c r="B327" s="1" t="s">
        <v>93</v>
      </c>
      <c r="C327" s="1" t="s">
        <v>701</v>
      </c>
      <c r="D327" s="1" t="s">
        <v>263</v>
      </c>
      <c r="E327" s="1" t="s">
        <v>57</v>
      </c>
      <c r="F327" s="1" t="s">
        <v>34</v>
      </c>
      <c r="G327" s="2">
        <v>44581</v>
      </c>
      <c r="H327" s="2"/>
      <c r="I327">
        <v>40</v>
      </c>
      <c r="J327">
        <v>21</v>
      </c>
      <c r="K327">
        <v>0</v>
      </c>
      <c r="L327" s="1" t="s">
        <v>26</v>
      </c>
      <c r="M327">
        <v>275.10000000000002</v>
      </c>
      <c r="N327">
        <v>1000675.36</v>
      </c>
      <c r="O327">
        <v>3548896.91</v>
      </c>
      <c r="P327">
        <v>542086.85</v>
      </c>
      <c r="Q327" s="1" t="s">
        <v>1308</v>
      </c>
      <c r="R327">
        <v>43</v>
      </c>
      <c r="S327" s="1" t="s">
        <v>1309</v>
      </c>
      <c r="T327" t="b">
        <v>1</v>
      </c>
    </row>
    <row r="328" spans="1:20" x14ac:dyDescent="0.25">
      <c r="A328" s="1" t="s">
        <v>1310</v>
      </c>
      <c r="B328" s="1" t="s">
        <v>174</v>
      </c>
      <c r="C328" s="1" t="s">
        <v>1311</v>
      </c>
      <c r="D328" s="1" t="s">
        <v>513</v>
      </c>
      <c r="E328" s="1" t="s">
        <v>65</v>
      </c>
      <c r="F328" s="1" t="s">
        <v>34</v>
      </c>
      <c r="G328" s="2">
        <v>45136</v>
      </c>
      <c r="H328" s="2"/>
      <c r="I328">
        <v>4</v>
      </c>
      <c r="J328">
        <v>4</v>
      </c>
      <c r="K328">
        <v>0</v>
      </c>
      <c r="L328" s="1" t="s">
        <v>26</v>
      </c>
      <c r="M328">
        <v>16.3</v>
      </c>
      <c r="N328">
        <v>72657.440000000002</v>
      </c>
      <c r="O328">
        <v>3195796.16</v>
      </c>
      <c r="P328">
        <v>363107.72</v>
      </c>
      <c r="Q328" s="1" t="s">
        <v>1312</v>
      </c>
      <c r="R328">
        <v>62</v>
      </c>
      <c r="S328" s="1" t="s">
        <v>1313</v>
      </c>
      <c r="T328" t="b">
        <v>1</v>
      </c>
    </row>
    <row r="329" spans="1:20" x14ac:dyDescent="0.25">
      <c r="A329" s="1" t="s">
        <v>1314</v>
      </c>
      <c r="B329" s="1" t="s">
        <v>54</v>
      </c>
      <c r="C329" s="1" t="s">
        <v>932</v>
      </c>
      <c r="D329" s="1" t="s">
        <v>320</v>
      </c>
      <c r="E329" s="1" t="s">
        <v>49</v>
      </c>
      <c r="F329" s="1" t="s">
        <v>25</v>
      </c>
      <c r="G329" s="2">
        <v>44695</v>
      </c>
      <c r="H329" s="2">
        <v>44728</v>
      </c>
      <c r="I329">
        <v>25</v>
      </c>
      <c r="J329">
        <v>33</v>
      </c>
      <c r="K329">
        <v>8</v>
      </c>
      <c r="L329" s="1" t="s">
        <v>193</v>
      </c>
      <c r="M329">
        <v>157.80000000000001</v>
      </c>
      <c r="N329">
        <v>394655.61</v>
      </c>
      <c r="O329">
        <v>2853817.42</v>
      </c>
      <c r="P329">
        <v>398901.18</v>
      </c>
      <c r="Q329" s="1" t="s">
        <v>1315</v>
      </c>
      <c r="R329">
        <v>36</v>
      </c>
      <c r="S329" s="1" t="s">
        <v>1316</v>
      </c>
      <c r="T329" t="b">
        <v>0</v>
      </c>
    </row>
    <row r="330" spans="1:20" x14ac:dyDescent="0.25">
      <c r="A330" s="1" t="s">
        <v>1317</v>
      </c>
      <c r="B330" s="1" t="s">
        <v>30</v>
      </c>
      <c r="C330" s="1" t="s">
        <v>669</v>
      </c>
      <c r="D330" s="1" t="s">
        <v>655</v>
      </c>
      <c r="E330" s="1" t="s">
        <v>65</v>
      </c>
      <c r="F330" s="1" t="s">
        <v>34</v>
      </c>
      <c r="G330" s="2">
        <v>44566</v>
      </c>
      <c r="H330" s="2"/>
      <c r="I330">
        <v>4</v>
      </c>
      <c r="J330">
        <v>1</v>
      </c>
      <c r="K330">
        <v>0</v>
      </c>
      <c r="L330" s="1" t="s">
        <v>26</v>
      </c>
      <c r="M330">
        <v>14.2</v>
      </c>
      <c r="N330">
        <v>37943.79</v>
      </c>
      <c r="O330">
        <v>4223264.3499999996</v>
      </c>
      <c r="P330">
        <v>599499.1</v>
      </c>
      <c r="Q330" s="1" t="s">
        <v>1318</v>
      </c>
      <c r="R330">
        <v>68</v>
      </c>
      <c r="S330" s="1" t="s">
        <v>1319</v>
      </c>
      <c r="T330" t="b">
        <v>1</v>
      </c>
    </row>
    <row r="331" spans="1:20" x14ac:dyDescent="0.25">
      <c r="A331" s="1" t="s">
        <v>1320</v>
      </c>
      <c r="B331" s="1" t="s">
        <v>93</v>
      </c>
      <c r="C331" s="1" t="s">
        <v>1321</v>
      </c>
      <c r="D331" s="1" t="s">
        <v>159</v>
      </c>
      <c r="E331" s="1" t="s">
        <v>33</v>
      </c>
      <c r="F331" s="1" t="s">
        <v>25</v>
      </c>
      <c r="G331" s="2">
        <v>45021</v>
      </c>
      <c r="H331" s="2">
        <v>45033</v>
      </c>
      <c r="I331">
        <v>12</v>
      </c>
      <c r="J331">
        <v>12</v>
      </c>
      <c r="K331">
        <v>0</v>
      </c>
      <c r="L331" s="1" t="s">
        <v>26</v>
      </c>
      <c r="M331">
        <v>124.7</v>
      </c>
      <c r="N331">
        <v>330935.51</v>
      </c>
      <c r="O331">
        <v>1965375.83</v>
      </c>
      <c r="P331">
        <v>306490.01</v>
      </c>
      <c r="Q331" s="1" t="s">
        <v>1322</v>
      </c>
      <c r="R331">
        <v>78</v>
      </c>
      <c r="S331" s="1" t="s">
        <v>1323</v>
      </c>
      <c r="T331" t="b">
        <v>1</v>
      </c>
    </row>
    <row r="332" spans="1:20" x14ac:dyDescent="0.25">
      <c r="A332" s="1" t="s">
        <v>1324</v>
      </c>
      <c r="B332" s="1" t="s">
        <v>228</v>
      </c>
      <c r="C332" s="1" t="s">
        <v>827</v>
      </c>
      <c r="D332" s="1" t="s">
        <v>249</v>
      </c>
      <c r="E332" s="1" t="s">
        <v>57</v>
      </c>
      <c r="F332" s="1" t="s">
        <v>25</v>
      </c>
      <c r="G332" s="2">
        <v>44965</v>
      </c>
      <c r="H332" s="2">
        <v>45004</v>
      </c>
      <c r="I332">
        <v>40</v>
      </c>
      <c r="J332">
        <v>39</v>
      </c>
      <c r="K332">
        <v>0</v>
      </c>
      <c r="L332" s="1" t="s">
        <v>26</v>
      </c>
      <c r="M332">
        <v>185.4</v>
      </c>
      <c r="N332">
        <v>646730.02</v>
      </c>
      <c r="O332">
        <v>149085.03</v>
      </c>
      <c r="P332">
        <v>113956.65</v>
      </c>
      <c r="Q332" s="1" t="s">
        <v>1325</v>
      </c>
      <c r="R332">
        <v>26</v>
      </c>
      <c r="S332" s="1" t="s">
        <v>1326</v>
      </c>
      <c r="T332" t="b">
        <v>0</v>
      </c>
    </row>
    <row r="333" spans="1:20" x14ac:dyDescent="0.25">
      <c r="A333" s="1" t="s">
        <v>1327</v>
      </c>
      <c r="B333" s="1" t="s">
        <v>148</v>
      </c>
      <c r="C333" s="1" t="s">
        <v>590</v>
      </c>
      <c r="D333" s="1" t="s">
        <v>130</v>
      </c>
      <c r="E333" s="1" t="s">
        <v>24</v>
      </c>
      <c r="F333" s="1" t="s">
        <v>50</v>
      </c>
      <c r="G333" s="2">
        <v>45050</v>
      </c>
      <c r="H333" s="2"/>
      <c r="I333">
        <v>3</v>
      </c>
      <c r="J333">
        <v>1</v>
      </c>
      <c r="K333">
        <v>0</v>
      </c>
      <c r="L333" s="1" t="s">
        <v>26</v>
      </c>
      <c r="M333">
        <v>13.9</v>
      </c>
      <c r="N333">
        <v>44523.4</v>
      </c>
      <c r="O333">
        <v>1191350.8899999999</v>
      </c>
      <c r="P333">
        <v>132598.29</v>
      </c>
      <c r="Q333" s="1" t="s">
        <v>1328</v>
      </c>
      <c r="R333">
        <v>27</v>
      </c>
      <c r="S333" s="1" t="s">
        <v>1329</v>
      </c>
      <c r="T333" t="b">
        <v>1</v>
      </c>
    </row>
    <row r="334" spans="1:20" x14ac:dyDescent="0.25">
      <c r="A334" s="1" t="s">
        <v>1330</v>
      </c>
      <c r="B334" s="1" t="s">
        <v>253</v>
      </c>
      <c r="C334" s="1" t="s">
        <v>1164</v>
      </c>
      <c r="D334" s="1" t="s">
        <v>159</v>
      </c>
      <c r="E334" s="1" t="s">
        <v>33</v>
      </c>
      <c r="F334" s="1" t="s">
        <v>25</v>
      </c>
      <c r="G334" s="2">
        <v>44686</v>
      </c>
      <c r="H334" s="2">
        <v>44697</v>
      </c>
      <c r="I334">
        <v>12</v>
      </c>
      <c r="J334">
        <v>11</v>
      </c>
      <c r="K334">
        <v>0</v>
      </c>
      <c r="L334" s="1" t="s">
        <v>26</v>
      </c>
      <c r="M334">
        <v>161.5</v>
      </c>
      <c r="N334">
        <v>593041.23</v>
      </c>
      <c r="O334">
        <v>3915404.74</v>
      </c>
      <c r="P334">
        <v>478797.97</v>
      </c>
      <c r="Q334" s="1" t="s">
        <v>1331</v>
      </c>
      <c r="R334">
        <v>26</v>
      </c>
      <c r="S334" s="1" t="s">
        <v>1332</v>
      </c>
      <c r="T334" t="b">
        <v>1</v>
      </c>
    </row>
    <row r="335" spans="1:20" x14ac:dyDescent="0.25">
      <c r="A335" s="1" t="s">
        <v>1333</v>
      </c>
      <c r="B335" s="1" t="s">
        <v>418</v>
      </c>
      <c r="C335" s="1" t="s">
        <v>1042</v>
      </c>
      <c r="D335" s="1" t="s">
        <v>216</v>
      </c>
      <c r="E335" s="1" t="s">
        <v>24</v>
      </c>
      <c r="F335" s="1" t="s">
        <v>50</v>
      </c>
      <c r="G335" s="2">
        <v>44668</v>
      </c>
      <c r="H335" s="2"/>
      <c r="I335">
        <v>3</v>
      </c>
      <c r="J335">
        <v>4</v>
      </c>
      <c r="K335">
        <v>1</v>
      </c>
      <c r="L335" s="1" t="s">
        <v>26</v>
      </c>
      <c r="M335">
        <v>35.299999999999997</v>
      </c>
      <c r="N335">
        <v>122375.05</v>
      </c>
      <c r="O335">
        <v>2061428.94</v>
      </c>
      <c r="P335">
        <v>407188.32</v>
      </c>
      <c r="Q335" s="1" t="s">
        <v>1334</v>
      </c>
      <c r="R335">
        <v>70</v>
      </c>
      <c r="S335" s="1" t="s">
        <v>1335</v>
      </c>
      <c r="T335" t="b">
        <v>0</v>
      </c>
    </row>
    <row r="336" spans="1:20" x14ac:dyDescent="0.25">
      <c r="A336" s="1" t="s">
        <v>1336</v>
      </c>
      <c r="B336" s="1" t="s">
        <v>111</v>
      </c>
      <c r="C336" s="1" t="s">
        <v>630</v>
      </c>
      <c r="D336" s="1" t="s">
        <v>176</v>
      </c>
      <c r="E336" s="1" t="s">
        <v>24</v>
      </c>
      <c r="F336" s="1" t="s">
        <v>34</v>
      </c>
      <c r="G336" s="2">
        <v>44769</v>
      </c>
      <c r="H336" s="2"/>
      <c r="I336">
        <v>3</v>
      </c>
      <c r="J336">
        <v>1</v>
      </c>
      <c r="K336">
        <v>0</v>
      </c>
      <c r="L336" s="1" t="s">
        <v>26</v>
      </c>
      <c r="M336">
        <v>9.4</v>
      </c>
      <c r="N336">
        <v>25249.56</v>
      </c>
      <c r="O336">
        <v>970481.77</v>
      </c>
      <c r="P336">
        <v>109798.26</v>
      </c>
      <c r="Q336" s="1" t="s">
        <v>1337</v>
      </c>
      <c r="R336">
        <v>60</v>
      </c>
      <c r="S336" s="1" t="s">
        <v>1338</v>
      </c>
      <c r="T336" t="b">
        <v>0</v>
      </c>
    </row>
    <row r="337" spans="1:20" x14ac:dyDescent="0.25">
      <c r="A337" s="1" t="s">
        <v>1339</v>
      </c>
      <c r="B337" s="1" t="s">
        <v>358</v>
      </c>
      <c r="C337" s="1" t="s">
        <v>1340</v>
      </c>
      <c r="D337" s="1" t="s">
        <v>130</v>
      </c>
      <c r="E337" s="1" t="s">
        <v>65</v>
      </c>
      <c r="F337" s="1" t="s">
        <v>25</v>
      </c>
      <c r="G337" s="2">
        <v>45289</v>
      </c>
      <c r="H337" s="2">
        <v>45297</v>
      </c>
      <c r="I337">
        <v>4</v>
      </c>
      <c r="J337">
        <v>8</v>
      </c>
      <c r="K337">
        <v>3.5</v>
      </c>
      <c r="L337" s="1" t="s">
        <v>101</v>
      </c>
      <c r="M337">
        <v>49.8</v>
      </c>
      <c r="N337">
        <v>108151.47</v>
      </c>
      <c r="O337">
        <v>229913.23</v>
      </c>
      <c r="P337">
        <v>38122.910000000003</v>
      </c>
      <c r="Q337" s="1" t="s">
        <v>1341</v>
      </c>
      <c r="R337">
        <v>76</v>
      </c>
      <c r="S337" s="1" t="s">
        <v>1342</v>
      </c>
      <c r="T337" t="b">
        <v>1</v>
      </c>
    </row>
    <row r="338" spans="1:20" x14ac:dyDescent="0.25">
      <c r="A338" s="1" t="s">
        <v>1343</v>
      </c>
      <c r="B338" s="1" t="s">
        <v>99</v>
      </c>
      <c r="C338" s="1" t="s">
        <v>191</v>
      </c>
      <c r="D338" s="1" t="s">
        <v>595</v>
      </c>
      <c r="E338" s="1" t="s">
        <v>65</v>
      </c>
      <c r="F338" s="1" t="s">
        <v>25</v>
      </c>
      <c r="G338" s="2">
        <v>44863</v>
      </c>
      <c r="H338" s="2">
        <v>44869</v>
      </c>
      <c r="I338">
        <v>4</v>
      </c>
      <c r="J338">
        <v>6</v>
      </c>
      <c r="K338">
        <v>1.5</v>
      </c>
      <c r="L338" s="1" t="s">
        <v>26</v>
      </c>
      <c r="M338">
        <v>45</v>
      </c>
      <c r="N338">
        <v>198887.93</v>
      </c>
      <c r="O338">
        <v>2593226.14</v>
      </c>
      <c r="P338">
        <v>462842.27</v>
      </c>
      <c r="Q338" s="1" t="s">
        <v>1344</v>
      </c>
      <c r="R338">
        <v>42</v>
      </c>
      <c r="S338" s="1" t="s">
        <v>1345</v>
      </c>
      <c r="T338" t="b">
        <v>1</v>
      </c>
    </row>
    <row r="339" spans="1:20" x14ac:dyDescent="0.25">
      <c r="A339" s="1" t="s">
        <v>1346</v>
      </c>
      <c r="B339" s="1" t="s">
        <v>220</v>
      </c>
      <c r="C339" s="1" t="s">
        <v>1347</v>
      </c>
      <c r="D339" s="1" t="s">
        <v>207</v>
      </c>
      <c r="E339" s="1" t="s">
        <v>41</v>
      </c>
      <c r="F339" s="1" t="s">
        <v>25</v>
      </c>
      <c r="G339" s="2">
        <v>44972</v>
      </c>
      <c r="H339" s="2">
        <v>44987</v>
      </c>
      <c r="I339">
        <v>9</v>
      </c>
      <c r="J339">
        <v>15</v>
      </c>
      <c r="K339">
        <v>6</v>
      </c>
      <c r="L339" s="1" t="s">
        <v>42</v>
      </c>
      <c r="M339">
        <v>72.3</v>
      </c>
      <c r="N339">
        <v>167104.1</v>
      </c>
      <c r="O339">
        <v>2383868.0499999998</v>
      </c>
      <c r="P339">
        <v>431583.93</v>
      </c>
      <c r="Q339" s="1" t="s">
        <v>1348</v>
      </c>
      <c r="R339">
        <v>59</v>
      </c>
      <c r="S339" s="1" t="s">
        <v>1349</v>
      </c>
      <c r="T339" t="b">
        <v>0</v>
      </c>
    </row>
    <row r="340" spans="1:20" x14ac:dyDescent="0.25">
      <c r="A340" s="1" t="s">
        <v>1350</v>
      </c>
      <c r="B340" s="1" t="s">
        <v>93</v>
      </c>
      <c r="C340" s="1" t="s">
        <v>77</v>
      </c>
      <c r="D340" s="1" t="s">
        <v>320</v>
      </c>
      <c r="E340" s="1" t="s">
        <v>24</v>
      </c>
      <c r="F340" s="1" t="s">
        <v>25</v>
      </c>
      <c r="G340" s="2">
        <v>45419</v>
      </c>
      <c r="H340" s="2">
        <v>45420</v>
      </c>
      <c r="I340">
        <v>3</v>
      </c>
      <c r="J340">
        <v>1</v>
      </c>
      <c r="K340">
        <v>0</v>
      </c>
      <c r="L340" s="1" t="s">
        <v>26</v>
      </c>
      <c r="M340">
        <v>9.5</v>
      </c>
      <c r="N340">
        <v>37342.76</v>
      </c>
      <c r="O340">
        <v>220538.83</v>
      </c>
      <c r="P340">
        <v>31446.23</v>
      </c>
      <c r="Q340" s="1" t="s">
        <v>1351</v>
      </c>
      <c r="R340">
        <v>33</v>
      </c>
      <c r="S340" s="1" t="s">
        <v>1352</v>
      </c>
      <c r="T340" t="b">
        <v>1</v>
      </c>
    </row>
    <row r="341" spans="1:20" x14ac:dyDescent="0.25">
      <c r="A341" s="1" t="s">
        <v>1353</v>
      </c>
      <c r="B341" s="1" t="s">
        <v>358</v>
      </c>
      <c r="C341" s="1" t="s">
        <v>335</v>
      </c>
      <c r="D341" s="1" t="s">
        <v>202</v>
      </c>
      <c r="E341" s="1" t="s">
        <v>41</v>
      </c>
      <c r="F341" s="1" t="s">
        <v>50</v>
      </c>
      <c r="G341" s="2">
        <v>45546</v>
      </c>
      <c r="H341" s="2"/>
      <c r="I341">
        <v>9</v>
      </c>
      <c r="J341">
        <v>8</v>
      </c>
      <c r="K341">
        <v>0</v>
      </c>
      <c r="L341" s="1" t="s">
        <v>26</v>
      </c>
      <c r="M341">
        <v>109.5</v>
      </c>
      <c r="N341">
        <v>308238.32</v>
      </c>
      <c r="O341">
        <v>2007559.71</v>
      </c>
      <c r="P341">
        <v>422884.25</v>
      </c>
      <c r="Q341" s="1" t="s">
        <v>1354</v>
      </c>
      <c r="R341">
        <v>27</v>
      </c>
      <c r="S341" s="1" t="s">
        <v>1355</v>
      </c>
      <c r="T341" t="b">
        <v>1</v>
      </c>
    </row>
    <row r="342" spans="1:20" x14ac:dyDescent="0.25">
      <c r="A342" s="1" t="s">
        <v>1356</v>
      </c>
      <c r="B342" s="1" t="s">
        <v>228</v>
      </c>
      <c r="C342" s="1" t="s">
        <v>536</v>
      </c>
      <c r="D342" s="1" t="s">
        <v>249</v>
      </c>
      <c r="E342" s="1" t="s">
        <v>65</v>
      </c>
      <c r="F342" s="1" t="s">
        <v>25</v>
      </c>
      <c r="G342" s="2">
        <v>45157</v>
      </c>
      <c r="H342" s="2">
        <v>45163</v>
      </c>
      <c r="I342">
        <v>4</v>
      </c>
      <c r="J342">
        <v>6</v>
      </c>
      <c r="K342">
        <v>1.5</v>
      </c>
      <c r="L342" s="1" t="s">
        <v>26</v>
      </c>
      <c r="M342">
        <v>27.2</v>
      </c>
      <c r="N342">
        <v>51140.11</v>
      </c>
      <c r="O342">
        <v>997146.72</v>
      </c>
      <c r="P342">
        <v>123084.24</v>
      </c>
      <c r="Q342" s="1" t="s">
        <v>1357</v>
      </c>
      <c r="R342">
        <v>31</v>
      </c>
      <c r="S342" s="1" t="s">
        <v>1358</v>
      </c>
      <c r="T342" t="b">
        <v>1</v>
      </c>
    </row>
    <row r="343" spans="1:20" x14ac:dyDescent="0.25">
      <c r="A343" s="1" t="s">
        <v>1359</v>
      </c>
      <c r="B343" s="1" t="s">
        <v>76</v>
      </c>
      <c r="C343" s="1" t="s">
        <v>1360</v>
      </c>
      <c r="D343" s="1" t="s">
        <v>216</v>
      </c>
      <c r="E343" s="1" t="s">
        <v>57</v>
      </c>
      <c r="F343" s="1" t="s">
        <v>50</v>
      </c>
      <c r="G343" s="2">
        <v>44606</v>
      </c>
      <c r="H343" s="2"/>
      <c r="I343">
        <v>40</v>
      </c>
      <c r="J343">
        <v>36</v>
      </c>
      <c r="K343">
        <v>0</v>
      </c>
      <c r="L343" s="1" t="s">
        <v>26</v>
      </c>
      <c r="M343">
        <v>537.4</v>
      </c>
      <c r="N343">
        <v>997781.53</v>
      </c>
      <c r="O343">
        <v>3390487.37</v>
      </c>
      <c r="P343">
        <v>605108.39</v>
      </c>
      <c r="Q343" s="1" t="s">
        <v>1361</v>
      </c>
      <c r="R343">
        <v>35</v>
      </c>
      <c r="S343" s="1" t="s">
        <v>1362</v>
      </c>
      <c r="T343" t="b">
        <v>0</v>
      </c>
    </row>
    <row r="344" spans="1:20" x14ac:dyDescent="0.25">
      <c r="A344" s="1" t="s">
        <v>1363</v>
      </c>
      <c r="B344" s="1" t="s">
        <v>70</v>
      </c>
      <c r="C344" s="1" t="s">
        <v>1364</v>
      </c>
      <c r="D344" s="1" t="s">
        <v>513</v>
      </c>
      <c r="E344" s="1" t="s">
        <v>41</v>
      </c>
      <c r="F344" s="1" t="s">
        <v>25</v>
      </c>
      <c r="G344" s="2">
        <v>45324</v>
      </c>
      <c r="H344" s="2">
        <v>45335</v>
      </c>
      <c r="I344">
        <v>9</v>
      </c>
      <c r="J344">
        <v>11</v>
      </c>
      <c r="K344">
        <v>2</v>
      </c>
      <c r="L344" s="1" t="s">
        <v>26</v>
      </c>
      <c r="M344">
        <v>173</v>
      </c>
      <c r="N344">
        <v>777423.29</v>
      </c>
      <c r="O344">
        <v>4409502.34</v>
      </c>
      <c r="P344">
        <v>974305.8</v>
      </c>
      <c r="Q344" s="1" t="s">
        <v>1365</v>
      </c>
      <c r="R344">
        <v>54</v>
      </c>
      <c r="S344" s="1" t="s">
        <v>1366</v>
      </c>
      <c r="T344" t="b">
        <v>0</v>
      </c>
    </row>
    <row r="345" spans="1:20" x14ac:dyDescent="0.25">
      <c r="A345" s="1" t="s">
        <v>1367</v>
      </c>
      <c r="B345" s="1" t="s">
        <v>471</v>
      </c>
      <c r="C345" s="1" t="s">
        <v>1368</v>
      </c>
      <c r="D345" s="1" t="s">
        <v>249</v>
      </c>
      <c r="E345" s="1" t="s">
        <v>24</v>
      </c>
      <c r="F345" s="1" t="s">
        <v>66</v>
      </c>
      <c r="G345" s="2">
        <v>45328</v>
      </c>
      <c r="H345" s="2"/>
      <c r="I345">
        <v>3</v>
      </c>
      <c r="J345">
        <v>4</v>
      </c>
      <c r="K345">
        <v>1</v>
      </c>
      <c r="L345" s="1" t="s">
        <v>26</v>
      </c>
      <c r="M345">
        <v>62.9</v>
      </c>
      <c r="N345">
        <v>154751.87</v>
      </c>
      <c r="O345">
        <v>240514.01</v>
      </c>
      <c r="P345">
        <v>63876.07</v>
      </c>
      <c r="Q345" s="1" t="s">
        <v>1369</v>
      </c>
      <c r="R345">
        <v>23</v>
      </c>
      <c r="S345" s="1" t="s">
        <v>1370</v>
      </c>
      <c r="T345" t="b">
        <v>0</v>
      </c>
    </row>
    <row r="346" spans="1:20" x14ac:dyDescent="0.25">
      <c r="A346" s="1" t="s">
        <v>1371</v>
      </c>
      <c r="B346" s="1" t="s">
        <v>334</v>
      </c>
      <c r="C346" s="1" t="s">
        <v>982</v>
      </c>
      <c r="D346" s="1" t="s">
        <v>263</v>
      </c>
      <c r="E346" s="1" t="s">
        <v>49</v>
      </c>
      <c r="F346" s="1" t="s">
        <v>66</v>
      </c>
      <c r="G346" s="2">
        <v>44820</v>
      </c>
      <c r="H346" s="2"/>
      <c r="I346">
        <v>25</v>
      </c>
      <c r="J346">
        <v>38</v>
      </c>
      <c r="K346">
        <v>13</v>
      </c>
      <c r="L346" s="1" t="s">
        <v>26</v>
      </c>
      <c r="M346">
        <v>375</v>
      </c>
      <c r="N346">
        <v>1411389.78</v>
      </c>
      <c r="O346">
        <v>3925479.46</v>
      </c>
      <c r="P346">
        <v>955831.8</v>
      </c>
      <c r="Q346" s="1" t="s">
        <v>1372</v>
      </c>
      <c r="R346">
        <v>53</v>
      </c>
      <c r="S346" s="1" t="s">
        <v>1373</v>
      </c>
      <c r="T346" t="b">
        <v>0</v>
      </c>
    </row>
    <row r="347" spans="1:20" x14ac:dyDescent="0.25">
      <c r="A347" s="1" t="s">
        <v>1374</v>
      </c>
      <c r="B347" s="1" t="s">
        <v>220</v>
      </c>
      <c r="C347" s="1" t="s">
        <v>201</v>
      </c>
      <c r="D347" s="1" t="s">
        <v>372</v>
      </c>
      <c r="E347" s="1" t="s">
        <v>24</v>
      </c>
      <c r="F347" s="1" t="s">
        <v>34</v>
      </c>
      <c r="G347" s="2">
        <v>44928</v>
      </c>
      <c r="H347" s="2"/>
      <c r="I347">
        <v>3</v>
      </c>
      <c r="J347">
        <v>3</v>
      </c>
      <c r="K347">
        <v>0</v>
      </c>
      <c r="L347" s="1" t="s">
        <v>26</v>
      </c>
      <c r="M347">
        <v>30.9</v>
      </c>
      <c r="N347">
        <v>95941.47</v>
      </c>
      <c r="O347">
        <v>4779201.9400000004</v>
      </c>
      <c r="P347">
        <v>718478.24</v>
      </c>
      <c r="Q347" s="1" t="s">
        <v>1375</v>
      </c>
      <c r="R347">
        <v>34</v>
      </c>
      <c r="S347" s="1" t="s">
        <v>1376</v>
      </c>
      <c r="T347" t="b">
        <v>1</v>
      </c>
    </row>
    <row r="348" spans="1:20" x14ac:dyDescent="0.25">
      <c r="A348" s="1" t="s">
        <v>1377</v>
      </c>
      <c r="B348" s="1" t="s">
        <v>70</v>
      </c>
      <c r="C348" s="1" t="s">
        <v>371</v>
      </c>
      <c r="D348" s="1" t="s">
        <v>238</v>
      </c>
      <c r="E348" s="1" t="s">
        <v>57</v>
      </c>
      <c r="F348" s="1" t="s">
        <v>25</v>
      </c>
      <c r="G348" s="2">
        <v>45487</v>
      </c>
      <c r="H348" s="2">
        <v>45520</v>
      </c>
      <c r="I348">
        <v>40</v>
      </c>
      <c r="J348">
        <v>33</v>
      </c>
      <c r="K348">
        <v>0</v>
      </c>
      <c r="L348" s="1" t="s">
        <v>26</v>
      </c>
      <c r="M348">
        <v>253.2</v>
      </c>
      <c r="N348">
        <v>1063316.97</v>
      </c>
      <c r="O348">
        <v>2861138.23</v>
      </c>
      <c r="P348">
        <v>759577.88</v>
      </c>
      <c r="Q348" s="1" t="s">
        <v>1378</v>
      </c>
      <c r="R348">
        <v>48</v>
      </c>
      <c r="S348" s="1" t="s">
        <v>1379</v>
      </c>
      <c r="T348" t="b">
        <v>0</v>
      </c>
    </row>
    <row r="349" spans="1:20" x14ac:dyDescent="0.25">
      <c r="A349" s="1" t="s">
        <v>1380</v>
      </c>
      <c r="B349" s="1" t="s">
        <v>117</v>
      </c>
      <c r="C349" s="1" t="s">
        <v>1381</v>
      </c>
      <c r="D349" s="1" t="s">
        <v>505</v>
      </c>
      <c r="E349" s="1" t="s">
        <v>49</v>
      </c>
      <c r="F349" s="1" t="s">
        <v>25</v>
      </c>
      <c r="G349" s="2">
        <v>45033</v>
      </c>
      <c r="H349" s="2">
        <v>45057</v>
      </c>
      <c r="I349">
        <v>25</v>
      </c>
      <c r="J349">
        <v>24</v>
      </c>
      <c r="K349">
        <v>0</v>
      </c>
      <c r="L349" s="1" t="s">
        <v>26</v>
      </c>
      <c r="M349">
        <v>243.5</v>
      </c>
      <c r="N349">
        <v>659449.06999999995</v>
      </c>
      <c r="O349">
        <v>2261244.5</v>
      </c>
      <c r="P349">
        <v>418391.01</v>
      </c>
      <c r="Q349" s="1" t="s">
        <v>1382</v>
      </c>
      <c r="R349">
        <v>31</v>
      </c>
      <c r="S349" s="1" t="s">
        <v>1383</v>
      </c>
      <c r="T349" t="b">
        <v>0</v>
      </c>
    </row>
    <row r="350" spans="1:20" x14ac:dyDescent="0.25">
      <c r="A350" s="1" t="s">
        <v>1384</v>
      </c>
      <c r="B350" s="1" t="s">
        <v>93</v>
      </c>
      <c r="C350" s="1" t="s">
        <v>31</v>
      </c>
      <c r="D350" s="1" t="s">
        <v>1022</v>
      </c>
      <c r="E350" s="1" t="s">
        <v>24</v>
      </c>
      <c r="F350" s="1" t="s">
        <v>34</v>
      </c>
      <c r="G350" s="2">
        <v>45040</v>
      </c>
      <c r="H350" s="2"/>
      <c r="I350">
        <v>3</v>
      </c>
      <c r="J350">
        <v>1</v>
      </c>
      <c r="K350">
        <v>0</v>
      </c>
      <c r="L350" s="1" t="s">
        <v>26</v>
      </c>
      <c r="M350">
        <v>8.3000000000000007</v>
      </c>
      <c r="N350">
        <v>16787</v>
      </c>
      <c r="O350">
        <v>4214590.91</v>
      </c>
      <c r="P350">
        <v>640119.04000000004</v>
      </c>
      <c r="Q350" s="1" t="s">
        <v>1385</v>
      </c>
      <c r="R350">
        <v>24</v>
      </c>
      <c r="S350" s="1" t="s">
        <v>1386</v>
      </c>
      <c r="T350" t="b">
        <v>0</v>
      </c>
    </row>
    <row r="351" spans="1:20" x14ac:dyDescent="0.25">
      <c r="A351" s="1" t="s">
        <v>1387</v>
      </c>
      <c r="B351" s="1" t="s">
        <v>566</v>
      </c>
      <c r="C351" s="1" t="s">
        <v>646</v>
      </c>
      <c r="D351" s="1" t="s">
        <v>64</v>
      </c>
      <c r="E351" s="1" t="s">
        <v>49</v>
      </c>
      <c r="F351" s="1" t="s">
        <v>25</v>
      </c>
      <c r="G351" s="2">
        <v>44640</v>
      </c>
      <c r="H351" s="2">
        <v>44660</v>
      </c>
      <c r="I351">
        <v>25</v>
      </c>
      <c r="J351">
        <v>20</v>
      </c>
      <c r="K351">
        <v>0</v>
      </c>
      <c r="L351" s="1" t="s">
        <v>26</v>
      </c>
      <c r="M351">
        <v>127.2</v>
      </c>
      <c r="N351">
        <v>342034.63</v>
      </c>
      <c r="O351">
        <v>1520550.76</v>
      </c>
      <c r="P351">
        <v>338164.44</v>
      </c>
      <c r="Q351" s="1" t="s">
        <v>1388</v>
      </c>
      <c r="R351">
        <v>68</v>
      </c>
      <c r="S351" s="1" t="s">
        <v>1389</v>
      </c>
      <c r="T351" t="b">
        <v>0</v>
      </c>
    </row>
    <row r="352" spans="1:20" x14ac:dyDescent="0.25">
      <c r="A352" s="1" t="s">
        <v>1390</v>
      </c>
      <c r="B352" s="1" t="s">
        <v>334</v>
      </c>
      <c r="C352" s="1" t="s">
        <v>858</v>
      </c>
      <c r="D352" s="1" t="s">
        <v>32</v>
      </c>
      <c r="E352" s="1" t="s">
        <v>24</v>
      </c>
      <c r="F352" s="1" t="s">
        <v>25</v>
      </c>
      <c r="G352" s="2">
        <v>44579</v>
      </c>
      <c r="H352" s="2">
        <v>44582</v>
      </c>
      <c r="I352">
        <v>3</v>
      </c>
      <c r="J352">
        <v>3</v>
      </c>
      <c r="K352">
        <v>0</v>
      </c>
      <c r="L352" s="1" t="s">
        <v>26</v>
      </c>
      <c r="M352">
        <v>40.200000000000003</v>
      </c>
      <c r="N352">
        <v>116189.66</v>
      </c>
      <c r="O352">
        <v>2034734.83</v>
      </c>
      <c r="P352">
        <v>339836.13</v>
      </c>
      <c r="Q352" s="1" t="s">
        <v>1391</v>
      </c>
      <c r="R352">
        <v>45</v>
      </c>
      <c r="S352" s="1" t="s">
        <v>1392</v>
      </c>
      <c r="T352" t="b">
        <v>1</v>
      </c>
    </row>
    <row r="353" spans="1:20" x14ac:dyDescent="0.25">
      <c r="A353" s="1" t="s">
        <v>1393</v>
      </c>
      <c r="B353" s="1" t="s">
        <v>158</v>
      </c>
      <c r="C353" s="1" t="s">
        <v>1394</v>
      </c>
      <c r="D353" s="1" t="s">
        <v>64</v>
      </c>
      <c r="E353" s="1" t="s">
        <v>41</v>
      </c>
      <c r="F353" s="1" t="s">
        <v>34</v>
      </c>
      <c r="G353" s="2">
        <v>45026</v>
      </c>
      <c r="H353" s="2"/>
      <c r="I353">
        <v>9</v>
      </c>
      <c r="J353">
        <v>6</v>
      </c>
      <c r="K353">
        <v>0</v>
      </c>
      <c r="L353" s="1" t="s">
        <v>26</v>
      </c>
      <c r="M353">
        <v>58.2</v>
      </c>
      <c r="N353">
        <v>185816.8</v>
      </c>
      <c r="O353">
        <v>3932013.49</v>
      </c>
      <c r="P353">
        <v>723758.62</v>
      </c>
      <c r="Q353" s="1" t="s">
        <v>1395</v>
      </c>
      <c r="R353">
        <v>32</v>
      </c>
      <c r="S353" s="1" t="s">
        <v>1396</v>
      </c>
      <c r="T353" t="b">
        <v>0</v>
      </c>
    </row>
    <row r="354" spans="1:20" x14ac:dyDescent="0.25">
      <c r="A354" s="1" t="s">
        <v>1397</v>
      </c>
      <c r="B354" s="1" t="s">
        <v>358</v>
      </c>
      <c r="C354" s="1" t="s">
        <v>1241</v>
      </c>
      <c r="D354" s="1" t="s">
        <v>268</v>
      </c>
      <c r="E354" s="1" t="s">
        <v>57</v>
      </c>
      <c r="F354" s="1" t="s">
        <v>25</v>
      </c>
      <c r="G354" s="2">
        <v>45417</v>
      </c>
      <c r="H354" s="2">
        <v>45465</v>
      </c>
      <c r="I354">
        <v>40</v>
      </c>
      <c r="J354">
        <v>48</v>
      </c>
      <c r="K354">
        <v>8</v>
      </c>
      <c r="L354" s="1" t="s">
        <v>26</v>
      </c>
      <c r="M354">
        <v>683.3</v>
      </c>
      <c r="N354">
        <v>1285479.31</v>
      </c>
      <c r="O354">
        <v>703361.63</v>
      </c>
      <c r="P354">
        <v>372659.11</v>
      </c>
      <c r="Q354" s="1" t="s">
        <v>1398</v>
      </c>
      <c r="R354">
        <v>46</v>
      </c>
      <c r="S354" s="1" t="s">
        <v>1399</v>
      </c>
      <c r="T354" t="b">
        <v>0</v>
      </c>
    </row>
    <row r="355" spans="1:20" x14ac:dyDescent="0.25">
      <c r="A355" s="1" t="s">
        <v>1400</v>
      </c>
      <c r="B355" s="1" t="s">
        <v>228</v>
      </c>
      <c r="C355" s="1" t="s">
        <v>1286</v>
      </c>
      <c r="D355" s="1" t="s">
        <v>95</v>
      </c>
      <c r="E355" s="1" t="s">
        <v>41</v>
      </c>
      <c r="F355" s="1" t="s">
        <v>66</v>
      </c>
      <c r="G355" s="2">
        <v>45388</v>
      </c>
      <c r="H355" s="2"/>
      <c r="I355">
        <v>9</v>
      </c>
      <c r="J355">
        <v>7</v>
      </c>
      <c r="K355">
        <v>0</v>
      </c>
      <c r="L355" s="1" t="s">
        <v>26</v>
      </c>
      <c r="M355">
        <v>55.4</v>
      </c>
      <c r="N355">
        <v>103196.22</v>
      </c>
      <c r="O355">
        <v>3928935.48</v>
      </c>
      <c r="P355">
        <v>775033.85</v>
      </c>
      <c r="Q355" s="1" t="s">
        <v>1401</v>
      </c>
      <c r="R355">
        <v>71</v>
      </c>
      <c r="S355" s="1" t="s">
        <v>1402</v>
      </c>
      <c r="T355" t="b">
        <v>0</v>
      </c>
    </row>
    <row r="356" spans="1:20" x14ac:dyDescent="0.25">
      <c r="A356" s="1" t="s">
        <v>1403</v>
      </c>
      <c r="B356" s="1" t="s">
        <v>158</v>
      </c>
      <c r="C356" s="1" t="s">
        <v>903</v>
      </c>
      <c r="D356" s="1" t="s">
        <v>686</v>
      </c>
      <c r="E356" s="1" t="s">
        <v>57</v>
      </c>
      <c r="F356" s="1" t="s">
        <v>25</v>
      </c>
      <c r="G356" s="2">
        <v>45342</v>
      </c>
      <c r="H356" s="2">
        <v>45366</v>
      </c>
      <c r="I356">
        <v>40</v>
      </c>
      <c r="J356">
        <v>24</v>
      </c>
      <c r="K356">
        <v>0</v>
      </c>
      <c r="L356" s="1" t="s">
        <v>26</v>
      </c>
      <c r="M356">
        <v>249.9</v>
      </c>
      <c r="N356">
        <v>576897.76</v>
      </c>
      <c r="O356">
        <v>552105.4</v>
      </c>
      <c r="P356">
        <v>177198.74</v>
      </c>
      <c r="Q356" s="1" t="s">
        <v>1404</v>
      </c>
      <c r="R356">
        <v>63</v>
      </c>
      <c r="S356" s="1" t="s">
        <v>1405</v>
      </c>
      <c r="T356" t="b">
        <v>1</v>
      </c>
    </row>
    <row r="357" spans="1:20" x14ac:dyDescent="0.25">
      <c r="A357" s="1" t="s">
        <v>1406</v>
      </c>
      <c r="B357" s="1" t="s">
        <v>403</v>
      </c>
      <c r="C357" s="1" t="s">
        <v>1407</v>
      </c>
      <c r="D357" s="1" t="s">
        <v>216</v>
      </c>
      <c r="E357" s="1" t="s">
        <v>41</v>
      </c>
      <c r="F357" s="1" t="s">
        <v>66</v>
      </c>
      <c r="G357" s="2">
        <v>44627</v>
      </c>
      <c r="H357" s="2"/>
      <c r="I357">
        <v>9</v>
      </c>
      <c r="J357">
        <v>10</v>
      </c>
      <c r="K357">
        <v>1</v>
      </c>
      <c r="L357" s="1" t="s">
        <v>26</v>
      </c>
      <c r="M357">
        <v>43.2</v>
      </c>
      <c r="N357">
        <v>100971.21</v>
      </c>
      <c r="O357">
        <v>4557613.0999999996</v>
      </c>
      <c r="P357">
        <v>645630.46</v>
      </c>
      <c r="Q357" s="1" t="s">
        <v>1408</v>
      </c>
      <c r="R357">
        <v>23</v>
      </c>
      <c r="S357" s="1" t="s">
        <v>1409</v>
      </c>
      <c r="T357" t="b">
        <v>0</v>
      </c>
    </row>
    <row r="358" spans="1:20" x14ac:dyDescent="0.25">
      <c r="A358" s="1" t="s">
        <v>1410</v>
      </c>
      <c r="B358" s="1" t="s">
        <v>82</v>
      </c>
      <c r="C358" s="1" t="s">
        <v>248</v>
      </c>
      <c r="D358" s="1" t="s">
        <v>713</v>
      </c>
      <c r="E358" s="1" t="s">
        <v>33</v>
      </c>
      <c r="F358" s="1" t="s">
        <v>25</v>
      </c>
      <c r="G358" s="2">
        <v>45623</v>
      </c>
      <c r="H358" s="2">
        <v>45634</v>
      </c>
      <c r="I358">
        <v>12</v>
      </c>
      <c r="J358">
        <v>11</v>
      </c>
      <c r="K358">
        <v>0</v>
      </c>
      <c r="L358" s="1" t="s">
        <v>26</v>
      </c>
      <c r="M358">
        <v>157.5</v>
      </c>
      <c r="N358">
        <v>458218.74</v>
      </c>
      <c r="O358">
        <v>793606.92</v>
      </c>
      <c r="P358">
        <v>139045.78</v>
      </c>
      <c r="Q358" s="1" t="s">
        <v>1411</v>
      </c>
      <c r="R358">
        <v>75</v>
      </c>
      <c r="S358" s="1" t="s">
        <v>1412</v>
      </c>
      <c r="T358" t="b">
        <v>1</v>
      </c>
    </row>
    <row r="359" spans="1:20" x14ac:dyDescent="0.25">
      <c r="A359" s="1" t="s">
        <v>1413</v>
      </c>
      <c r="B359" s="1" t="s">
        <v>418</v>
      </c>
      <c r="C359" s="1" t="s">
        <v>884</v>
      </c>
      <c r="D359" s="1" t="s">
        <v>513</v>
      </c>
      <c r="E359" s="1" t="s">
        <v>57</v>
      </c>
      <c r="F359" s="1" t="s">
        <v>25</v>
      </c>
      <c r="G359" s="2">
        <v>44828</v>
      </c>
      <c r="H359" s="2">
        <v>44875</v>
      </c>
      <c r="I359">
        <v>40</v>
      </c>
      <c r="J359">
        <v>47</v>
      </c>
      <c r="K359">
        <v>7</v>
      </c>
      <c r="L359" s="1" t="s">
        <v>101</v>
      </c>
      <c r="M359">
        <v>649.29999999999995</v>
      </c>
      <c r="N359">
        <v>2334194.63</v>
      </c>
      <c r="O359">
        <v>802318.44</v>
      </c>
      <c r="P359">
        <v>494029.47</v>
      </c>
      <c r="Q359" s="1" t="s">
        <v>1414</v>
      </c>
      <c r="R359">
        <v>20</v>
      </c>
      <c r="S359" s="1" t="s">
        <v>1415</v>
      </c>
      <c r="T359" t="b">
        <v>1</v>
      </c>
    </row>
    <row r="360" spans="1:20" x14ac:dyDescent="0.25">
      <c r="A360" s="1" t="s">
        <v>1416</v>
      </c>
      <c r="B360" s="1" t="s">
        <v>138</v>
      </c>
      <c r="C360" s="1" t="s">
        <v>399</v>
      </c>
      <c r="D360" s="1" t="s">
        <v>238</v>
      </c>
      <c r="E360" s="1" t="s">
        <v>33</v>
      </c>
      <c r="F360" s="1" t="s">
        <v>50</v>
      </c>
      <c r="G360" s="2">
        <v>45474</v>
      </c>
      <c r="H360" s="2"/>
      <c r="I360">
        <v>12</v>
      </c>
      <c r="J360">
        <v>12</v>
      </c>
      <c r="K360">
        <v>0</v>
      </c>
      <c r="L360" s="1" t="s">
        <v>26</v>
      </c>
      <c r="M360">
        <v>135.1</v>
      </c>
      <c r="N360">
        <v>333219.87</v>
      </c>
      <c r="O360">
        <v>1651168.4</v>
      </c>
      <c r="P360">
        <v>311395.98</v>
      </c>
      <c r="Q360" s="1" t="s">
        <v>1417</v>
      </c>
      <c r="R360">
        <v>61</v>
      </c>
      <c r="S360" s="1" t="s">
        <v>1418</v>
      </c>
      <c r="T360" t="b">
        <v>0</v>
      </c>
    </row>
    <row r="361" spans="1:20" x14ac:dyDescent="0.25">
      <c r="A361" s="1" t="s">
        <v>1419</v>
      </c>
      <c r="B361" s="1" t="s">
        <v>286</v>
      </c>
      <c r="C361" s="1" t="s">
        <v>677</v>
      </c>
      <c r="D361" s="1" t="s">
        <v>293</v>
      </c>
      <c r="E361" s="1" t="s">
        <v>41</v>
      </c>
      <c r="F361" s="1" t="s">
        <v>50</v>
      </c>
      <c r="G361" s="2">
        <v>45272</v>
      </c>
      <c r="H361" s="2"/>
      <c r="I361">
        <v>9</v>
      </c>
      <c r="J361">
        <v>14</v>
      </c>
      <c r="K361">
        <v>5</v>
      </c>
      <c r="L361" s="1" t="s">
        <v>26</v>
      </c>
      <c r="M361">
        <v>189.1</v>
      </c>
      <c r="N361">
        <v>540059.01</v>
      </c>
      <c r="O361">
        <v>4118913.73</v>
      </c>
      <c r="P361">
        <v>861837.23</v>
      </c>
      <c r="Q361" s="1" t="s">
        <v>1420</v>
      </c>
      <c r="R361">
        <v>78</v>
      </c>
      <c r="S361" s="1" t="s">
        <v>1421</v>
      </c>
      <c r="T361" t="b">
        <v>1</v>
      </c>
    </row>
    <row r="362" spans="1:20" x14ac:dyDescent="0.25">
      <c r="A362" s="1" t="s">
        <v>1422</v>
      </c>
      <c r="B362" s="1" t="s">
        <v>76</v>
      </c>
      <c r="C362" s="1" t="s">
        <v>1021</v>
      </c>
      <c r="D362" s="1" t="s">
        <v>113</v>
      </c>
      <c r="E362" s="1" t="s">
        <v>65</v>
      </c>
      <c r="F362" s="1" t="s">
        <v>34</v>
      </c>
      <c r="G362" s="2">
        <v>44757</v>
      </c>
      <c r="H362" s="2"/>
      <c r="I362">
        <v>4</v>
      </c>
      <c r="J362">
        <v>1</v>
      </c>
      <c r="K362">
        <v>0</v>
      </c>
      <c r="L362" s="1" t="s">
        <v>26</v>
      </c>
      <c r="M362">
        <v>6.9</v>
      </c>
      <c r="N362">
        <v>28638.15</v>
      </c>
      <c r="O362">
        <v>1376143.62</v>
      </c>
      <c r="P362">
        <v>228710.16</v>
      </c>
      <c r="Q362" s="1" t="s">
        <v>1423</v>
      </c>
      <c r="R362">
        <v>68</v>
      </c>
      <c r="S362" s="1" t="s">
        <v>1424</v>
      </c>
      <c r="T362" t="b">
        <v>1</v>
      </c>
    </row>
    <row r="363" spans="1:20" x14ac:dyDescent="0.25">
      <c r="A363" s="1" t="s">
        <v>1425</v>
      </c>
      <c r="B363" s="1" t="s">
        <v>54</v>
      </c>
      <c r="C363" s="1" t="s">
        <v>1426</v>
      </c>
      <c r="D363" s="1" t="s">
        <v>95</v>
      </c>
      <c r="E363" s="1" t="s">
        <v>33</v>
      </c>
      <c r="F363" s="1" t="s">
        <v>50</v>
      </c>
      <c r="G363" s="2">
        <v>45317</v>
      </c>
      <c r="H363" s="2"/>
      <c r="I363">
        <v>12</v>
      </c>
      <c r="J363">
        <v>7</v>
      </c>
      <c r="K363">
        <v>0</v>
      </c>
      <c r="L363" s="1" t="s">
        <v>26</v>
      </c>
      <c r="M363">
        <v>70.400000000000006</v>
      </c>
      <c r="N363">
        <v>274889.38</v>
      </c>
      <c r="O363">
        <v>2056379.38</v>
      </c>
      <c r="P363">
        <v>271555.3</v>
      </c>
      <c r="Q363" s="1" t="s">
        <v>1427</v>
      </c>
      <c r="R363">
        <v>64</v>
      </c>
      <c r="S363" s="1" t="s">
        <v>1428</v>
      </c>
      <c r="T363" t="b">
        <v>0</v>
      </c>
    </row>
    <row r="364" spans="1:20" x14ac:dyDescent="0.25">
      <c r="A364" s="1" t="s">
        <v>1429</v>
      </c>
      <c r="B364" s="1" t="s">
        <v>418</v>
      </c>
      <c r="C364" s="1" t="s">
        <v>39</v>
      </c>
      <c r="D364" s="1" t="s">
        <v>216</v>
      </c>
      <c r="E364" s="1" t="s">
        <v>24</v>
      </c>
      <c r="F364" s="1" t="s">
        <v>34</v>
      </c>
      <c r="G364" s="2">
        <v>45342</v>
      </c>
      <c r="H364" s="2"/>
      <c r="I364">
        <v>3</v>
      </c>
      <c r="J364">
        <v>4</v>
      </c>
      <c r="K364">
        <v>1</v>
      </c>
      <c r="L364" s="1" t="s">
        <v>26</v>
      </c>
      <c r="M364">
        <v>57.1</v>
      </c>
      <c r="N364">
        <v>163935.28</v>
      </c>
      <c r="O364">
        <v>63579.43</v>
      </c>
      <c r="P364">
        <v>25360.67</v>
      </c>
      <c r="Q364" s="1" t="s">
        <v>1430</v>
      </c>
      <c r="R364">
        <v>24</v>
      </c>
      <c r="S364" s="1" t="s">
        <v>1431</v>
      </c>
      <c r="T364" t="b">
        <v>1</v>
      </c>
    </row>
    <row r="365" spans="1:20" x14ac:dyDescent="0.25">
      <c r="A365" s="1" t="s">
        <v>1432</v>
      </c>
      <c r="B365" s="1" t="s">
        <v>105</v>
      </c>
      <c r="C365" s="1" t="s">
        <v>94</v>
      </c>
      <c r="D365" s="1" t="s">
        <v>288</v>
      </c>
      <c r="E365" s="1" t="s">
        <v>41</v>
      </c>
      <c r="F365" s="1" t="s">
        <v>25</v>
      </c>
      <c r="G365" s="2">
        <v>45058</v>
      </c>
      <c r="H365" s="2">
        <v>45063</v>
      </c>
      <c r="I365">
        <v>9</v>
      </c>
      <c r="J365">
        <v>5</v>
      </c>
      <c r="K365">
        <v>0</v>
      </c>
      <c r="L365" s="1" t="s">
        <v>26</v>
      </c>
      <c r="M365">
        <v>48.2</v>
      </c>
      <c r="N365">
        <v>123087.53</v>
      </c>
      <c r="O365">
        <v>815218.99</v>
      </c>
      <c r="P365">
        <v>172507.26</v>
      </c>
      <c r="Q365" s="1" t="s">
        <v>1433</v>
      </c>
      <c r="R365">
        <v>45</v>
      </c>
      <c r="S365" s="1" t="s">
        <v>1434</v>
      </c>
      <c r="T365" t="b">
        <v>1</v>
      </c>
    </row>
    <row r="366" spans="1:20" x14ac:dyDescent="0.25">
      <c r="A366" s="1" t="s">
        <v>1435</v>
      </c>
      <c r="B366" s="1" t="s">
        <v>76</v>
      </c>
      <c r="C366" s="1" t="s">
        <v>254</v>
      </c>
      <c r="D366" s="1" t="s">
        <v>410</v>
      </c>
      <c r="E366" s="1" t="s">
        <v>41</v>
      </c>
      <c r="F366" s="1" t="s">
        <v>50</v>
      </c>
      <c r="G366" s="2">
        <v>44720</v>
      </c>
      <c r="H366" s="2"/>
      <c r="I366">
        <v>9</v>
      </c>
      <c r="J366">
        <v>3</v>
      </c>
      <c r="K366">
        <v>0</v>
      </c>
      <c r="L366" s="1" t="s">
        <v>26</v>
      </c>
      <c r="M366">
        <v>36.4</v>
      </c>
      <c r="N366">
        <v>80605.63</v>
      </c>
      <c r="O366">
        <v>1796854.08</v>
      </c>
      <c r="P366">
        <v>228425.35</v>
      </c>
      <c r="Q366" s="1" t="s">
        <v>1436</v>
      </c>
      <c r="R366">
        <v>23</v>
      </c>
      <c r="S366" s="1" t="s">
        <v>1437</v>
      </c>
      <c r="T366" t="b">
        <v>1</v>
      </c>
    </row>
    <row r="367" spans="1:20" x14ac:dyDescent="0.25">
      <c r="A367" s="1" t="s">
        <v>1438</v>
      </c>
      <c r="B367" s="1" t="s">
        <v>629</v>
      </c>
      <c r="C367" s="1" t="s">
        <v>123</v>
      </c>
      <c r="D367" s="1" t="s">
        <v>670</v>
      </c>
      <c r="E367" s="1" t="s">
        <v>41</v>
      </c>
      <c r="F367" s="1" t="s">
        <v>25</v>
      </c>
      <c r="G367" s="2">
        <v>45361</v>
      </c>
      <c r="H367" s="2">
        <v>45371</v>
      </c>
      <c r="I367">
        <v>9</v>
      </c>
      <c r="J367">
        <v>10</v>
      </c>
      <c r="K367">
        <v>1</v>
      </c>
      <c r="L367" s="1" t="s">
        <v>26</v>
      </c>
      <c r="M367">
        <v>46.3</v>
      </c>
      <c r="N367">
        <v>83923.26</v>
      </c>
      <c r="O367">
        <v>3864324.38</v>
      </c>
      <c r="P367">
        <v>697700.46</v>
      </c>
      <c r="Q367" s="1" t="s">
        <v>1439</v>
      </c>
      <c r="R367">
        <v>21</v>
      </c>
      <c r="S367" s="1" t="s">
        <v>1440</v>
      </c>
      <c r="T367" t="b">
        <v>0</v>
      </c>
    </row>
    <row r="368" spans="1:20" x14ac:dyDescent="0.25">
      <c r="A368" s="1" t="s">
        <v>1441</v>
      </c>
      <c r="B368" s="1" t="s">
        <v>174</v>
      </c>
      <c r="C368" s="1" t="s">
        <v>1442</v>
      </c>
      <c r="D368" s="1" t="s">
        <v>113</v>
      </c>
      <c r="E368" s="1" t="s">
        <v>33</v>
      </c>
      <c r="F368" s="1" t="s">
        <v>25</v>
      </c>
      <c r="G368" s="2">
        <v>44619</v>
      </c>
      <c r="H368" s="2">
        <v>44628</v>
      </c>
      <c r="I368">
        <v>12</v>
      </c>
      <c r="J368">
        <v>9</v>
      </c>
      <c r="K368">
        <v>0</v>
      </c>
      <c r="L368" s="1" t="s">
        <v>26</v>
      </c>
      <c r="M368">
        <v>109.4</v>
      </c>
      <c r="N368">
        <v>215579.59</v>
      </c>
      <c r="O368">
        <v>4794138.82</v>
      </c>
      <c r="P368">
        <v>549367.32999999996</v>
      </c>
      <c r="Q368" s="1" t="s">
        <v>1443</v>
      </c>
      <c r="R368">
        <v>52</v>
      </c>
      <c r="S368" s="1" t="s">
        <v>1444</v>
      </c>
      <c r="T368" t="b">
        <v>1</v>
      </c>
    </row>
    <row r="369" spans="1:20" x14ac:dyDescent="0.25">
      <c r="A369" s="1" t="s">
        <v>1445</v>
      </c>
      <c r="B369" s="1" t="s">
        <v>545</v>
      </c>
      <c r="C369" s="1" t="s">
        <v>71</v>
      </c>
      <c r="D369" s="1" t="s">
        <v>192</v>
      </c>
      <c r="E369" s="1" t="s">
        <v>24</v>
      </c>
      <c r="F369" s="1" t="s">
        <v>66</v>
      </c>
      <c r="G369" s="2">
        <v>45231</v>
      </c>
      <c r="H369" s="2"/>
      <c r="I369">
        <v>3</v>
      </c>
      <c r="J369">
        <v>2</v>
      </c>
      <c r="K369">
        <v>0</v>
      </c>
      <c r="L369" s="1" t="s">
        <v>26</v>
      </c>
      <c r="M369">
        <v>23</v>
      </c>
      <c r="N369">
        <v>99421.73</v>
      </c>
      <c r="O369">
        <v>1981368.97</v>
      </c>
      <c r="P369">
        <v>297112</v>
      </c>
      <c r="Q369" s="1" t="s">
        <v>1446</v>
      </c>
      <c r="R369">
        <v>45</v>
      </c>
      <c r="S369" s="1" t="s">
        <v>1447</v>
      </c>
      <c r="T369" t="b">
        <v>0</v>
      </c>
    </row>
    <row r="370" spans="1:20" x14ac:dyDescent="0.25">
      <c r="A370" s="1" t="s">
        <v>1448</v>
      </c>
      <c r="B370" s="1" t="s">
        <v>328</v>
      </c>
      <c r="C370" s="1" t="s">
        <v>1072</v>
      </c>
      <c r="D370" s="1" t="s">
        <v>686</v>
      </c>
      <c r="E370" s="1" t="s">
        <v>65</v>
      </c>
      <c r="F370" s="1" t="s">
        <v>25</v>
      </c>
      <c r="G370" s="2">
        <v>44586</v>
      </c>
      <c r="H370" s="2">
        <v>44594</v>
      </c>
      <c r="I370">
        <v>4</v>
      </c>
      <c r="J370">
        <v>8</v>
      </c>
      <c r="K370">
        <v>3.5</v>
      </c>
      <c r="L370" s="1" t="s">
        <v>26</v>
      </c>
      <c r="M370">
        <v>53.1</v>
      </c>
      <c r="N370">
        <v>189911.97</v>
      </c>
      <c r="O370">
        <v>1399503.54</v>
      </c>
      <c r="P370">
        <v>258106.68</v>
      </c>
      <c r="Q370" s="1" t="s">
        <v>1449</v>
      </c>
      <c r="R370">
        <v>65</v>
      </c>
      <c r="S370" s="1" t="s">
        <v>1450</v>
      </c>
      <c r="T370" t="b">
        <v>1</v>
      </c>
    </row>
    <row r="371" spans="1:20" x14ac:dyDescent="0.25">
      <c r="A371" s="1" t="s">
        <v>1451</v>
      </c>
      <c r="B371" s="1" t="s">
        <v>545</v>
      </c>
      <c r="C371" s="1" t="s">
        <v>1452</v>
      </c>
      <c r="D371" s="1" t="s">
        <v>159</v>
      </c>
      <c r="E371" s="1" t="s">
        <v>33</v>
      </c>
      <c r="F371" s="1" t="s">
        <v>66</v>
      </c>
      <c r="G371" s="2">
        <v>45077</v>
      </c>
      <c r="H371" s="2"/>
      <c r="I371">
        <v>12</v>
      </c>
      <c r="J371">
        <v>11</v>
      </c>
      <c r="K371">
        <v>0</v>
      </c>
      <c r="L371" s="1" t="s">
        <v>26</v>
      </c>
      <c r="M371">
        <v>173.5</v>
      </c>
      <c r="N371">
        <v>638488.93000000005</v>
      </c>
      <c r="O371">
        <v>3392723.61</v>
      </c>
      <c r="P371">
        <v>795103</v>
      </c>
      <c r="Q371" s="1" t="s">
        <v>1453</v>
      </c>
      <c r="R371">
        <v>41</v>
      </c>
      <c r="S371" s="1" t="s">
        <v>1454</v>
      </c>
      <c r="T371" t="b">
        <v>1</v>
      </c>
    </row>
    <row r="372" spans="1:20" x14ac:dyDescent="0.25">
      <c r="A372" s="1" t="s">
        <v>1455</v>
      </c>
      <c r="B372" s="1" t="s">
        <v>629</v>
      </c>
      <c r="C372" s="1" t="s">
        <v>258</v>
      </c>
      <c r="D372" s="1" t="s">
        <v>40</v>
      </c>
      <c r="E372" s="1" t="s">
        <v>65</v>
      </c>
      <c r="F372" s="1" t="s">
        <v>66</v>
      </c>
      <c r="G372" s="2">
        <v>45481</v>
      </c>
      <c r="H372" s="2"/>
      <c r="I372">
        <v>4</v>
      </c>
      <c r="J372">
        <v>4</v>
      </c>
      <c r="K372">
        <v>0</v>
      </c>
      <c r="L372" s="1" t="s">
        <v>26</v>
      </c>
      <c r="M372">
        <v>40.200000000000003</v>
      </c>
      <c r="N372">
        <v>148840.45000000001</v>
      </c>
      <c r="O372">
        <v>76325.490000000005</v>
      </c>
      <c r="P372">
        <v>22994.25</v>
      </c>
      <c r="Q372" s="1" t="s">
        <v>1456</v>
      </c>
      <c r="R372">
        <v>35</v>
      </c>
      <c r="S372" s="1" t="s">
        <v>1457</v>
      </c>
      <c r="T372" t="b">
        <v>1</v>
      </c>
    </row>
    <row r="373" spans="1:20" x14ac:dyDescent="0.25">
      <c r="A373" s="1" t="s">
        <v>1458</v>
      </c>
      <c r="B373" s="1" t="s">
        <v>228</v>
      </c>
      <c r="C373" s="1" t="s">
        <v>367</v>
      </c>
      <c r="D373" s="1" t="s">
        <v>84</v>
      </c>
      <c r="E373" s="1" t="s">
        <v>57</v>
      </c>
      <c r="F373" s="1" t="s">
        <v>25</v>
      </c>
      <c r="G373" s="2">
        <v>44684</v>
      </c>
      <c r="H373" s="2">
        <v>44735</v>
      </c>
      <c r="I373">
        <v>40</v>
      </c>
      <c r="J373">
        <v>51</v>
      </c>
      <c r="K373">
        <v>11</v>
      </c>
      <c r="L373" s="1" t="s">
        <v>26</v>
      </c>
      <c r="M373">
        <v>385.5</v>
      </c>
      <c r="N373">
        <v>851766.33</v>
      </c>
      <c r="O373">
        <v>1029882.8</v>
      </c>
      <c r="P373">
        <v>195297.63</v>
      </c>
      <c r="Q373" s="1" t="s">
        <v>1459</v>
      </c>
      <c r="R373">
        <v>40</v>
      </c>
      <c r="S373" s="1" t="s">
        <v>1460</v>
      </c>
      <c r="T373" t="b">
        <v>1</v>
      </c>
    </row>
    <row r="374" spans="1:20" x14ac:dyDescent="0.25">
      <c r="A374" s="1" t="s">
        <v>1461</v>
      </c>
      <c r="B374" s="1" t="s">
        <v>629</v>
      </c>
      <c r="C374" s="1" t="s">
        <v>1462</v>
      </c>
      <c r="D374" s="1" t="s">
        <v>72</v>
      </c>
      <c r="E374" s="1" t="s">
        <v>65</v>
      </c>
      <c r="F374" s="1" t="s">
        <v>34</v>
      </c>
      <c r="G374" s="2">
        <v>45628</v>
      </c>
      <c r="H374" s="2"/>
      <c r="I374">
        <v>4</v>
      </c>
      <c r="J374">
        <v>5</v>
      </c>
      <c r="K374">
        <v>0.5</v>
      </c>
      <c r="L374" s="1" t="s">
        <v>26</v>
      </c>
      <c r="M374">
        <v>65</v>
      </c>
      <c r="N374">
        <v>157191.26</v>
      </c>
      <c r="O374">
        <v>3667036.92</v>
      </c>
      <c r="P374">
        <v>513489.98</v>
      </c>
      <c r="Q374" s="1" t="s">
        <v>1463</v>
      </c>
      <c r="R374">
        <v>75</v>
      </c>
      <c r="S374" s="1" t="s">
        <v>1464</v>
      </c>
      <c r="T374" t="b">
        <v>0</v>
      </c>
    </row>
    <row r="375" spans="1:20" x14ac:dyDescent="0.25">
      <c r="A375" s="1" t="s">
        <v>1465</v>
      </c>
      <c r="B375" s="1" t="s">
        <v>76</v>
      </c>
      <c r="C375" s="1" t="s">
        <v>877</v>
      </c>
      <c r="D375" s="1" t="s">
        <v>670</v>
      </c>
      <c r="E375" s="1" t="s">
        <v>24</v>
      </c>
      <c r="F375" s="1" t="s">
        <v>25</v>
      </c>
      <c r="G375" s="2">
        <v>45629</v>
      </c>
      <c r="H375" s="2">
        <v>45633</v>
      </c>
      <c r="I375">
        <v>3</v>
      </c>
      <c r="J375">
        <v>4</v>
      </c>
      <c r="K375">
        <v>1</v>
      </c>
      <c r="L375" s="1" t="s">
        <v>26</v>
      </c>
      <c r="M375">
        <v>46.2</v>
      </c>
      <c r="N375">
        <v>91220.31</v>
      </c>
      <c r="O375">
        <v>2463295.02</v>
      </c>
      <c r="P375">
        <v>499065.75</v>
      </c>
      <c r="Q375" s="1" t="s">
        <v>1466</v>
      </c>
      <c r="R375">
        <v>31</v>
      </c>
      <c r="S375" s="1" t="s">
        <v>1467</v>
      </c>
      <c r="T375" t="b">
        <v>1</v>
      </c>
    </row>
    <row r="376" spans="1:20" x14ac:dyDescent="0.25">
      <c r="A376" s="1" t="s">
        <v>1468</v>
      </c>
      <c r="B376" s="1" t="s">
        <v>163</v>
      </c>
      <c r="C376" s="1" t="s">
        <v>467</v>
      </c>
      <c r="D376" s="1" t="s">
        <v>230</v>
      </c>
      <c r="E376" s="1" t="s">
        <v>49</v>
      </c>
      <c r="F376" s="1" t="s">
        <v>25</v>
      </c>
      <c r="G376" s="2">
        <v>45045</v>
      </c>
      <c r="H376" s="2">
        <v>45068</v>
      </c>
      <c r="I376">
        <v>25</v>
      </c>
      <c r="J376">
        <v>23</v>
      </c>
      <c r="K376">
        <v>0</v>
      </c>
      <c r="L376" s="1" t="s">
        <v>26</v>
      </c>
      <c r="M376">
        <v>292.10000000000002</v>
      </c>
      <c r="N376">
        <v>771421.5</v>
      </c>
      <c r="O376">
        <v>3611152.09</v>
      </c>
      <c r="P376">
        <v>545597.52</v>
      </c>
      <c r="Q376" s="1" t="s">
        <v>1469</v>
      </c>
      <c r="R376">
        <v>60</v>
      </c>
      <c r="S376" s="1" t="s">
        <v>1470</v>
      </c>
      <c r="T376" t="b">
        <v>1</v>
      </c>
    </row>
    <row r="377" spans="1:20" x14ac:dyDescent="0.25">
      <c r="A377" s="1" t="s">
        <v>1471</v>
      </c>
      <c r="B377" s="1" t="s">
        <v>451</v>
      </c>
      <c r="C377" s="1" t="s">
        <v>1472</v>
      </c>
      <c r="D377" s="1" t="s">
        <v>40</v>
      </c>
      <c r="E377" s="1" t="s">
        <v>65</v>
      </c>
      <c r="F377" s="1" t="s">
        <v>25</v>
      </c>
      <c r="G377" s="2">
        <v>45118</v>
      </c>
      <c r="H377" s="2">
        <v>45124</v>
      </c>
      <c r="I377">
        <v>4</v>
      </c>
      <c r="J377">
        <v>6</v>
      </c>
      <c r="K377">
        <v>1.5</v>
      </c>
      <c r="L377" s="1" t="s">
        <v>26</v>
      </c>
      <c r="M377">
        <v>52.7</v>
      </c>
      <c r="N377">
        <v>118731.43</v>
      </c>
      <c r="O377">
        <v>2212466.59</v>
      </c>
      <c r="P377">
        <v>350913.5</v>
      </c>
      <c r="Q377" s="1" t="s">
        <v>1473</v>
      </c>
      <c r="R377">
        <v>44</v>
      </c>
      <c r="S377" s="1" t="s">
        <v>1474</v>
      </c>
      <c r="T377" t="b">
        <v>0</v>
      </c>
    </row>
    <row r="378" spans="1:20" x14ac:dyDescent="0.25">
      <c r="A378" s="1" t="s">
        <v>1475</v>
      </c>
      <c r="B378" s="1" t="s">
        <v>566</v>
      </c>
      <c r="C378" s="1" t="s">
        <v>1452</v>
      </c>
      <c r="D378" s="1" t="s">
        <v>159</v>
      </c>
      <c r="E378" s="1" t="s">
        <v>24</v>
      </c>
      <c r="F378" s="1" t="s">
        <v>66</v>
      </c>
      <c r="G378" s="2">
        <v>44732</v>
      </c>
      <c r="H378" s="2"/>
      <c r="I378">
        <v>3</v>
      </c>
      <c r="J378">
        <v>5</v>
      </c>
      <c r="K378">
        <v>2</v>
      </c>
      <c r="L378" s="1" t="s">
        <v>26</v>
      </c>
      <c r="M378">
        <v>29.2</v>
      </c>
      <c r="N378">
        <v>109848.95</v>
      </c>
      <c r="O378">
        <v>1293885.69</v>
      </c>
      <c r="P378">
        <v>205457.79</v>
      </c>
      <c r="Q378" s="1" t="s">
        <v>1476</v>
      </c>
      <c r="R378">
        <v>41</v>
      </c>
      <c r="S378" s="1" t="s">
        <v>1477</v>
      </c>
      <c r="T378" t="b">
        <v>1</v>
      </c>
    </row>
    <row r="379" spans="1:20" x14ac:dyDescent="0.25">
      <c r="A379" s="1" t="s">
        <v>1478</v>
      </c>
      <c r="B379" s="1" t="s">
        <v>21</v>
      </c>
      <c r="C379" s="1" t="s">
        <v>982</v>
      </c>
      <c r="D379" s="1" t="s">
        <v>293</v>
      </c>
      <c r="E379" s="1" t="s">
        <v>57</v>
      </c>
      <c r="F379" s="1" t="s">
        <v>25</v>
      </c>
      <c r="G379" s="2">
        <v>45523</v>
      </c>
      <c r="H379" s="2">
        <v>45555</v>
      </c>
      <c r="I379">
        <v>40</v>
      </c>
      <c r="J379">
        <v>32</v>
      </c>
      <c r="K379">
        <v>0</v>
      </c>
      <c r="L379" s="1" t="s">
        <v>26</v>
      </c>
      <c r="M379">
        <v>129.6</v>
      </c>
      <c r="N379">
        <v>534790.36</v>
      </c>
      <c r="O379">
        <v>3654539.52</v>
      </c>
      <c r="P379">
        <v>575721.93000000005</v>
      </c>
      <c r="Q379" s="1" t="s">
        <v>1479</v>
      </c>
      <c r="R379">
        <v>51</v>
      </c>
      <c r="S379" s="1" t="s">
        <v>1480</v>
      </c>
      <c r="T379" t="b">
        <v>0</v>
      </c>
    </row>
    <row r="380" spans="1:20" x14ac:dyDescent="0.25">
      <c r="A380" s="1" t="s">
        <v>1481</v>
      </c>
      <c r="B380" s="1" t="s">
        <v>358</v>
      </c>
      <c r="C380" s="1" t="s">
        <v>1482</v>
      </c>
      <c r="D380" s="1" t="s">
        <v>405</v>
      </c>
      <c r="E380" s="1" t="s">
        <v>65</v>
      </c>
      <c r="F380" s="1" t="s">
        <v>25</v>
      </c>
      <c r="G380" s="2">
        <v>44707</v>
      </c>
      <c r="H380" s="2">
        <v>44709</v>
      </c>
      <c r="I380">
        <v>4</v>
      </c>
      <c r="J380">
        <v>2</v>
      </c>
      <c r="K380">
        <v>0</v>
      </c>
      <c r="L380" s="1" t="s">
        <v>26</v>
      </c>
      <c r="M380">
        <v>17.2</v>
      </c>
      <c r="N380">
        <v>57226.86</v>
      </c>
      <c r="O380">
        <v>979198.72</v>
      </c>
      <c r="P380">
        <v>148861.59</v>
      </c>
      <c r="Q380" s="1" t="s">
        <v>1483</v>
      </c>
      <c r="R380">
        <v>51</v>
      </c>
      <c r="S380" s="1" t="s">
        <v>1484</v>
      </c>
      <c r="T380" t="b">
        <v>0</v>
      </c>
    </row>
    <row r="381" spans="1:20" x14ac:dyDescent="0.25">
      <c r="A381" s="1" t="s">
        <v>1485</v>
      </c>
      <c r="B381" s="1" t="s">
        <v>471</v>
      </c>
      <c r="C381" s="1" t="s">
        <v>1486</v>
      </c>
      <c r="D381" s="1" t="s">
        <v>72</v>
      </c>
      <c r="E381" s="1" t="s">
        <v>41</v>
      </c>
      <c r="F381" s="1" t="s">
        <v>25</v>
      </c>
      <c r="G381" s="2">
        <v>44680</v>
      </c>
      <c r="H381" s="2">
        <v>44689</v>
      </c>
      <c r="I381">
        <v>9</v>
      </c>
      <c r="J381">
        <v>9</v>
      </c>
      <c r="K381">
        <v>0</v>
      </c>
      <c r="L381" s="1" t="s">
        <v>26</v>
      </c>
      <c r="M381">
        <v>115.5</v>
      </c>
      <c r="N381">
        <v>283477.74</v>
      </c>
      <c r="O381">
        <v>182192.78</v>
      </c>
      <c r="P381">
        <v>84431.95</v>
      </c>
      <c r="Q381" s="1" t="s">
        <v>1487</v>
      </c>
      <c r="R381">
        <v>49</v>
      </c>
      <c r="S381" s="1" t="s">
        <v>1488</v>
      </c>
      <c r="T381" t="b">
        <v>1</v>
      </c>
    </row>
    <row r="382" spans="1:20" x14ac:dyDescent="0.25">
      <c r="A382" s="1" t="s">
        <v>1489</v>
      </c>
      <c r="B382" s="1" t="s">
        <v>220</v>
      </c>
      <c r="C382" s="1" t="s">
        <v>922</v>
      </c>
      <c r="D382" s="1" t="s">
        <v>655</v>
      </c>
      <c r="E382" s="1" t="s">
        <v>57</v>
      </c>
      <c r="F382" s="1" t="s">
        <v>66</v>
      </c>
      <c r="G382" s="2">
        <v>45082</v>
      </c>
      <c r="H382" s="2"/>
      <c r="I382">
        <v>40</v>
      </c>
      <c r="J382">
        <v>57</v>
      </c>
      <c r="K382">
        <v>17</v>
      </c>
      <c r="L382" s="1" t="s">
        <v>26</v>
      </c>
      <c r="M382">
        <v>879</v>
      </c>
      <c r="N382">
        <v>3579369.69</v>
      </c>
      <c r="O382">
        <v>71563.56</v>
      </c>
      <c r="P382">
        <v>646570.12</v>
      </c>
      <c r="Q382" s="1" t="s">
        <v>1490</v>
      </c>
      <c r="R382">
        <v>78</v>
      </c>
      <c r="S382" s="1" t="s">
        <v>1491</v>
      </c>
      <c r="T382" t="b">
        <v>1</v>
      </c>
    </row>
    <row r="383" spans="1:20" x14ac:dyDescent="0.25">
      <c r="A383" s="1" t="s">
        <v>1492</v>
      </c>
      <c r="B383" s="1" t="s">
        <v>158</v>
      </c>
      <c r="C383" s="1" t="s">
        <v>1493</v>
      </c>
      <c r="D383" s="1" t="s">
        <v>95</v>
      </c>
      <c r="E383" s="1" t="s">
        <v>57</v>
      </c>
      <c r="F383" s="1" t="s">
        <v>50</v>
      </c>
      <c r="G383" s="2">
        <v>45428</v>
      </c>
      <c r="H383" s="2"/>
      <c r="I383">
        <v>40</v>
      </c>
      <c r="J383">
        <v>47</v>
      </c>
      <c r="K383">
        <v>7</v>
      </c>
      <c r="L383" s="1" t="s">
        <v>26</v>
      </c>
      <c r="M383">
        <v>330.6</v>
      </c>
      <c r="N383">
        <v>864847.23</v>
      </c>
      <c r="O383">
        <v>4838740.32</v>
      </c>
      <c r="P383">
        <v>945932.04</v>
      </c>
      <c r="Q383" s="1" t="s">
        <v>1494</v>
      </c>
      <c r="R383">
        <v>56</v>
      </c>
      <c r="S383" s="1" t="s">
        <v>1495</v>
      </c>
      <c r="T383" t="b">
        <v>0</v>
      </c>
    </row>
    <row r="384" spans="1:20" x14ac:dyDescent="0.25">
      <c r="A384" s="1" t="s">
        <v>1496</v>
      </c>
      <c r="B384" s="1" t="s">
        <v>82</v>
      </c>
      <c r="C384" s="1" t="s">
        <v>1497</v>
      </c>
      <c r="D384" s="1" t="s">
        <v>655</v>
      </c>
      <c r="E384" s="1" t="s">
        <v>24</v>
      </c>
      <c r="F384" s="1" t="s">
        <v>34</v>
      </c>
      <c r="G384" s="2">
        <v>44854</v>
      </c>
      <c r="H384" s="2"/>
      <c r="I384">
        <v>3</v>
      </c>
      <c r="J384">
        <v>2</v>
      </c>
      <c r="K384">
        <v>0</v>
      </c>
      <c r="L384" s="1" t="s">
        <v>26</v>
      </c>
      <c r="M384">
        <v>30.3</v>
      </c>
      <c r="N384">
        <v>87097.94</v>
      </c>
      <c r="O384">
        <v>1547420.71</v>
      </c>
      <c r="P384">
        <v>324783.02</v>
      </c>
      <c r="Q384" s="1" t="s">
        <v>1498</v>
      </c>
      <c r="R384">
        <v>46</v>
      </c>
      <c r="S384" s="1" t="s">
        <v>1499</v>
      </c>
      <c r="T384" t="b">
        <v>0</v>
      </c>
    </row>
    <row r="385" spans="1:20" x14ac:dyDescent="0.25">
      <c r="A385" s="1" t="s">
        <v>1500</v>
      </c>
      <c r="B385" s="1" t="s">
        <v>76</v>
      </c>
      <c r="C385" s="1" t="s">
        <v>1501</v>
      </c>
      <c r="D385" s="1" t="s">
        <v>513</v>
      </c>
      <c r="E385" s="1" t="s">
        <v>57</v>
      </c>
      <c r="F385" s="1" t="s">
        <v>25</v>
      </c>
      <c r="G385" s="2">
        <v>45444</v>
      </c>
      <c r="H385" s="2">
        <v>45487</v>
      </c>
      <c r="I385">
        <v>40</v>
      </c>
      <c r="J385">
        <v>43</v>
      </c>
      <c r="K385">
        <v>3</v>
      </c>
      <c r="L385" s="1" t="s">
        <v>26</v>
      </c>
      <c r="M385">
        <v>268.2</v>
      </c>
      <c r="N385">
        <v>580035.22</v>
      </c>
      <c r="O385">
        <v>2437491.58</v>
      </c>
      <c r="P385">
        <v>453417.73</v>
      </c>
      <c r="Q385" s="1" t="s">
        <v>1502</v>
      </c>
      <c r="R385">
        <v>23</v>
      </c>
      <c r="S385" s="1" t="s">
        <v>1503</v>
      </c>
      <c r="T385" t="b">
        <v>1</v>
      </c>
    </row>
    <row r="386" spans="1:20" x14ac:dyDescent="0.25">
      <c r="A386" s="1" t="s">
        <v>1504</v>
      </c>
      <c r="B386" s="1" t="s">
        <v>105</v>
      </c>
      <c r="C386" s="1" t="s">
        <v>884</v>
      </c>
      <c r="D386" s="1" t="s">
        <v>159</v>
      </c>
      <c r="E386" s="1" t="s">
        <v>24</v>
      </c>
      <c r="F386" s="1" t="s">
        <v>50</v>
      </c>
      <c r="G386" s="2">
        <v>44954</v>
      </c>
      <c r="H386" s="2"/>
      <c r="I386">
        <v>3</v>
      </c>
      <c r="J386">
        <v>4</v>
      </c>
      <c r="K386">
        <v>1</v>
      </c>
      <c r="L386" s="1" t="s">
        <v>26</v>
      </c>
      <c r="M386">
        <v>37.200000000000003</v>
      </c>
      <c r="N386">
        <v>158658.85</v>
      </c>
      <c r="O386">
        <v>554885.28</v>
      </c>
      <c r="P386">
        <v>116766.76</v>
      </c>
      <c r="Q386" s="1" t="s">
        <v>1505</v>
      </c>
      <c r="R386">
        <v>41</v>
      </c>
      <c r="S386" s="1" t="s">
        <v>1506</v>
      </c>
      <c r="T386" t="b">
        <v>1</v>
      </c>
    </row>
    <row r="387" spans="1:20" x14ac:dyDescent="0.25">
      <c r="A387" s="1" t="s">
        <v>1507</v>
      </c>
      <c r="B387" s="1" t="s">
        <v>76</v>
      </c>
      <c r="C387" s="1" t="s">
        <v>211</v>
      </c>
      <c r="D387" s="1" t="s">
        <v>359</v>
      </c>
      <c r="E387" s="1" t="s">
        <v>65</v>
      </c>
      <c r="F387" s="1" t="s">
        <v>25</v>
      </c>
      <c r="G387" s="2">
        <v>45042</v>
      </c>
      <c r="H387" s="2">
        <v>45044</v>
      </c>
      <c r="I387">
        <v>4</v>
      </c>
      <c r="J387">
        <v>2</v>
      </c>
      <c r="K387">
        <v>0</v>
      </c>
      <c r="L387" s="1" t="s">
        <v>26</v>
      </c>
      <c r="M387">
        <v>8.1999999999999993</v>
      </c>
      <c r="N387">
        <v>20651.03</v>
      </c>
      <c r="O387">
        <v>4776516.53</v>
      </c>
      <c r="P387">
        <v>798883</v>
      </c>
      <c r="Q387" s="1" t="s">
        <v>1508</v>
      </c>
      <c r="R387">
        <v>20</v>
      </c>
      <c r="S387" s="1" t="s">
        <v>1509</v>
      </c>
      <c r="T387" t="b">
        <v>0</v>
      </c>
    </row>
    <row r="388" spans="1:20" x14ac:dyDescent="0.25">
      <c r="A388" s="1" t="s">
        <v>1510</v>
      </c>
      <c r="B388" s="1" t="s">
        <v>629</v>
      </c>
      <c r="C388" s="1" t="s">
        <v>164</v>
      </c>
      <c r="D388" s="1" t="s">
        <v>187</v>
      </c>
      <c r="E388" s="1" t="s">
        <v>24</v>
      </c>
      <c r="F388" s="1" t="s">
        <v>25</v>
      </c>
      <c r="G388" s="2">
        <v>45627</v>
      </c>
      <c r="H388" s="2">
        <v>45631</v>
      </c>
      <c r="I388">
        <v>3</v>
      </c>
      <c r="J388">
        <v>4</v>
      </c>
      <c r="K388">
        <v>1</v>
      </c>
      <c r="L388" s="1" t="s">
        <v>26</v>
      </c>
      <c r="M388">
        <v>52.3</v>
      </c>
      <c r="N388">
        <v>179483.31</v>
      </c>
      <c r="O388">
        <v>1689385.5</v>
      </c>
      <c r="P388">
        <v>314317.57</v>
      </c>
      <c r="Q388" s="1" t="s">
        <v>1511</v>
      </c>
      <c r="R388">
        <v>45</v>
      </c>
      <c r="S388" s="1" t="s">
        <v>1512</v>
      </c>
      <c r="T388" t="b">
        <v>0</v>
      </c>
    </row>
    <row r="389" spans="1:20" x14ac:dyDescent="0.25">
      <c r="A389" s="1" t="s">
        <v>1513</v>
      </c>
      <c r="B389" s="1" t="s">
        <v>54</v>
      </c>
      <c r="C389" s="1" t="s">
        <v>1514</v>
      </c>
      <c r="D389" s="1" t="s">
        <v>32</v>
      </c>
      <c r="E389" s="1" t="s">
        <v>24</v>
      </c>
      <c r="F389" s="1" t="s">
        <v>50</v>
      </c>
      <c r="G389" s="2">
        <v>44679</v>
      </c>
      <c r="H389" s="2"/>
      <c r="I389">
        <v>3</v>
      </c>
      <c r="J389">
        <v>3</v>
      </c>
      <c r="K389">
        <v>0</v>
      </c>
      <c r="L389" s="1" t="s">
        <v>26</v>
      </c>
      <c r="M389">
        <v>41</v>
      </c>
      <c r="N389">
        <v>74141.47</v>
      </c>
      <c r="O389">
        <v>4354002.1399999997</v>
      </c>
      <c r="P389">
        <v>620740.87</v>
      </c>
      <c r="Q389" s="1" t="s">
        <v>1515</v>
      </c>
      <c r="R389">
        <v>53</v>
      </c>
      <c r="S389" s="1" t="s">
        <v>1516</v>
      </c>
      <c r="T389" t="b">
        <v>0</v>
      </c>
    </row>
    <row r="390" spans="1:20" x14ac:dyDescent="0.25">
      <c r="A390" s="1" t="s">
        <v>1517</v>
      </c>
      <c r="B390" s="1" t="s">
        <v>545</v>
      </c>
      <c r="C390" s="1" t="s">
        <v>784</v>
      </c>
      <c r="D390" s="1" t="s">
        <v>95</v>
      </c>
      <c r="E390" s="1" t="s">
        <v>24</v>
      </c>
      <c r="F390" s="1" t="s">
        <v>25</v>
      </c>
      <c r="G390" s="2">
        <v>45071</v>
      </c>
      <c r="H390" s="2">
        <v>45076</v>
      </c>
      <c r="I390">
        <v>3</v>
      </c>
      <c r="J390">
        <v>5</v>
      </c>
      <c r="K390">
        <v>2</v>
      </c>
      <c r="L390" s="1" t="s">
        <v>26</v>
      </c>
      <c r="M390">
        <v>61.2</v>
      </c>
      <c r="N390">
        <v>253894.52</v>
      </c>
      <c r="O390">
        <v>2579420.87</v>
      </c>
      <c r="P390">
        <v>470395.07</v>
      </c>
      <c r="Q390" s="1" t="s">
        <v>1518</v>
      </c>
      <c r="R390">
        <v>43</v>
      </c>
      <c r="S390" s="1" t="s">
        <v>1519</v>
      </c>
      <c r="T390" t="b">
        <v>1</v>
      </c>
    </row>
    <row r="391" spans="1:20" x14ac:dyDescent="0.25">
      <c r="A391" s="1" t="s">
        <v>1520</v>
      </c>
      <c r="B391" s="1" t="s">
        <v>451</v>
      </c>
      <c r="C391" s="1" t="s">
        <v>1521</v>
      </c>
      <c r="D391" s="1" t="s">
        <v>124</v>
      </c>
      <c r="E391" s="1" t="s">
        <v>41</v>
      </c>
      <c r="F391" s="1" t="s">
        <v>25</v>
      </c>
      <c r="G391" s="2">
        <v>45228</v>
      </c>
      <c r="H391" s="2">
        <v>45234</v>
      </c>
      <c r="I391">
        <v>9</v>
      </c>
      <c r="J391">
        <v>6</v>
      </c>
      <c r="K391">
        <v>0</v>
      </c>
      <c r="L391" s="1" t="s">
        <v>26</v>
      </c>
      <c r="M391">
        <v>67.7</v>
      </c>
      <c r="N391">
        <v>195006.2</v>
      </c>
      <c r="O391">
        <v>3066835.8</v>
      </c>
      <c r="P391">
        <v>352725.56</v>
      </c>
      <c r="Q391" s="1" t="s">
        <v>1522</v>
      </c>
      <c r="R391">
        <v>44</v>
      </c>
      <c r="S391" s="1" t="s">
        <v>1523</v>
      </c>
      <c r="T391" t="b">
        <v>0</v>
      </c>
    </row>
    <row r="392" spans="1:20" x14ac:dyDescent="0.25">
      <c r="A392" s="1" t="s">
        <v>1524</v>
      </c>
      <c r="B392" s="1" t="s">
        <v>99</v>
      </c>
      <c r="C392" s="1" t="s">
        <v>486</v>
      </c>
      <c r="D392" s="1" t="s">
        <v>154</v>
      </c>
      <c r="E392" s="1" t="s">
        <v>41</v>
      </c>
      <c r="F392" s="1" t="s">
        <v>25</v>
      </c>
      <c r="G392" s="2">
        <v>44961</v>
      </c>
      <c r="H392" s="2">
        <v>44972</v>
      </c>
      <c r="I392">
        <v>9</v>
      </c>
      <c r="J392">
        <v>11</v>
      </c>
      <c r="K392">
        <v>2</v>
      </c>
      <c r="L392" s="1" t="s">
        <v>26</v>
      </c>
      <c r="M392">
        <v>159.69999999999999</v>
      </c>
      <c r="N392">
        <v>625884.62</v>
      </c>
      <c r="O392">
        <v>3586161.49</v>
      </c>
      <c r="P392">
        <v>434576.07</v>
      </c>
      <c r="Q392" s="1" t="s">
        <v>1525</v>
      </c>
      <c r="R392">
        <v>77</v>
      </c>
      <c r="S392" s="1" t="s">
        <v>1526</v>
      </c>
      <c r="T392" t="b">
        <v>0</v>
      </c>
    </row>
    <row r="393" spans="1:20" x14ac:dyDescent="0.25">
      <c r="A393" s="1" t="s">
        <v>1527</v>
      </c>
      <c r="B393" s="1" t="s">
        <v>54</v>
      </c>
      <c r="C393" s="1" t="s">
        <v>1009</v>
      </c>
      <c r="D393" s="1" t="s">
        <v>297</v>
      </c>
      <c r="E393" s="1" t="s">
        <v>65</v>
      </c>
      <c r="F393" s="1" t="s">
        <v>34</v>
      </c>
      <c r="G393" s="2">
        <v>44798</v>
      </c>
      <c r="H393" s="2"/>
      <c r="I393">
        <v>4</v>
      </c>
      <c r="J393">
        <v>4</v>
      </c>
      <c r="K393">
        <v>0</v>
      </c>
      <c r="L393" s="1" t="s">
        <v>26</v>
      </c>
      <c r="M393">
        <v>27.7</v>
      </c>
      <c r="N393">
        <v>62606.69</v>
      </c>
      <c r="O393">
        <v>4721607.29</v>
      </c>
      <c r="P393">
        <v>813272.84</v>
      </c>
      <c r="Q393" s="1" t="s">
        <v>1528</v>
      </c>
      <c r="R393">
        <v>79</v>
      </c>
      <c r="S393" s="1" t="s">
        <v>1529</v>
      </c>
      <c r="T393" t="b">
        <v>0</v>
      </c>
    </row>
    <row r="394" spans="1:20" x14ac:dyDescent="0.25">
      <c r="A394" s="1" t="s">
        <v>1530</v>
      </c>
      <c r="B394" s="1" t="s">
        <v>30</v>
      </c>
      <c r="C394" s="1" t="s">
        <v>399</v>
      </c>
      <c r="D394" s="1" t="s">
        <v>359</v>
      </c>
      <c r="E394" s="1" t="s">
        <v>24</v>
      </c>
      <c r="F394" s="1" t="s">
        <v>25</v>
      </c>
      <c r="G394" s="2">
        <v>45347</v>
      </c>
      <c r="H394" s="2">
        <v>45350</v>
      </c>
      <c r="I394">
        <v>3</v>
      </c>
      <c r="J394">
        <v>3</v>
      </c>
      <c r="K394">
        <v>0</v>
      </c>
      <c r="L394" s="1" t="s">
        <v>26</v>
      </c>
      <c r="M394">
        <v>36</v>
      </c>
      <c r="N394">
        <v>157286.18</v>
      </c>
      <c r="O394">
        <v>3356300.35</v>
      </c>
      <c r="P394">
        <v>585179.53</v>
      </c>
      <c r="Q394" s="1" t="s">
        <v>1531</v>
      </c>
      <c r="R394">
        <v>64</v>
      </c>
      <c r="S394" s="1" t="s">
        <v>1532</v>
      </c>
      <c r="T394" t="b">
        <v>0</v>
      </c>
    </row>
    <row r="395" spans="1:20" x14ac:dyDescent="0.25">
      <c r="A395" s="1" t="s">
        <v>1533</v>
      </c>
      <c r="B395" s="1" t="s">
        <v>99</v>
      </c>
      <c r="C395" s="1" t="s">
        <v>497</v>
      </c>
      <c r="D395" s="1" t="s">
        <v>165</v>
      </c>
      <c r="E395" s="1" t="s">
        <v>49</v>
      </c>
      <c r="F395" s="1" t="s">
        <v>50</v>
      </c>
      <c r="G395" s="2">
        <v>45020</v>
      </c>
      <c r="H395" s="2"/>
      <c r="I395">
        <v>25</v>
      </c>
      <c r="J395">
        <v>39</v>
      </c>
      <c r="K395">
        <v>14</v>
      </c>
      <c r="L395" s="1" t="s">
        <v>101</v>
      </c>
      <c r="M395">
        <v>437.1</v>
      </c>
      <c r="N395">
        <v>1546793.6</v>
      </c>
      <c r="O395">
        <v>1891281.51</v>
      </c>
      <c r="P395">
        <v>590469.71</v>
      </c>
      <c r="Q395" s="1" t="s">
        <v>1534</v>
      </c>
      <c r="R395">
        <v>34</v>
      </c>
      <c r="S395" s="1" t="s">
        <v>1535</v>
      </c>
      <c r="T395" t="b">
        <v>1</v>
      </c>
    </row>
    <row r="396" spans="1:20" x14ac:dyDescent="0.25">
      <c r="A396" s="1" t="s">
        <v>1536</v>
      </c>
      <c r="B396" s="1" t="s">
        <v>70</v>
      </c>
      <c r="C396" s="1" t="s">
        <v>1394</v>
      </c>
      <c r="D396" s="1" t="s">
        <v>293</v>
      </c>
      <c r="E396" s="1" t="s">
        <v>33</v>
      </c>
      <c r="F396" s="1" t="s">
        <v>25</v>
      </c>
      <c r="G396" s="2">
        <v>45092</v>
      </c>
      <c r="H396" s="2">
        <v>45099</v>
      </c>
      <c r="I396">
        <v>12</v>
      </c>
      <c r="J396">
        <v>7</v>
      </c>
      <c r="K396">
        <v>0</v>
      </c>
      <c r="L396" s="1" t="s">
        <v>26</v>
      </c>
      <c r="M396">
        <v>37.4</v>
      </c>
      <c r="N396">
        <v>101677.22</v>
      </c>
      <c r="O396">
        <v>2965080.43</v>
      </c>
      <c r="P396">
        <v>364378.76</v>
      </c>
      <c r="Q396" s="1" t="s">
        <v>1537</v>
      </c>
      <c r="R396">
        <v>56</v>
      </c>
      <c r="S396" s="1" t="s">
        <v>1538</v>
      </c>
      <c r="T396" t="b">
        <v>1</v>
      </c>
    </row>
    <row r="397" spans="1:20" x14ac:dyDescent="0.25">
      <c r="A397" s="1" t="s">
        <v>1539</v>
      </c>
      <c r="B397" s="1" t="s">
        <v>70</v>
      </c>
      <c r="C397" s="1" t="s">
        <v>517</v>
      </c>
      <c r="D397" s="1" t="s">
        <v>187</v>
      </c>
      <c r="E397" s="1" t="s">
        <v>33</v>
      </c>
      <c r="F397" s="1" t="s">
        <v>66</v>
      </c>
      <c r="G397" s="2">
        <v>45198</v>
      </c>
      <c r="H397" s="2"/>
      <c r="I397">
        <v>12</v>
      </c>
      <c r="J397">
        <v>14</v>
      </c>
      <c r="K397">
        <v>2</v>
      </c>
      <c r="L397" s="1" t="s">
        <v>26</v>
      </c>
      <c r="M397">
        <v>87.9</v>
      </c>
      <c r="N397">
        <v>250338.58</v>
      </c>
      <c r="O397">
        <v>2124255.4900000002</v>
      </c>
      <c r="P397">
        <v>420607.31</v>
      </c>
      <c r="Q397" s="1" t="s">
        <v>1299</v>
      </c>
      <c r="R397">
        <v>58</v>
      </c>
      <c r="S397" s="1" t="s">
        <v>1540</v>
      </c>
      <c r="T397" t="b">
        <v>1</v>
      </c>
    </row>
    <row r="398" spans="1:20" x14ac:dyDescent="0.25">
      <c r="A398" s="1" t="s">
        <v>1541</v>
      </c>
      <c r="B398" s="1" t="s">
        <v>471</v>
      </c>
      <c r="C398" s="1" t="s">
        <v>1542</v>
      </c>
      <c r="D398" s="1" t="s">
        <v>72</v>
      </c>
      <c r="E398" s="1" t="s">
        <v>65</v>
      </c>
      <c r="F398" s="1" t="s">
        <v>25</v>
      </c>
      <c r="G398" s="2">
        <v>44780</v>
      </c>
      <c r="H398" s="2">
        <v>44788</v>
      </c>
      <c r="I398">
        <v>4</v>
      </c>
      <c r="J398">
        <v>8</v>
      </c>
      <c r="K398">
        <v>3.5</v>
      </c>
      <c r="L398" s="1" t="s">
        <v>330</v>
      </c>
      <c r="M398">
        <v>62.3</v>
      </c>
      <c r="N398">
        <v>249424.25</v>
      </c>
      <c r="O398">
        <v>1491149.53</v>
      </c>
      <c r="P398">
        <v>212159.28</v>
      </c>
      <c r="Q398" s="1" t="s">
        <v>1543</v>
      </c>
      <c r="R398">
        <v>40</v>
      </c>
      <c r="S398" s="1" t="s">
        <v>1544</v>
      </c>
      <c r="T398" t="b">
        <v>0</v>
      </c>
    </row>
    <row r="399" spans="1:20" x14ac:dyDescent="0.25">
      <c r="A399" s="1" t="s">
        <v>1545</v>
      </c>
      <c r="B399" s="1" t="s">
        <v>128</v>
      </c>
      <c r="C399" s="1" t="s">
        <v>1546</v>
      </c>
      <c r="D399" s="1" t="s">
        <v>165</v>
      </c>
      <c r="E399" s="1" t="s">
        <v>41</v>
      </c>
      <c r="F399" s="1" t="s">
        <v>25</v>
      </c>
      <c r="G399" s="2">
        <v>45590</v>
      </c>
      <c r="H399" s="2">
        <v>45597</v>
      </c>
      <c r="I399">
        <v>9</v>
      </c>
      <c r="J399">
        <v>7</v>
      </c>
      <c r="K399">
        <v>0</v>
      </c>
      <c r="L399" s="1" t="s">
        <v>26</v>
      </c>
      <c r="M399">
        <v>111.7</v>
      </c>
      <c r="N399">
        <v>414140.05</v>
      </c>
      <c r="O399">
        <v>2396630.91</v>
      </c>
      <c r="P399">
        <v>514002.12</v>
      </c>
      <c r="Q399" s="1" t="s">
        <v>1547</v>
      </c>
      <c r="R399">
        <v>41</v>
      </c>
      <c r="S399" s="1" t="s">
        <v>1548</v>
      </c>
      <c r="T399" t="b">
        <v>1</v>
      </c>
    </row>
    <row r="400" spans="1:20" x14ac:dyDescent="0.25">
      <c r="A400" s="1" t="s">
        <v>1549</v>
      </c>
      <c r="B400" s="1" t="s">
        <v>174</v>
      </c>
      <c r="C400" s="1" t="s">
        <v>573</v>
      </c>
      <c r="D400" s="1" t="s">
        <v>202</v>
      </c>
      <c r="E400" s="1" t="s">
        <v>41</v>
      </c>
      <c r="F400" s="1" t="s">
        <v>50</v>
      </c>
      <c r="G400" s="2">
        <v>44993</v>
      </c>
      <c r="H400" s="2"/>
      <c r="I400">
        <v>9</v>
      </c>
      <c r="J400">
        <v>6</v>
      </c>
      <c r="K400">
        <v>0</v>
      </c>
      <c r="L400" s="1" t="s">
        <v>26</v>
      </c>
      <c r="M400">
        <v>74.400000000000006</v>
      </c>
      <c r="N400">
        <v>144479.51999999999</v>
      </c>
      <c r="O400">
        <v>4328505.16</v>
      </c>
      <c r="P400">
        <v>527373.93999999994</v>
      </c>
      <c r="Q400" s="1" t="s">
        <v>1550</v>
      </c>
      <c r="R400">
        <v>45</v>
      </c>
      <c r="S400" s="1" t="s">
        <v>1551</v>
      </c>
      <c r="T400" t="b">
        <v>0</v>
      </c>
    </row>
    <row r="401" spans="1:20" x14ac:dyDescent="0.25">
      <c r="A401" s="1" t="s">
        <v>1552</v>
      </c>
      <c r="B401" s="1" t="s">
        <v>99</v>
      </c>
      <c r="C401" s="1" t="s">
        <v>837</v>
      </c>
      <c r="D401" s="1" t="s">
        <v>686</v>
      </c>
      <c r="E401" s="1" t="s">
        <v>41</v>
      </c>
      <c r="F401" s="1" t="s">
        <v>25</v>
      </c>
      <c r="G401" s="2">
        <v>45427</v>
      </c>
      <c r="H401" s="2">
        <v>45435</v>
      </c>
      <c r="I401">
        <v>9</v>
      </c>
      <c r="J401">
        <v>8</v>
      </c>
      <c r="K401">
        <v>0</v>
      </c>
      <c r="L401" s="1" t="s">
        <v>26</v>
      </c>
      <c r="M401">
        <v>104.7</v>
      </c>
      <c r="N401">
        <v>299009.63</v>
      </c>
      <c r="O401">
        <v>2643943.73</v>
      </c>
      <c r="P401">
        <v>377592.65</v>
      </c>
      <c r="Q401" s="1" t="s">
        <v>1553</v>
      </c>
      <c r="R401">
        <v>28</v>
      </c>
      <c r="S401" s="1" t="s">
        <v>1554</v>
      </c>
      <c r="T401" t="b">
        <v>0</v>
      </c>
    </row>
    <row r="402" spans="1:20" x14ac:dyDescent="0.25">
      <c r="A402" s="1" t="s">
        <v>1555</v>
      </c>
      <c r="B402" s="1" t="s">
        <v>111</v>
      </c>
      <c r="C402" s="1" t="s">
        <v>1556</v>
      </c>
      <c r="D402" s="1" t="s">
        <v>56</v>
      </c>
      <c r="E402" s="1" t="s">
        <v>41</v>
      </c>
      <c r="F402" s="1" t="s">
        <v>25</v>
      </c>
      <c r="G402" s="2">
        <v>44672</v>
      </c>
      <c r="H402" s="2">
        <v>44682</v>
      </c>
      <c r="I402">
        <v>9</v>
      </c>
      <c r="J402">
        <v>10</v>
      </c>
      <c r="K402">
        <v>1</v>
      </c>
      <c r="L402" s="1" t="s">
        <v>26</v>
      </c>
      <c r="M402">
        <v>118.6</v>
      </c>
      <c r="N402">
        <v>398297.35</v>
      </c>
      <c r="O402">
        <v>2214999.87</v>
      </c>
      <c r="P402">
        <v>387406.08000000002</v>
      </c>
      <c r="Q402" s="1" t="s">
        <v>1557</v>
      </c>
      <c r="R402">
        <v>66</v>
      </c>
      <c r="S402" s="1" t="s">
        <v>1558</v>
      </c>
      <c r="T402" t="b">
        <v>1</v>
      </c>
    </row>
    <row r="403" spans="1:20" x14ac:dyDescent="0.25">
      <c r="A403" s="1" t="s">
        <v>1559</v>
      </c>
      <c r="B403" s="1" t="s">
        <v>228</v>
      </c>
      <c r="C403" s="1" t="s">
        <v>1560</v>
      </c>
      <c r="D403" s="1" t="s">
        <v>306</v>
      </c>
      <c r="E403" s="1" t="s">
        <v>65</v>
      </c>
      <c r="F403" s="1" t="s">
        <v>25</v>
      </c>
      <c r="G403" s="2">
        <v>44864</v>
      </c>
      <c r="H403" s="2">
        <v>44867</v>
      </c>
      <c r="I403">
        <v>4</v>
      </c>
      <c r="J403">
        <v>3</v>
      </c>
      <c r="K403">
        <v>0</v>
      </c>
      <c r="L403" s="1" t="s">
        <v>26</v>
      </c>
      <c r="M403">
        <v>45.3</v>
      </c>
      <c r="N403">
        <v>93287.6</v>
      </c>
      <c r="O403">
        <v>4871052.21</v>
      </c>
      <c r="P403">
        <v>585609.85</v>
      </c>
      <c r="Q403" s="1" t="s">
        <v>1561</v>
      </c>
      <c r="R403">
        <v>60</v>
      </c>
      <c r="S403" s="1" t="s">
        <v>1562</v>
      </c>
      <c r="T403" t="b">
        <v>0</v>
      </c>
    </row>
    <row r="404" spans="1:20" x14ac:dyDescent="0.25">
      <c r="A404" s="1" t="s">
        <v>1563</v>
      </c>
      <c r="B404" s="1" t="s">
        <v>158</v>
      </c>
      <c r="C404" s="1" t="s">
        <v>918</v>
      </c>
      <c r="D404" s="1" t="s">
        <v>32</v>
      </c>
      <c r="E404" s="1" t="s">
        <v>33</v>
      </c>
      <c r="F404" s="1" t="s">
        <v>25</v>
      </c>
      <c r="G404" s="2">
        <v>45063</v>
      </c>
      <c r="H404" s="2">
        <v>45072</v>
      </c>
      <c r="I404">
        <v>12</v>
      </c>
      <c r="J404">
        <v>9</v>
      </c>
      <c r="K404">
        <v>0</v>
      </c>
      <c r="L404" s="1" t="s">
        <v>26</v>
      </c>
      <c r="M404">
        <v>78.8</v>
      </c>
      <c r="N404">
        <v>206240.24</v>
      </c>
      <c r="O404">
        <v>2984815.84</v>
      </c>
      <c r="P404">
        <v>374147.18</v>
      </c>
      <c r="Q404" s="1" t="s">
        <v>1564</v>
      </c>
      <c r="R404">
        <v>72</v>
      </c>
      <c r="S404" s="1" t="s">
        <v>1565</v>
      </c>
      <c r="T404" t="b">
        <v>0</v>
      </c>
    </row>
    <row r="405" spans="1:20" x14ac:dyDescent="0.25">
      <c r="A405" s="1" t="s">
        <v>1566</v>
      </c>
      <c r="B405" s="1" t="s">
        <v>54</v>
      </c>
      <c r="C405" s="1" t="s">
        <v>630</v>
      </c>
      <c r="D405" s="1" t="s">
        <v>420</v>
      </c>
      <c r="E405" s="1" t="s">
        <v>41</v>
      </c>
      <c r="F405" s="1" t="s">
        <v>34</v>
      </c>
      <c r="G405" s="2">
        <v>45125</v>
      </c>
      <c r="H405" s="2"/>
      <c r="I405">
        <v>9</v>
      </c>
      <c r="J405">
        <v>10</v>
      </c>
      <c r="K405">
        <v>1</v>
      </c>
      <c r="L405" s="1" t="s">
        <v>26</v>
      </c>
      <c r="M405">
        <v>84.1</v>
      </c>
      <c r="N405">
        <v>178628.49</v>
      </c>
      <c r="O405">
        <v>422358.58</v>
      </c>
      <c r="P405">
        <v>89500.1</v>
      </c>
      <c r="Q405" s="1" t="s">
        <v>1567</v>
      </c>
      <c r="R405">
        <v>50</v>
      </c>
      <c r="S405" s="1" t="s">
        <v>1568</v>
      </c>
      <c r="T405" t="b">
        <v>0</v>
      </c>
    </row>
    <row r="406" spans="1:20" x14ac:dyDescent="0.25">
      <c r="A406" s="1" t="s">
        <v>1569</v>
      </c>
      <c r="B406" s="1" t="s">
        <v>122</v>
      </c>
      <c r="C406" s="1" t="s">
        <v>1570</v>
      </c>
      <c r="D406" s="1" t="s">
        <v>23</v>
      </c>
      <c r="E406" s="1" t="s">
        <v>49</v>
      </c>
      <c r="F406" s="1" t="s">
        <v>25</v>
      </c>
      <c r="G406" s="2">
        <v>44755</v>
      </c>
      <c r="H406" s="2">
        <v>44777</v>
      </c>
      <c r="I406">
        <v>25</v>
      </c>
      <c r="J406">
        <v>22</v>
      </c>
      <c r="K406">
        <v>0</v>
      </c>
      <c r="L406" s="1" t="s">
        <v>26</v>
      </c>
      <c r="M406">
        <v>215.8</v>
      </c>
      <c r="N406">
        <v>764020.68</v>
      </c>
      <c r="O406">
        <v>2173945.83</v>
      </c>
      <c r="P406">
        <v>461678.84</v>
      </c>
      <c r="Q406" s="1" t="s">
        <v>1571</v>
      </c>
      <c r="R406">
        <v>72</v>
      </c>
      <c r="S406" s="1" t="s">
        <v>1572</v>
      </c>
      <c r="T406" t="b">
        <v>1</v>
      </c>
    </row>
    <row r="407" spans="1:20" x14ac:dyDescent="0.25">
      <c r="A407" s="1" t="s">
        <v>1573</v>
      </c>
      <c r="B407" s="1" t="s">
        <v>105</v>
      </c>
      <c r="C407" s="1" t="s">
        <v>1574</v>
      </c>
      <c r="D407" s="1" t="s">
        <v>187</v>
      </c>
      <c r="E407" s="1" t="s">
        <v>49</v>
      </c>
      <c r="F407" s="1" t="s">
        <v>50</v>
      </c>
      <c r="G407" s="2">
        <v>45368</v>
      </c>
      <c r="H407" s="2"/>
      <c r="I407">
        <v>25</v>
      </c>
      <c r="J407">
        <v>27</v>
      </c>
      <c r="K407">
        <v>2</v>
      </c>
      <c r="L407" s="1" t="s">
        <v>26</v>
      </c>
      <c r="M407">
        <v>361.8</v>
      </c>
      <c r="N407">
        <v>1169061.43</v>
      </c>
      <c r="O407">
        <v>329019</v>
      </c>
      <c r="P407">
        <v>275218.94</v>
      </c>
      <c r="Q407" s="1" t="s">
        <v>1575</v>
      </c>
      <c r="R407">
        <v>77</v>
      </c>
      <c r="S407" s="1" t="s">
        <v>1576</v>
      </c>
      <c r="T407" t="b">
        <v>1</v>
      </c>
    </row>
    <row r="408" spans="1:20" x14ac:dyDescent="0.25">
      <c r="A408" s="1" t="s">
        <v>1577</v>
      </c>
      <c r="B408" s="1" t="s">
        <v>158</v>
      </c>
      <c r="C408" s="1" t="s">
        <v>1267</v>
      </c>
      <c r="D408" s="1" t="s">
        <v>144</v>
      </c>
      <c r="E408" s="1" t="s">
        <v>49</v>
      </c>
      <c r="F408" s="1" t="s">
        <v>34</v>
      </c>
      <c r="G408" s="2">
        <v>44932</v>
      </c>
      <c r="H408" s="2"/>
      <c r="I408">
        <v>25</v>
      </c>
      <c r="J408">
        <v>15</v>
      </c>
      <c r="K408">
        <v>0</v>
      </c>
      <c r="L408" s="1" t="s">
        <v>26</v>
      </c>
      <c r="M408">
        <v>61</v>
      </c>
      <c r="N408">
        <v>183459.26</v>
      </c>
      <c r="O408">
        <v>1578337.45</v>
      </c>
      <c r="P408">
        <v>183075.9</v>
      </c>
      <c r="Q408" s="1" t="s">
        <v>1578</v>
      </c>
      <c r="R408">
        <v>74</v>
      </c>
      <c r="S408" s="1" t="s">
        <v>1579</v>
      </c>
      <c r="T408" t="b">
        <v>1</v>
      </c>
    </row>
    <row r="409" spans="1:20" x14ac:dyDescent="0.25">
      <c r="A409" s="1" t="s">
        <v>1580</v>
      </c>
      <c r="B409" s="1" t="s">
        <v>403</v>
      </c>
      <c r="C409" s="1" t="s">
        <v>229</v>
      </c>
      <c r="D409" s="1" t="s">
        <v>187</v>
      </c>
      <c r="E409" s="1" t="s">
        <v>33</v>
      </c>
      <c r="F409" s="1" t="s">
        <v>66</v>
      </c>
      <c r="G409" s="2">
        <v>44735</v>
      </c>
      <c r="H409" s="2"/>
      <c r="I409">
        <v>12</v>
      </c>
      <c r="J409">
        <v>10</v>
      </c>
      <c r="K409">
        <v>0</v>
      </c>
      <c r="L409" s="1" t="s">
        <v>26</v>
      </c>
      <c r="M409">
        <v>83.6</v>
      </c>
      <c r="N409">
        <v>273368.09999999998</v>
      </c>
      <c r="O409">
        <v>2121026.12</v>
      </c>
      <c r="P409">
        <v>465764.38</v>
      </c>
      <c r="Q409" s="1" t="s">
        <v>1581</v>
      </c>
      <c r="R409">
        <v>54</v>
      </c>
      <c r="S409" s="1" t="s">
        <v>1582</v>
      </c>
      <c r="T409" t="b">
        <v>0</v>
      </c>
    </row>
    <row r="410" spans="1:20" x14ac:dyDescent="0.25">
      <c r="A410" s="1" t="s">
        <v>1583</v>
      </c>
      <c r="B410" s="1" t="s">
        <v>138</v>
      </c>
      <c r="C410" s="1" t="s">
        <v>1584</v>
      </c>
      <c r="D410" s="1" t="s">
        <v>582</v>
      </c>
      <c r="E410" s="1" t="s">
        <v>49</v>
      </c>
      <c r="F410" s="1" t="s">
        <v>25</v>
      </c>
      <c r="G410" s="2">
        <v>44848</v>
      </c>
      <c r="H410" s="2">
        <v>44880</v>
      </c>
      <c r="I410">
        <v>25</v>
      </c>
      <c r="J410">
        <v>32</v>
      </c>
      <c r="K410">
        <v>7</v>
      </c>
      <c r="L410" s="1" t="s">
        <v>101</v>
      </c>
      <c r="M410">
        <v>248.2</v>
      </c>
      <c r="N410">
        <v>1057112.22</v>
      </c>
      <c r="O410">
        <v>4984017.84</v>
      </c>
      <c r="P410">
        <v>970309.48</v>
      </c>
      <c r="Q410" s="1" t="s">
        <v>1585</v>
      </c>
      <c r="R410">
        <v>32</v>
      </c>
      <c r="S410" s="1" t="s">
        <v>1586</v>
      </c>
      <c r="T410" t="b">
        <v>1</v>
      </c>
    </row>
    <row r="411" spans="1:20" x14ac:dyDescent="0.25">
      <c r="A411" s="1" t="s">
        <v>1587</v>
      </c>
      <c r="B411" s="1" t="s">
        <v>128</v>
      </c>
      <c r="C411" s="1" t="s">
        <v>63</v>
      </c>
      <c r="D411" s="1" t="s">
        <v>23</v>
      </c>
      <c r="E411" s="1" t="s">
        <v>57</v>
      </c>
      <c r="F411" s="1" t="s">
        <v>25</v>
      </c>
      <c r="G411" s="2">
        <v>45175</v>
      </c>
      <c r="H411" s="2">
        <v>45233</v>
      </c>
      <c r="I411">
        <v>40</v>
      </c>
      <c r="J411">
        <v>58</v>
      </c>
      <c r="K411">
        <v>18</v>
      </c>
      <c r="L411" s="1" t="s">
        <v>330</v>
      </c>
      <c r="M411">
        <v>616.20000000000005</v>
      </c>
      <c r="N411">
        <v>2093733.28</v>
      </c>
      <c r="O411">
        <v>1394204.64</v>
      </c>
      <c r="P411">
        <v>603100.88</v>
      </c>
      <c r="Q411" s="1" t="s">
        <v>1588</v>
      </c>
      <c r="R411">
        <v>49</v>
      </c>
      <c r="S411" s="1" t="s">
        <v>1589</v>
      </c>
      <c r="T411" t="b">
        <v>1</v>
      </c>
    </row>
    <row r="412" spans="1:20" x14ac:dyDescent="0.25">
      <c r="A412" s="1" t="s">
        <v>1590</v>
      </c>
      <c r="B412" s="1" t="s">
        <v>348</v>
      </c>
      <c r="C412" s="1" t="s">
        <v>1591</v>
      </c>
      <c r="D412" s="1" t="s">
        <v>187</v>
      </c>
      <c r="E412" s="1" t="s">
        <v>41</v>
      </c>
      <c r="F412" s="1" t="s">
        <v>25</v>
      </c>
      <c r="G412" s="2">
        <v>45082</v>
      </c>
      <c r="H412" s="2">
        <v>45096</v>
      </c>
      <c r="I412">
        <v>9</v>
      </c>
      <c r="J412">
        <v>14</v>
      </c>
      <c r="K412">
        <v>5</v>
      </c>
      <c r="L412" s="1" t="s">
        <v>101</v>
      </c>
      <c r="M412">
        <v>80.099999999999994</v>
      </c>
      <c r="N412">
        <v>188247.8</v>
      </c>
      <c r="O412">
        <v>3151545.33</v>
      </c>
      <c r="P412">
        <v>423953.24</v>
      </c>
      <c r="Q412" s="1" t="s">
        <v>1592</v>
      </c>
      <c r="R412">
        <v>61</v>
      </c>
      <c r="S412" s="1" t="s">
        <v>1593</v>
      </c>
      <c r="T412" t="b">
        <v>1</v>
      </c>
    </row>
    <row r="413" spans="1:20" x14ac:dyDescent="0.25">
      <c r="A413" s="1" t="s">
        <v>1594</v>
      </c>
      <c r="B413" s="1" t="s">
        <v>82</v>
      </c>
      <c r="C413" s="1" t="s">
        <v>1595</v>
      </c>
      <c r="D413" s="1" t="s">
        <v>95</v>
      </c>
      <c r="E413" s="1" t="s">
        <v>57</v>
      </c>
      <c r="F413" s="1" t="s">
        <v>25</v>
      </c>
      <c r="G413" s="2">
        <v>45421</v>
      </c>
      <c r="H413" s="2">
        <v>45468</v>
      </c>
      <c r="I413">
        <v>40</v>
      </c>
      <c r="J413">
        <v>47</v>
      </c>
      <c r="K413">
        <v>7</v>
      </c>
      <c r="L413" s="1" t="s">
        <v>26</v>
      </c>
      <c r="M413">
        <v>401.7</v>
      </c>
      <c r="N413">
        <v>1768623.96</v>
      </c>
      <c r="O413">
        <v>1245013.45</v>
      </c>
      <c r="P413">
        <v>382769.69</v>
      </c>
      <c r="Q413" s="1" t="s">
        <v>1596</v>
      </c>
      <c r="R413">
        <v>25</v>
      </c>
      <c r="S413" s="1" t="s">
        <v>1597</v>
      </c>
      <c r="T413" t="b">
        <v>0</v>
      </c>
    </row>
    <row r="414" spans="1:20" x14ac:dyDescent="0.25">
      <c r="A414" s="1" t="s">
        <v>1598</v>
      </c>
      <c r="B414" s="1" t="s">
        <v>105</v>
      </c>
      <c r="C414" s="1" t="s">
        <v>354</v>
      </c>
      <c r="D414" s="1" t="s">
        <v>655</v>
      </c>
      <c r="E414" s="1" t="s">
        <v>24</v>
      </c>
      <c r="F414" s="1" t="s">
        <v>25</v>
      </c>
      <c r="G414" s="2">
        <v>45245</v>
      </c>
      <c r="H414" s="2">
        <v>45247</v>
      </c>
      <c r="I414">
        <v>3</v>
      </c>
      <c r="J414">
        <v>2</v>
      </c>
      <c r="K414">
        <v>0</v>
      </c>
      <c r="L414" s="1" t="s">
        <v>26</v>
      </c>
      <c r="M414">
        <v>14.6</v>
      </c>
      <c r="N414">
        <v>30141.07</v>
      </c>
      <c r="O414">
        <v>4897631.22</v>
      </c>
      <c r="P414">
        <v>602284.93000000005</v>
      </c>
      <c r="Q414" s="1" t="s">
        <v>1599</v>
      </c>
      <c r="R414">
        <v>66</v>
      </c>
      <c r="S414" s="1" t="s">
        <v>1600</v>
      </c>
      <c r="T414" t="b">
        <v>0</v>
      </c>
    </row>
    <row r="415" spans="1:20" x14ac:dyDescent="0.25">
      <c r="A415" s="1" t="s">
        <v>1601</v>
      </c>
      <c r="B415" s="1" t="s">
        <v>128</v>
      </c>
      <c r="C415" s="1" t="s">
        <v>512</v>
      </c>
      <c r="D415" s="1" t="s">
        <v>622</v>
      </c>
      <c r="E415" s="1" t="s">
        <v>33</v>
      </c>
      <c r="F415" s="1" t="s">
        <v>66</v>
      </c>
      <c r="G415" s="2">
        <v>45564</v>
      </c>
      <c r="H415" s="2"/>
      <c r="I415">
        <v>12</v>
      </c>
      <c r="J415">
        <v>11</v>
      </c>
      <c r="K415">
        <v>0</v>
      </c>
      <c r="L415" s="1" t="s">
        <v>26</v>
      </c>
      <c r="M415">
        <v>136.5</v>
      </c>
      <c r="N415">
        <v>564642.56000000006</v>
      </c>
      <c r="O415">
        <v>2762195.74</v>
      </c>
      <c r="P415">
        <v>534778.26</v>
      </c>
      <c r="Q415" s="1" t="s">
        <v>1602</v>
      </c>
      <c r="R415">
        <v>71</v>
      </c>
      <c r="S415" s="1" t="s">
        <v>1603</v>
      </c>
      <c r="T415" t="b">
        <v>0</v>
      </c>
    </row>
    <row r="416" spans="1:20" x14ac:dyDescent="0.25">
      <c r="A416" s="1" t="s">
        <v>1604</v>
      </c>
      <c r="B416" s="1" t="s">
        <v>62</v>
      </c>
      <c r="C416" s="1" t="s">
        <v>1254</v>
      </c>
      <c r="D416" s="1" t="s">
        <v>405</v>
      </c>
      <c r="E416" s="1" t="s">
        <v>49</v>
      </c>
      <c r="F416" s="1" t="s">
        <v>25</v>
      </c>
      <c r="G416" s="2">
        <v>45538</v>
      </c>
      <c r="H416" s="2">
        <v>45556</v>
      </c>
      <c r="I416">
        <v>25</v>
      </c>
      <c r="J416">
        <v>18</v>
      </c>
      <c r="K416">
        <v>0</v>
      </c>
      <c r="L416" s="1" t="s">
        <v>26</v>
      </c>
      <c r="M416">
        <v>74.099999999999994</v>
      </c>
      <c r="N416">
        <v>236129.03</v>
      </c>
      <c r="O416">
        <v>785901.5</v>
      </c>
      <c r="P416">
        <v>115118.29</v>
      </c>
      <c r="Q416" s="1" t="s">
        <v>1605</v>
      </c>
      <c r="R416">
        <v>69</v>
      </c>
      <c r="S416" s="1" t="s">
        <v>1606</v>
      </c>
      <c r="T416" t="b">
        <v>1</v>
      </c>
    </row>
    <row r="417" spans="1:20" x14ac:dyDescent="0.25">
      <c r="A417" s="1" t="s">
        <v>1607</v>
      </c>
      <c r="B417" s="1" t="s">
        <v>93</v>
      </c>
      <c r="C417" s="1" t="s">
        <v>1360</v>
      </c>
      <c r="D417" s="1" t="s">
        <v>95</v>
      </c>
      <c r="E417" s="1" t="s">
        <v>41</v>
      </c>
      <c r="F417" s="1" t="s">
        <v>25</v>
      </c>
      <c r="G417" s="2">
        <v>45418</v>
      </c>
      <c r="H417" s="2">
        <v>45423</v>
      </c>
      <c r="I417">
        <v>9</v>
      </c>
      <c r="J417">
        <v>5</v>
      </c>
      <c r="K417">
        <v>0</v>
      </c>
      <c r="L417" s="1" t="s">
        <v>26</v>
      </c>
      <c r="M417">
        <v>46.3</v>
      </c>
      <c r="N417">
        <v>127593.72</v>
      </c>
      <c r="O417">
        <v>2348642.44</v>
      </c>
      <c r="P417">
        <v>318646.94</v>
      </c>
      <c r="Q417" s="1" t="s">
        <v>1608</v>
      </c>
      <c r="R417">
        <v>74</v>
      </c>
      <c r="S417" s="1" t="s">
        <v>1609</v>
      </c>
      <c r="T417" t="b">
        <v>1</v>
      </c>
    </row>
    <row r="418" spans="1:20" x14ac:dyDescent="0.25">
      <c r="A418" s="1" t="s">
        <v>1610</v>
      </c>
      <c r="B418" s="1" t="s">
        <v>158</v>
      </c>
      <c r="C418" s="1" t="s">
        <v>404</v>
      </c>
      <c r="D418" s="1" t="s">
        <v>202</v>
      </c>
      <c r="E418" s="1" t="s">
        <v>65</v>
      </c>
      <c r="F418" s="1" t="s">
        <v>50</v>
      </c>
      <c r="G418" s="2">
        <v>45187</v>
      </c>
      <c r="H418" s="2"/>
      <c r="I418">
        <v>4</v>
      </c>
      <c r="J418">
        <v>6</v>
      </c>
      <c r="K418">
        <v>1.5</v>
      </c>
      <c r="L418" s="1" t="s">
        <v>26</v>
      </c>
      <c r="M418">
        <v>84.9</v>
      </c>
      <c r="N418">
        <v>298306.94</v>
      </c>
      <c r="O418">
        <v>392699.13</v>
      </c>
      <c r="P418">
        <v>85687.29</v>
      </c>
      <c r="Q418" s="1" t="s">
        <v>1611</v>
      </c>
      <c r="R418">
        <v>79</v>
      </c>
      <c r="S418" s="1" t="s">
        <v>1612</v>
      </c>
      <c r="T418" t="b">
        <v>0</v>
      </c>
    </row>
    <row r="419" spans="1:20" x14ac:dyDescent="0.25">
      <c r="A419" s="1" t="s">
        <v>1613</v>
      </c>
      <c r="B419" s="1" t="s">
        <v>253</v>
      </c>
      <c r="C419" s="1" t="s">
        <v>1364</v>
      </c>
      <c r="D419" s="1" t="s">
        <v>181</v>
      </c>
      <c r="E419" s="1" t="s">
        <v>65</v>
      </c>
      <c r="F419" s="1" t="s">
        <v>34</v>
      </c>
      <c r="G419" s="2">
        <v>44583</v>
      </c>
      <c r="H419" s="2"/>
      <c r="I419">
        <v>4</v>
      </c>
      <c r="J419">
        <v>3</v>
      </c>
      <c r="K419">
        <v>0</v>
      </c>
      <c r="L419" s="1" t="s">
        <v>26</v>
      </c>
      <c r="M419">
        <v>29.3</v>
      </c>
      <c r="N419">
        <v>93482.559999999998</v>
      </c>
      <c r="O419">
        <v>4989792.58</v>
      </c>
      <c r="P419">
        <v>959763.28</v>
      </c>
      <c r="Q419" s="1" t="s">
        <v>1614</v>
      </c>
      <c r="R419">
        <v>73</v>
      </c>
      <c r="S419" s="1" t="s">
        <v>1615</v>
      </c>
      <c r="T419" t="b">
        <v>1</v>
      </c>
    </row>
    <row r="420" spans="1:20" x14ac:dyDescent="0.25">
      <c r="A420" s="1" t="s">
        <v>1616</v>
      </c>
      <c r="B420" s="1" t="s">
        <v>566</v>
      </c>
      <c r="C420" s="1" t="s">
        <v>1216</v>
      </c>
      <c r="D420" s="1" t="s">
        <v>72</v>
      </c>
      <c r="E420" s="1" t="s">
        <v>41</v>
      </c>
      <c r="F420" s="1" t="s">
        <v>66</v>
      </c>
      <c r="G420" s="2">
        <v>45432</v>
      </c>
      <c r="H420" s="2"/>
      <c r="I420">
        <v>9</v>
      </c>
      <c r="J420">
        <v>14</v>
      </c>
      <c r="K420">
        <v>5</v>
      </c>
      <c r="L420" s="1" t="s">
        <v>101</v>
      </c>
      <c r="M420">
        <v>114</v>
      </c>
      <c r="N420">
        <v>511221.52</v>
      </c>
      <c r="O420">
        <v>3309258.81</v>
      </c>
      <c r="P420">
        <v>733707.57</v>
      </c>
      <c r="Q420" s="1" t="s">
        <v>1617</v>
      </c>
      <c r="R420">
        <v>48</v>
      </c>
      <c r="S420" s="1" t="s">
        <v>1618</v>
      </c>
      <c r="T420" t="b">
        <v>1</v>
      </c>
    </row>
    <row r="421" spans="1:20" x14ac:dyDescent="0.25">
      <c r="A421" s="1" t="s">
        <v>1619</v>
      </c>
      <c r="B421" s="1" t="s">
        <v>105</v>
      </c>
      <c r="C421" s="1" t="s">
        <v>1241</v>
      </c>
      <c r="D421" s="1" t="s">
        <v>181</v>
      </c>
      <c r="E421" s="1" t="s">
        <v>57</v>
      </c>
      <c r="F421" s="1" t="s">
        <v>25</v>
      </c>
      <c r="G421" s="2">
        <v>45634</v>
      </c>
      <c r="H421" s="2">
        <v>45658</v>
      </c>
      <c r="I421">
        <v>40</v>
      </c>
      <c r="J421">
        <v>24</v>
      </c>
      <c r="K421">
        <v>0</v>
      </c>
      <c r="L421" s="1" t="s">
        <v>26</v>
      </c>
      <c r="M421">
        <v>201.7</v>
      </c>
      <c r="N421">
        <v>435664.09</v>
      </c>
      <c r="O421">
        <v>1772924.75</v>
      </c>
      <c r="P421">
        <v>232102.05</v>
      </c>
      <c r="Q421" s="1" t="s">
        <v>1620</v>
      </c>
      <c r="R421">
        <v>63</v>
      </c>
      <c r="S421" s="1" t="s">
        <v>1621</v>
      </c>
      <c r="T421" t="b">
        <v>1</v>
      </c>
    </row>
    <row r="422" spans="1:20" x14ac:dyDescent="0.25">
      <c r="A422" s="1" t="s">
        <v>1622</v>
      </c>
      <c r="B422" s="1" t="s">
        <v>334</v>
      </c>
      <c r="C422" s="1" t="s">
        <v>201</v>
      </c>
      <c r="D422" s="1" t="s">
        <v>297</v>
      </c>
      <c r="E422" s="1" t="s">
        <v>24</v>
      </c>
      <c r="F422" s="1" t="s">
        <v>25</v>
      </c>
      <c r="G422" s="2">
        <v>44803</v>
      </c>
      <c r="H422" s="2">
        <v>44807</v>
      </c>
      <c r="I422">
        <v>3</v>
      </c>
      <c r="J422">
        <v>4</v>
      </c>
      <c r="K422">
        <v>1</v>
      </c>
      <c r="L422" s="1" t="s">
        <v>26</v>
      </c>
      <c r="M422">
        <v>30.1</v>
      </c>
      <c r="N422">
        <v>71495.87</v>
      </c>
      <c r="O422">
        <v>3692748.35</v>
      </c>
      <c r="P422">
        <v>590550.42000000004</v>
      </c>
      <c r="Q422" s="1" t="s">
        <v>1623</v>
      </c>
      <c r="R422">
        <v>49</v>
      </c>
      <c r="S422" s="1" t="s">
        <v>1624</v>
      </c>
      <c r="T422" t="b">
        <v>0</v>
      </c>
    </row>
    <row r="423" spans="1:20" x14ac:dyDescent="0.25">
      <c r="A423" s="1" t="s">
        <v>1625</v>
      </c>
      <c r="B423" s="1" t="s">
        <v>272</v>
      </c>
      <c r="C423" s="1" t="s">
        <v>1521</v>
      </c>
      <c r="D423" s="1" t="s">
        <v>595</v>
      </c>
      <c r="E423" s="1" t="s">
        <v>24</v>
      </c>
      <c r="F423" s="1" t="s">
        <v>25</v>
      </c>
      <c r="G423" s="2">
        <v>44679</v>
      </c>
      <c r="H423" s="2">
        <v>44684</v>
      </c>
      <c r="I423">
        <v>3</v>
      </c>
      <c r="J423">
        <v>5</v>
      </c>
      <c r="K423">
        <v>2</v>
      </c>
      <c r="L423" s="1" t="s">
        <v>26</v>
      </c>
      <c r="M423">
        <v>47.6</v>
      </c>
      <c r="N423">
        <v>124024.03</v>
      </c>
      <c r="O423">
        <v>544748.64</v>
      </c>
      <c r="P423">
        <v>90265.7</v>
      </c>
      <c r="Q423" s="1" t="s">
        <v>1626</v>
      </c>
      <c r="R423">
        <v>51</v>
      </c>
      <c r="S423" s="1" t="s">
        <v>1627</v>
      </c>
      <c r="T423" t="b">
        <v>1</v>
      </c>
    </row>
    <row r="424" spans="1:20" x14ac:dyDescent="0.25">
      <c r="A424" s="1" t="s">
        <v>1628</v>
      </c>
      <c r="B424" s="1" t="s">
        <v>348</v>
      </c>
      <c r="C424" s="1" t="s">
        <v>581</v>
      </c>
      <c r="D424" s="1" t="s">
        <v>56</v>
      </c>
      <c r="E424" s="1" t="s">
        <v>49</v>
      </c>
      <c r="F424" s="1" t="s">
        <v>66</v>
      </c>
      <c r="G424" s="2">
        <v>44735</v>
      </c>
      <c r="H424" s="2"/>
      <c r="I424">
        <v>25</v>
      </c>
      <c r="J424">
        <v>38</v>
      </c>
      <c r="K424">
        <v>13</v>
      </c>
      <c r="L424" s="1" t="s">
        <v>26</v>
      </c>
      <c r="M424">
        <v>222.1</v>
      </c>
      <c r="N424">
        <v>474044.72</v>
      </c>
      <c r="O424">
        <v>2442186.65</v>
      </c>
      <c r="P424">
        <v>337008.56</v>
      </c>
      <c r="Q424" s="1" t="s">
        <v>1629</v>
      </c>
      <c r="R424">
        <v>47</v>
      </c>
      <c r="S424" s="1" t="s">
        <v>1630</v>
      </c>
      <c r="T424" t="b">
        <v>1</v>
      </c>
    </row>
    <row r="425" spans="1:20" x14ac:dyDescent="0.25">
      <c r="A425" s="1" t="s">
        <v>1631</v>
      </c>
      <c r="B425" s="1" t="s">
        <v>105</v>
      </c>
      <c r="C425" s="1" t="s">
        <v>1364</v>
      </c>
      <c r="D425" s="1" t="s">
        <v>238</v>
      </c>
      <c r="E425" s="1" t="s">
        <v>33</v>
      </c>
      <c r="F425" s="1" t="s">
        <v>25</v>
      </c>
      <c r="G425" s="2">
        <v>45113</v>
      </c>
      <c r="H425" s="2">
        <v>45129</v>
      </c>
      <c r="I425">
        <v>12</v>
      </c>
      <c r="J425">
        <v>16</v>
      </c>
      <c r="K425">
        <v>4</v>
      </c>
      <c r="L425" s="1" t="s">
        <v>193</v>
      </c>
      <c r="M425">
        <v>225.2</v>
      </c>
      <c r="N425">
        <v>503761.73</v>
      </c>
      <c r="O425">
        <v>1775151.51</v>
      </c>
      <c r="P425">
        <v>326787.08</v>
      </c>
      <c r="Q425" s="1" t="s">
        <v>1632</v>
      </c>
      <c r="R425">
        <v>22</v>
      </c>
      <c r="S425" s="1" t="s">
        <v>1633</v>
      </c>
      <c r="T425" t="b">
        <v>1</v>
      </c>
    </row>
    <row r="426" spans="1:20" x14ac:dyDescent="0.25">
      <c r="A426" s="1" t="s">
        <v>1634</v>
      </c>
      <c r="B426" s="1" t="s">
        <v>38</v>
      </c>
      <c r="C426" s="1" t="s">
        <v>1635</v>
      </c>
      <c r="D426" s="1" t="s">
        <v>202</v>
      </c>
      <c r="E426" s="1" t="s">
        <v>65</v>
      </c>
      <c r="F426" s="1" t="s">
        <v>34</v>
      </c>
      <c r="G426" s="2">
        <v>45370</v>
      </c>
      <c r="H426" s="2"/>
      <c r="I426">
        <v>4</v>
      </c>
      <c r="J426">
        <v>6</v>
      </c>
      <c r="K426">
        <v>1.5</v>
      </c>
      <c r="L426" s="1" t="s">
        <v>26</v>
      </c>
      <c r="M426">
        <v>88.9</v>
      </c>
      <c r="N426">
        <v>198499.81</v>
      </c>
      <c r="O426">
        <v>1002969.7</v>
      </c>
      <c r="P426">
        <v>177732.78</v>
      </c>
      <c r="Q426" s="1" t="s">
        <v>1636</v>
      </c>
      <c r="R426">
        <v>51</v>
      </c>
      <c r="S426" s="1" t="s">
        <v>1637</v>
      </c>
      <c r="T426" t="b">
        <v>1</v>
      </c>
    </row>
    <row r="427" spans="1:20" x14ac:dyDescent="0.25">
      <c r="A427" s="1" t="s">
        <v>1638</v>
      </c>
      <c r="B427" s="1" t="s">
        <v>629</v>
      </c>
      <c r="C427" s="1" t="s">
        <v>1639</v>
      </c>
      <c r="D427" s="1" t="s">
        <v>89</v>
      </c>
      <c r="E427" s="1" t="s">
        <v>65</v>
      </c>
      <c r="F427" s="1" t="s">
        <v>66</v>
      </c>
      <c r="G427" s="2">
        <v>45227</v>
      </c>
      <c r="H427" s="2"/>
      <c r="I427">
        <v>4</v>
      </c>
      <c r="J427">
        <v>7</v>
      </c>
      <c r="K427">
        <v>2.5</v>
      </c>
      <c r="L427" s="1" t="s">
        <v>26</v>
      </c>
      <c r="M427">
        <v>39</v>
      </c>
      <c r="N427">
        <v>171043.56</v>
      </c>
      <c r="O427">
        <v>3965637.65</v>
      </c>
      <c r="P427">
        <v>465841.42</v>
      </c>
      <c r="Q427" s="1" t="s">
        <v>1640</v>
      </c>
      <c r="R427">
        <v>73</v>
      </c>
      <c r="S427" s="1" t="s">
        <v>1641</v>
      </c>
      <c r="T427" t="b">
        <v>0</v>
      </c>
    </row>
    <row r="428" spans="1:20" x14ac:dyDescent="0.25">
      <c r="A428" s="1" t="s">
        <v>1642</v>
      </c>
      <c r="B428" s="1" t="s">
        <v>334</v>
      </c>
      <c r="C428" s="1" t="s">
        <v>1501</v>
      </c>
      <c r="D428" s="1" t="s">
        <v>249</v>
      </c>
      <c r="E428" s="1" t="s">
        <v>49</v>
      </c>
      <c r="F428" s="1" t="s">
        <v>34</v>
      </c>
      <c r="G428" s="2">
        <v>45441</v>
      </c>
      <c r="H428" s="2"/>
      <c r="I428">
        <v>25</v>
      </c>
      <c r="J428">
        <v>10</v>
      </c>
      <c r="K428">
        <v>0</v>
      </c>
      <c r="L428" s="1" t="s">
        <v>26</v>
      </c>
      <c r="M428">
        <v>92.1</v>
      </c>
      <c r="N428">
        <v>237761.67</v>
      </c>
      <c r="O428">
        <v>2434786.9300000002</v>
      </c>
      <c r="P428">
        <v>470609.06</v>
      </c>
      <c r="Q428" s="1" t="s">
        <v>1643</v>
      </c>
      <c r="R428">
        <v>37</v>
      </c>
      <c r="S428" s="1" t="s">
        <v>1644</v>
      </c>
      <c r="T428" t="b">
        <v>1</v>
      </c>
    </row>
    <row r="429" spans="1:20" x14ac:dyDescent="0.25">
      <c r="A429" s="1" t="s">
        <v>1645</v>
      </c>
      <c r="B429" s="1" t="s">
        <v>111</v>
      </c>
      <c r="C429" s="1" t="s">
        <v>858</v>
      </c>
      <c r="D429" s="1" t="s">
        <v>268</v>
      </c>
      <c r="E429" s="1" t="s">
        <v>41</v>
      </c>
      <c r="F429" s="1" t="s">
        <v>25</v>
      </c>
      <c r="G429" s="2">
        <v>45101</v>
      </c>
      <c r="H429" s="2">
        <v>45114</v>
      </c>
      <c r="I429">
        <v>9</v>
      </c>
      <c r="J429">
        <v>13</v>
      </c>
      <c r="K429">
        <v>4</v>
      </c>
      <c r="L429" s="1" t="s">
        <v>193</v>
      </c>
      <c r="M429">
        <v>180</v>
      </c>
      <c r="N429">
        <v>420428.46</v>
      </c>
      <c r="O429">
        <v>3535239.89</v>
      </c>
      <c r="P429">
        <v>715957.17</v>
      </c>
      <c r="Q429" s="1" t="s">
        <v>1646</v>
      </c>
      <c r="R429">
        <v>27</v>
      </c>
      <c r="S429" s="1" t="s">
        <v>1647</v>
      </c>
      <c r="T429" t="b">
        <v>1</v>
      </c>
    </row>
    <row r="430" spans="1:20" x14ac:dyDescent="0.25">
      <c r="A430" s="1" t="s">
        <v>1648</v>
      </c>
      <c r="B430" s="1" t="s">
        <v>328</v>
      </c>
      <c r="C430" s="1" t="s">
        <v>642</v>
      </c>
      <c r="D430" s="1" t="s">
        <v>268</v>
      </c>
      <c r="E430" s="1" t="s">
        <v>33</v>
      </c>
      <c r="F430" s="1" t="s">
        <v>25</v>
      </c>
      <c r="G430" s="2">
        <v>45383</v>
      </c>
      <c r="H430" s="2">
        <v>45392</v>
      </c>
      <c r="I430">
        <v>12</v>
      </c>
      <c r="J430">
        <v>9</v>
      </c>
      <c r="K430">
        <v>0</v>
      </c>
      <c r="L430" s="1" t="s">
        <v>26</v>
      </c>
      <c r="M430">
        <v>136.30000000000001</v>
      </c>
      <c r="N430">
        <v>402223.76</v>
      </c>
      <c r="O430">
        <v>3086172.12</v>
      </c>
      <c r="P430">
        <v>380561.47</v>
      </c>
      <c r="Q430" s="1" t="s">
        <v>1649</v>
      </c>
      <c r="R430">
        <v>41</v>
      </c>
      <c r="S430" s="1" t="s">
        <v>1650</v>
      </c>
      <c r="T430" t="b">
        <v>0</v>
      </c>
    </row>
    <row r="431" spans="1:20" x14ac:dyDescent="0.25">
      <c r="A431" s="1" t="s">
        <v>1651</v>
      </c>
      <c r="B431" s="1" t="s">
        <v>545</v>
      </c>
      <c r="C431" s="1" t="s">
        <v>986</v>
      </c>
      <c r="D431" s="1" t="s">
        <v>344</v>
      </c>
      <c r="E431" s="1" t="s">
        <v>33</v>
      </c>
      <c r="F431" s="1" t="s">
        <v>66</v>
      </c>
      <c r="G431" s="2">
        <v>45543</v>
      </c>
      <c r="H431" s="2"/>
      <c r="I431">
        <v>12</v>
      </c>
      <c r="J431">
        <v>12</v>
      </c>
      <c r="K431">
        <v>0</v>
      </c>
      <c r="L431" s="1" t="s">
        <v>26</v>
      </c>
      <c r="M431">
        <v>140.69999999999999</v>
      </c>
      <c r="N431">
        <v>368856.72</v>
      </c>
      <c r="O431">
        <v>1353537.99</v>
      </c>
      <c r="P431">
        <v>220562.28</v>
      </c>
      <c r="Q431" s="1" t="s">
        <v>1652</v>
      </c>
      <c r="R431">
        <v>22</v>
      </c>
      <c r="S431" s="1" t="s">
        <v>1653</v>
      </c>
      <c r="T431" t="b">
        <v>1</v>
      </c>
    </row>
    <row r="432" spans="1:20" x14ac:dyDescent="0.25">
      <c r="A432" s="1" t="s">
        <v>1654</v>
      </c>
      <c r="B432" s="1" t="s">
        <v>348</v>
      </c>
      <c r="C432" s="1" t="s">
        <v>888</v>
      </c>
      <c r="D432" s="1" t="s">
        <v>78</v>
      </c>
      <c r="E432" s="1" t="s">
        <v>41</v>
      </c>
      <c r="F432" s="1" t="s">
        <v>34</v>
      </c>
      <c r="G432" s="2">
        <v>44668</v>
      </c>
      <c r="H432" s="2"/>
      <c r="I432">
        <v>9</v>
      </c>
      <c r="J432">
        <v>8</v>
      </c>
      <c r="K432">
        <v>0</v>
      </c>
      <c r="L432" s="1" t="s">
        <v>26</v>
      </c>
      <c r="M432">
        <v>52.3</v>
      </c>
      <c r="N432">
        <v>160799.32999999999</v>
      </c>
      <c r="O432">
        <v>4543325.05</v>
      </c>
      <c r="P432">
        <v>517811.99</v>
      </c>
      <c r="Q432" s="1" t="s">
        <v>1655</v>
      </c>
      <c r="R432">
        <v>27</v>
      </c>
      <c r="S432" s="1" t="s">
        <v>1656</v>
      </c>
      <c r="T432" t="b">
        <v>1</v>
      </c>
    </row>
    <row r="433" spans="1:20" x14ac:dyDescent="0.25">
      <c r="A433" s="1" t="s">
        <v>1657</v>
      </c>
      <c r="B433" s="1" t="s">
        <v>629</v>
      </c>
      <c r="C433" s="1" t="s">
        <v>884</v>
      </c>
      <c r="D433" s="1" t="s">
        <v>372</v>
      </c>
      <c r="E433" s="1" t="s">
        <v>41</v>
      </c>
      <c r="F433" s="1" t="s">
        <v>66</v>
      </c>
      <c r="G433" s="2">
        <v>44589</v>
      </c>
      <c r="H433" s="2"/>
      <c r="I433">
        <v>9</v>
      </c>
      <c r="J433">
        <v>15</v>
      </c>
      <c r="K433">
        <v>6</v>
      </c>
      <c r="L433" s="1" t="s">
        <v>330</v>
      </c>
      <c r="M433">
        <v>215.2</v>
      </c>
      <c r="N433">
        <v>579807.27</v>
      </c>
      <c r="O433">
        <v>3709047.59</v>
      </c>
      <c r="P433">
        <v>583878.25</v>
      </c>
      <c r="Q433" s="1" t="s">
        <v>1658</v>
      </c>
      <c r="R433">
        <v>57</v>
      </c>
      <c r="S433" s="1" t="s">
        <v>1659</v>
      </c>
      <c r="T433" t="b">
        <v>0</v>
      </c>
    </row>
    <row r="434" spans="1:20" x14ac:dyDescent="0.25">
      <c r="A434" s="1" t="s">
        <v>1660</v>
      </c>
      <c r="B434" s="1" t="s">
        <v>169</v>
      </c>
      <c r="C434" s="1" t="s">
        <v>31</v>
      </c>
      <c r="D434" s="1" t="s">
        <v>159</v>
      </c>
      <c r="E434" s="1" t="s">
        <v>33</v>
      </c>
      <c r="F434" s="1" t="s">
        <v>25</v>
      </c>
      <c r="G434" s="2">
        <v>44740</v>
      </c>
      <c r="H434" s="2">
        <v>44756</v>
      </c>
      <c r="I434">
        <v>12</v>
      </c>
      <c r="J434">
        <v>16</v>
      </c>
      <c r="K434">
        <v>4</v>
      </c>
      <c r="L434" s="1" t="s">
        <v>101</v>
      </c>
      <c r="M434">
        <v>206.6</v>
      </c>
      <c r="N434">
        <v>439016.06</v>
      </c>
      <c r="O434">
        <v>2936941.67</v>
      </c>
      <c r="P434">
        <v>645542.81999999995</v>
      </c>
      <c r="Q434" s="1" t="s">
        <v>1661</v>
      </c>
      <c r="R434">
        <v>80</v>
      </c>
      <c r="S434" s="1" t="s">
        <v>1662</v>
      </c>
      <c r="T434" t="b">
        <v>0</v>
      </c>
    </row>
    <row r="435" spans="1:20" x14ac:dyDescent="0.25">
      <c r="A435" s="1" t="s">
        <v>1663</v>
      </c>
      <c r="B435" s="1" t="s">
        <v>99</v>
      </c>
      <c r="C435" s="1" t="s">
        <v>1664</v>
      </c>
      <c r="D435" s="1" t="s">
        <v>713</v>
      </c>
      <c r="E435" s="1" t="s">
        <v>41</v>
      </c>
      <c r="F435" s="1" t="s">
        <v>25</v>
      </c>
      <c r="G435" s="2">
        <v>45179</v>
      </c>
      <c r="H435" s="2">
        <v>45194</v>
      </c>
      <c r="I435">
        <v>9</v>
      </c>
      <c r="J435">
        <v>15</v>
      </c>
      <c r="K435">
        <v>6</v>
      </c>
      <c r="L435" s="1" t="s">
        <v>42</v>
      </c>
      <c r="M435">
        <v>96.4</v>
      </c>
      <c r="N435">
        <v>361121.88</v>
      </c>
      <c r="O435">
        <v>228617.42</v>
      </c>
      <c r="P435">
        <v>70279.63</v>
      </c>
      <c r="Q435" s="1" t="s">
        <v>1665</v>
      </c>
      <c r="R435">
        <v>43</v>
      </c>
      <c r="S435" s="1" t="s">
        <v>1666</v>
      </c>
      <c r="T435" t="b">
        <v>0</v>
      </c>
    </row>
    <row r="436" spans="1:20" x14ac:dyDescent="0.25">
      <c r="A436" s="1" t="s">
        <v>1667</v>
      </c>
      <c r="B436" s="1" t="s">
        <v>163</v>
      </c>
      <c r="C436" s="1" t="s">
        <v>1134</v>
      </c>
      <c r="D436" s="1" t="s">
        <v>420</v>
      </c>
      <c r="E436" s="1" t="s">
        <v>65</v>
      </c>
      <c r="F436" s="1" t="s">
        <v>25</v>
      </c>
      <c r="G436" s="2">
        <v>44802</v>
      </c>
      <c r="H436" s="2">
        <v>44810</v>
      </c>
      <c r="I436">
        <v>4</v>
      </c>
      <c r="J436">
        <v>8</v>
      </c>
      <c r="K436">
        <v>3.5</v>
      </c>
      <c r="L436" s="1" t="s">
        <v>193</v>
      </c>
      <c r="M436">
        <v>72.2</v>
      </c>
      <c r="N436">
        <v>311513.92</v>
      </c>
      <c r="O436">
        <v>2524308.44</v>
      </c>
      <c r="P436">
        <v>289785.57</v>
      </c>
      <c r="Q436" s="1" t="s">
        <v>1668</v>
      </c>
      <c r="R436">
        <v>23</v>
      </c>
      <c r="S436" s="1" t="s">
        <v>1669</v>
      </c>
      <c r="T436" t="b">
        <v>1</v>
      </c>
    </row>
    <row r="437" spans="1:20" x14ac:dyDescent="0.25">
      <c r="A437" s="1" t="s">
        <v>1670</v>
      </c>
      <c r="B437" s="1" t="s">
        <v>46</v>
      </c>
      <c r="C437" s="1" t="s">
        <v>1671</v>
      </c>
      <c r="D437" s="1" t="s">
        <v>154</v>
      </c>
      <c r="E437" s="1" t="s">
        <v>65</v>
      </c>
      <c r="F437" s="1" t="s">
        <v>34</v>
      </c>
      <c r="G437" s="2">
        <v>45376</v>
      </c>
      <c r="H437" s="2"/>
      <c r="I437">
        <v>4</v>
      </c>
      <c r="J437">
        <v>2</v>
      </c>
      <c r="K437">
        <v>0</v>
      </c>
      <c r="L437" s="1" t="s">
        <v>26</v>
      </c>
      <c r="M437">
        <v>12</v>
      </c>
      <c r="N437">
        <v>45923.58</v>
      </c>
      <c r="O437">
        <v>1926910.6</v>
      </c>
      <c r="P437">
        <v>351040.62</v>
      </c>
      <c r="Q437" s="1" t="s">
        <v>1672</v>
      </c>
      <c r="R437">
        <v>56</v>
      </c>
      <c r="S437" s="1" t="s">
        <v>1673</v>
      </c>
      <c r="T437" t="b">
        <v>1</v>
      </c>
    </row>
    <row r="438" spans="1:20" x14ac:dyDescent="0.25">
      <c r="A438" s="1" t="s">
        <v>1674</v>
      </c>
      <c r="B438" s="1" t="s">
        <v>174</v>
      </c>
      <c r="C438" s="1" t="s">
        <v>186</v>
      </c>
      <c r="D438" s="1" t="s">
        <v>582</v>
      </c>
      <c r="E438" s="1" t="s">
        <v>49</v>
      </c>
      <c r="F438" s="1" t="s">
        <v>25</v>
      </c>
      <c r="G438" s="2">
        <v>44580</v>
      </c>
      <c r="H438" s="2">
        <v>44606</v>
      </c>
      <c r="I438">
        <v>25</v>
      </c>
      <c r="J438">
        <v>26</v>
      </c>
      <c r="K438">
        <v>1</v>
      </c>
      <c r="L438" s="1" t="s">
        <v>26</v>
      </c>
      <c r="M438">
        <v>324.8</v>
      </c>
      <c r="N438">
        <v>1045108.2</v>
      </c>
      <c r="O438">
        <v>1524016.76</v>
      </c>
      <c r="P438">
        <v>313519.65000000002</v>
      </c>
      <c r="Q438" s="1" t="s">
        <v>1675</v>
      </c>
      <c r="R438">
        <v>54</v>
      </c>
      <c r="S438" s="1" t="s">
        <v>1676</v>
      </c>
      <c r="T438" t="b">
        <v>1</v>
      </c>
    </row>
    <row r="439" spans="1:20" x14ac:dyDescent="0.25">
      <c r="A439" s="1" t="s">
        <v>1677</v>
      </c>
      <c r="B439" s="1" t="s">
        <v>76</v>
      </c>
      <c r="C439" s="1" t="s">
        <v>94</v>
      </c>
      <c r="D439" s="1" t="s">
        <v>1022</v>
      </c>
      <c r="E439" s="1" t="s">
        <v>33</v>
      </c>
      <c r="F439" s="1" t="s">
        <v>34</v>
      </c>
      <c r="G439" s="2">
        <v>45159</v>
      </c>
      <c r="H439" s="2"/>
      <c r="I439">
        <v>12</v>
      </c>
      <c r="J439">
        <v>8</v>
      </c>
      <c r="K439">
        <v>0</v>
      </c>
      <c r="L439" s="1" t="s">
        <v>26</v>
      </c>
      <c r="M439">
        <v>122.4</v>
      </c>
      <c r="N439">
        <v>312112.96999999997</v>
      </c>
      <c r="O439">
        <v>673527.25</v>
      </c>
      <c r="P439">
        <v>184648.15</v>
      </c>
      <c r="Q439" s="1" t="s">
        <v>1678</v>
      </c>
      <c r="R439">
        <v>20</v>
      </c>
      <c r="S439" s="1" t="s">
        <v>1679</v>
      </c>
      <c r="T439" t="b">
        <v>0</v>
      </c>
    </row>
    <row r="440" spans="1:20" x14ac:dyDescent="0.25">
      <c r="A440" s="1" t="s">
        <v>1680</v>
      </c>
      <c r="B440" s="1" t="s">
        <v>272</v>
      </c>
      <c r="C440" s="1" t="s">
        <v>1032</v>
      </c>
      <c r="D440" s="1" t="s">
        <v>268</v>
      </c>
      <c r="E440" s="1" t="s">
        <v>24</v>
      </c>
      <c r="F440" s="1" t="s">
        <v>25</v>
      </c>
      <c r="G440" s="2">
        <v>45317</v>
      </c>
      <c r="H440" s="2">
        <v>45322</v>
      </c>
      <c r="I440">
        <v>3</v>
      </c>
      <c r="J440">
        <v>5</v>
      </c>
      <c r="K440">
        <v>2</v>
      </c>
      <c r="L440" s="1" t="s">
        <v>26</v>
      </c>
      <c r="M440">
        <v>35.799999999999997</v>
      </c>
      <c r="N440">
        <v>77354.899999999994</v>
      </c>
      <c r="O440">
        <v>4492695.4400000004</v>
      </c>
      <c r="P440">
        <v>591773.68999999994</v>
      </c>
      <c r="Q440" s="1" t="s">
        <v>1681</v>
      </c>
      <c r="R440">
        <v>66</v>
      </c>
      <c r="S440" s="1" t="s">
        <v>1682</v>
      </c>
      <c r="T440" t="b">
        <v>0</v>
      </c>
    </row>
    <row r="441" spans="1:20" x14ac:dyDescent="0.25">
      <c r="A441" s="1" t="s">
        <v>1683</v>
      </c>
      <c r="B441" s="1" t="s">
        <v>242</v>
      </c>
      <c r="C441" s="1" t="s">
        <v>1311</v>
      </c>
      <c r="D441" s="1" t="s">
        <v>372</v>
      </c>
      <c r="E441" s="1" t="s">
        <v>24</v>
      </c>
      <c r="F441" s="1" t="s">
        <v>25</v>
      </c>
      <c r="G441" s="2">
        <v>44923</v>
      </c>
      <c r="H441" s="2">
        <v>44928</v>
      </c>
      <c r="I441">
        <v>3</v>
      </c>
      <c r="J441">
        <v>5</v>
      </c>
      <c r="K441">
        <v>2</v>
      </c>
      <c r="L441" s="1" t="s">
        <v>26</v>
      </c>
      <c r="M441">
        <v>59.4</v>
      </c>
      <c r="N441">
        <v>246126.94</v>
      </c>
      <c r="O441">
        <v>4695694.3600000003</v>
      </c>
      <c r="P441">
        <v>782419.4</v>
      </c>
      <c r="Q441" s="1" t="s">
        <v>1684</v>
      </c>
      <c r="R441">
        <v>72</v>
      </c>
      <c r="S441" s="1" t="s">
        <v>1685</v>
      </c>
      <c r="T441" t="b">
        <v>0</v>
      </c>
    </row>
    <row r="442" spans="1:20" x14ac:dyDescent="0.25">
      <c r="A442" s="1" t="s">
        <v>1686</v>
      </c>
      <c r="B442" s="1" t="s">
        <v>348</v>
      </c>
      <c r="C442" s="1" t="s">
        <v>946</v>
      </c>
      <c r="D442" s="1" t="s">
        <v>713</v>
      </c>
      <c r="E442" s="1" t="s">
        <v>24</v>
      </c>
      <c r="F442" s="1" t="s">
        <v>25</v>
      </c>
      <c r="G442" s="2">
        <v>45013</v>
      </c>
      <c r="H442" s="2">
        <v>45015</v>
      </c>
      <c r="I442">
        <v>3</v>
      </c>
      <c r="J442">
        <v>2</v>
      </c>
      <c r="K442">
        <v>0</v>
      </c>
      <c r="L442" s="1" t="s">
        <v>26</v>
      </c>
      <c r="M442">
        <v>22</v>
      </c>
      <c r="N442">
        <v>87579.34</v>
      </c>
      <c r="O442">
        <v>3766959.51</v>
      </c>
      <c r="P442">
        <v>445446.5</v>
      </c>
      <c r="Q442" s="1" t="s">
        <v>1687</v>
      </c>
      <c r="R442">
        <v>50</v>
      </c>
      <c r="S442" s="1" t="s">
        <v>1688</v>
      </c>
      <c r="T442" t="b">
        <v>1</v>
      </c>
    </row>
    <row r="443" spans="1:20" x14ac:dyDescent="0.25">
      <c r="A443" s="1" t="s">
        <v>1689</v>
      </c>
      <c r="B443" s="1" t="s">
        <v>328</v>
      </c>
      <c r="C443" s="1" t="s">
        <v>63</v>
      </c>
      <c r="D443" s="1" t="s">
        <v>48</v>
      </c>
      <c r="E443" s="1" t="s">
        <v>57</v>
      </c>
      <c r="F443" s="1" t="s">
        <v>25</v>
      </c>
      <c r="G443" s="2">
        <v>45577</v>
      </c>
      <c r="H443" s="2">
        <v>45608</v>
      </c>
      <c r="I443">
        <v>40</v>
      </c>
      <c r="J443">
        <v>31</v>
      </c>
      <c r="K443">
        <v>0</v>
      </c>
      <c r="L443" s="1" t="s">
        <v>26</v>
      </c>
      <c r="M443">
        <v>427.4</v>
      </c>
      <c r="N443">
        <v>972548.05</v>
      </c>
      <c r="O443">
        <v>2852593.35</v>
      </c>
      <c r="P443">
        <v>743360.79</v>
      </c>
      <c r="Q443" s="1" t="s">
        <v>1690</v>
      </c>
      <c r="R443">
        <v>31</v>
      </c>
      <c r="S443" s="1" t="s">
        <v>1691</v>
      </c>
      <c r="T443" t="b">
        <v>0</v>
      </c>
    </row>
    <row r="444" spans="1:20" x14ac:dyDescent="0.25">
      <c r="A444" s="1" t="s">
        <v>1692</v>
      </c>
      <c r="B444" s="1" t="s">
        <v>272</v>
      </c>
      <c r="C444" s="1" t="s">
        <v>1521</v>
      </c>
      <c r="D444" s="1" t="s">
        <v>293</v>
      </c>
      <c r="E444" s="1" t="s">
        <v>33</v>
      </c>
      <c r="F444" s="1" t="s">
        <v>25</v>
      </c>
      <c r="G444" s="2">
        <v>44946</v>
      </c>
      <c r="H444" s="2">
        <v>44953</v>
      </c>
      <c r="I444">
        <v>12</v>
      </c>
      <c r="J444">
        <v>7</v>
      </c>
      <c r="K444">
        <v>0</v>
      </c>
      <c r="L444" s="1" t="s">
        <v>26</v>
      </c>
      <c r="M444">
        <v>63.8</v>
      </c>
      <c r="N444">
        <v>193222.46</v>
      </c>
      <c r="O444">
        <v>3229142.6</v>
      </c>
      <c r="P444">
        <v>479988.17</v>
      </c>
      <c r="Q444" s="1" t="s">
        <v>1693</v>
      </c>
      <c r="R444">
        <v>44</v>
      </c>
      <c r="S444" s="1" t="s">
        <v>1694</v>
      </c>
      <c r="T444" t="b">
        <v>1</v>
      </c>
    </row>
    <row r="445" spans="1:20" x14ac:dyDescent="0.25">
      <c r="A445" s="1" t="s">
        <v>1695</v>
      </c>
      <c r="B445" s="1" t="s">
        <v>272</v>
      </c>
      <c r="C445" s="1" t="s">
        <v>757</v>
      </c>
      <c r="D445" s="1" t="s">
        <v>282</v>
      </c>
      <c r="E445" s="1" t="s">
        <v>33</v>
      </c>
      <c r="F445" s="1" t="s">
        <v>50</v>
      </c>
      <c r="G445" s="2">
        <v>44787</v>
      </c>
      <c r="H445" s="2"/>
      <c r="I445">
        <v>12</v>
      </c>
      <c r="J445">
        <v>16</v>
      </c>
      <c r="K445">
        <v>4</v>
      </c>
      <c r="L445" s="1" t="s">
        <v>42</v>
      </c>
      <c r="M445">
        <v>243.5</v>
      </c>
      <c r="N445">
        <v>525201.11</v>
      </c>
      <c r="O445">
        <v>3852886.95</v>
      </c>
      <c r="P445">
        <v>554991.17000000004</v>
      </c>
      <c r="Q445" s="1" t="s">
        <v>1696</v>
      </c>
      <c r="R445">
        <v>67</v>
      </c>
      <c r="S445" s="1" t="s">
        <v>1697</v>
      </c>
      <c r="T445" t="b">
        <v>0</v>
      </c>
    </row>
    <row r="446" spans="1:20" x14ac:dyDescent="0.25">
      <c r="A446" s="1" t="s">
        <v>1698</v>
      </c>
      <c r="B446" s="1" t="s">
        <v>117</v>
      </c>
      <c r="C446" s="1" t="s">
        <v>1699</v>
      </c>
      <c r="D446" s="1" t="s">
        <v>1022</v>
      </c>
      <c r="E446" s="1" t="s">
        <v>57</v>
      </c>
      <c r="F446" s="1" t="s">
        <v>25</v>
      </c>
      <c r="G446" s="2">
        <v>44736</v>
      </c>
      <c r="H446" s="2">
        <v>44786</v>
      </c>
      <c r="I446">
        <v>40</v>
      </c>
      <c r="J446">
        <v>50</v>
      </c>
      <c r="K446">
        <v>10</v>
      </c>
      <c r="L446" s="1" t="s">
        <v>26</v>
      </c>
      <c r="M446">
        <v>655.8</v>
      </c>
      <c r="N446">
        <v>2760559.79</v>
      </c>
      <c r="O446">
        <v>4079169.96</v>
      </c>
      <c r="P446">
        <v>894216</v>
      </c>
      <c r="Q446" s="1" t="s">
        <v>1700</v>
      </c>
      <c r="R446">
        <v>21</v>
      </c>
      <c r="S446" s="1" t="s">
        <v>1701</v>
      </c>
      <c r="T446" t="b">
        <v>1</v>
      </c>
    </row>
    <row r="447" spans="1:20" x14ac:dyDescent="0.25">
      <c r="A447" s="1" t="s">
        <v>1702</v>
      </c>
      <c r="B447" s="1" t="s">
        <v>471</v>
      </c>
      <c r="C447" s="1" t="s">
        <v>1049</v>
      </c>
      <c r="D447" s="1" t="s">
        <v>315</v>
      </c>
      <c r="E447" s="1" t="s">
        <v>49</v>
      </c>
      <c r="F447" s="1" t="s">
        <v>25</v>
      </c>
      <c r="G447" s="2">
        <v>44772</v>
      </c>
      <c r="H447" s="2">
        <v>44785</v>
      </c>
      <c r="I447">
        <v>25</v>
      </c>
      <c r="J447">
        <v>13</v>
      </c>
      <c r="K447">
        <v>0</v>
      </c>
      <c r="L447" s="1" t="s">
        <v>26</v>
      </c>
      <c r="M447">
        <v>131.80000000000001</v>
      </c>
      <c r="N447">
        <v>534910.98</v>
      </c>
      <c r="O447">
        <v>717756.78</v>
      </c>
      <c r="P447">
        <v>239530.99</v>
      </c>
      <c r="Q447" s="1" t="s">
        <v>1703</v>
      </c>
      <c r="R447">
        <v>38</v>
      </c>
      <c r="S447" s="1" t="s">
        <v>1704</v>
      </c>
      <c r="T447" t="b">
        <v>1</v>
      </c>
    </row>
    <row r="448" spans="1:20" x14ac:dyDescent="0.25">
      <c r="A448" s="1" t="s">
        <v>1705</v>
      </c>
      <c r="B448" s="1" t="s">
        <v>228</v>
      </c>
      <c r="C448" s="1" t="s">
        <v>1706</v>
      </c>
      <c r="D448" s="1" t="s">
        <v>56</v>
      </c>
      <c r="E448" s="1" t="s">
        <v>41</v>
      </c>
      <c r="F448" s="1" t="s">
        <v>34</v>
      </c>
      <c r="G448" s="2">
        <v>45349</v>
      </c>
      <c r="H448" s="2"/>
      <c r="I448">
        <v>9</v>
      </c>
      <c r="J448">
        <v>4</v>
      </c>
      <c r="K448">
        <v>0</v>
      </c>
      <c r="L448" s="1" t="s">
        <v>26</v>
      </c>
      <c r="M448">
        <v>39.6</v>
      </c>
      <c r="N448">
        <v>177212.92</v>
      </c>
      <c r="O448">
        <v>1130367.06</v>
      </c>
      <c r="P448">
        <v>255823.64</v>
      </c>
      <c r="Q448" s="1" t="s">
        <v>1707</v>
      </c>
      <c r="R448">
        <v>79</v>
      </c>
      <c r="S448" s="1" t="s">
        <v>1708</v>
      </c>
      <c r="T448" t="b">
        <v>1</v>
      </c>
    </row>
    <row r="449" spans="1:20" x14ac:dyDescent="0.25">
      <c r="A449" s="1" t="s">
        <v>1709</v>
      </c>
      <c r="B449" s="1" t="s">
        <v>253</v>
      </c>
      <c r="C449" s="1" t="s">
        <v>404</v>
      </c>
      <c r="D449" s="1" t="s">
        <v>622</v>
      </c>
      <c r="E449" s="1" t="s">
        <v>49</v>
      </c>
      <c r="F449" s="1" t="s">
        <v>25</v>
      </c>
      <c r="G449" s="2">
        <v>44650</v>
      </c>
      <c r="H449" s="2">
        <v>44665</v>
      </c>
      <c r="I449">
        <v>25</v>
      </c>
      <c r="J449">
        <v>15</v>
      </c>
      <c r="K449">
        <v>0</v>
      </c>
      <c r="L449" s="1" t="s">
        <v>26</v>
      </c>
      <c r="M449">
        <v>137.19999999999999</v>
      </c>
      <c r="N449">
        <v>370999.64</v>
      </c>
      <c r="O449">
        <v>915013.78</v>
      </c>
      <c r="P449">
        <v>183288.36</v>
      </c>
      <c r="Q449" s="1" t="s">
        <v>1710</v>
      </c>
      <c r="R449">
        <v>76</v>
      </c>
      <c r="S449" s="1" t="s">
        <v>1711</v>
      </c>
      <c r="T449" t="b">
        <v>1</v>
      </c>
    </row>
    <row r="450" spans="1:20" x14ac:dyDescent="0.25">
      <c r="A450" s="1" t="s">
        <v>1712</v>
      </c>
      <c r="B450" s="1" t="s">
        <v>471</v>
      </c>
      <c r="C450" s="1" t="s">
        <v>946</v>
      </c>
      <c r="D450" s="1" t="s">
        <v>758</v>
      </c>
      <c r="E450" s="1" t="s">
        <v>65</v>
      </c>
      <c r="F450" s="1" t="s">
        <v>34</v>
      </c>
      <c r="G450" s="2">
        <v>45117</v>
      </c>
      <c r="H450" s="2"/>
      <c r="I450">
        <v>4</v>
      </c>
      <c r="J450">
        <v>6</v>
      </c>
      <c r="K450">
        <v>1.5</v>
      </c>
      <c r="L450" s="1" t="s">
        <v>26</v>
      </c>
      <c r="M450">
        <v>91.2</v>
      </c>
      <c r="N450">
        <v>363791.55</v>
      </c>
      <c r="O450">
        <v>3559420.34</v>
      </c>
      <c r="P450">
        <v>422282.56</v>
      </c>
      <c r="Q450" s="1" t="s">
        <v>1713</v>
      </c>
      <c r="R450">
        <v>29</v>
      </c>
      <c r="S450" s="1" t="s">
        <v>1714</v>
      </c>
      <c r="T450" t="b">
        <v>0</v>
      </c>
    </row>
    <row r="451" spans="1:20" x14ac:dyDescent="0.25">
      <c r="A451" s="1" t="s">
        <v>1715</v>
      </c>
      <c r="B451" s="1" t="s">
        <v>70</v>
      </c>
      <c r="C451" s="1" t="s">
        <v>100</v>
      </c>
      <c r="D451" s="1" t="s">
        <v>541</v>
      </c>
      <c r="E451" s="1" t="s">
        <v>41</v>
      </c>
      <c r="F451" s="1" t="s">
        <v>50</v>
      </c>
      <c r="G451" s="2">
        <v>45476</v>
      </c>
      <c r="H451" s="2"/>
      <c r="I451">
        <v>9</v>
      </c>
      <c r="J451">
        <v>15</v>
      </c>
      <c r="K451">
        <v>6</v>
      </c>
      <c r="L451" s="1" t="s">
        <v>330</v>
      </c>
      <c r="M451">
        <v>235.7</v>
      </c>
      <c r="N451">
        <v>942694.96</v>
      </c>
      <c r="O451">
        <v>574688.53</v>
      </c>
      <c r="P451">
        <v>216599.39</v>
      </c>
      <c r="Q451" s="1" t="s">
        <v>1716</v>
      </c>
      <c r="R451">
        <v>44</v>
      </c>
      <c r="S451" s="1" t="s">
        <v>1717</v>
      </c>
      <c r="T451" t="b">
        <v>0</v>
      </c>
    </row>
    <row r="452" spans="1:20" x14ac:dyDescent="0.25">
      <c r="A452" s="1" t="s">
        <v>1718</v>
      </c>
      <c r="B452" s="1" t="s">
        <v>128</v>
      </c>
      <c r="C452" s="1" t="s">
        <v>1126</v>
      </c>
      <c r="D452" s="1" t="s">
        <v>202</v>
      </c>
      <c r="E452" s="1" t="s">
        <v>65</v>
      </c>
      <c r="F452" s="1" t="s">
        <v>25</v>
      </c>
      <c r="G452" s="2">
        <v>45215</v>
      </c>
      <c r="H452" s="2">
        <v>45223</v>
      </c>
      <c r="I452">
        <v>4</v>
      </c>
      <c r="J452">
        <v>8</v>
      </c>
      <c r="K452">
        <v>3.5</v>
      </c>
      <c r="L452" s="1" t="s">
        <v>193</v>
      </c>
      <c r="M452">
        <v>98.6</v>
      </c>
      <c r="N452">
        <v>287680.26</v>
      </c>
      <c r="O452">
        <v>3969572.94</v>
      </c>
      <c r="P452">
        <v>567689.88</v>
      </c>
      <c r="Q452" s="1" t="s">
        <v>1719</v>
      </c>
      <c r="R452">
        <v>51</v>
      </c>
      <c r="S452" s="1" t="s">
        <v>1720</v>
      </c>
      <c r="T452" t="b">
        <v>0</v>
      </c>
    </row>
    <row r="453" spans="1:20" x14ac:dyDescent="0.25">
      <c r="A453" s="1" t="s">
        <v>1721</v>
      </c>
      <c r="B453" s="1" t="s">
        <v>158</v>
      </c>
      <c r="C453" s="1" t="s">
        <v>436</v>
      </c>
      <c r="D453" s="1" t="s">
        <v>56</v>
      </c>
      <c r="E453" s="1" t="s">
        <v>49</v>
      </c>
      <c r="F453" s="1" t="s">
        <v>50</v>
      </c>
      <c r="G453" s="2">
        <v>45652</v>
      </c>
      <c r="H453" s="2"/>
      <c r="I453">
        <v>25</v>
      </c>
      <c r="J453">
        <v>17</v>
      </c>
      <c r="K453">
        <v>0</v>
      </c>
      <c r="L453" s="1" t="s">
        <v>26</v>
      </c>
      <c r="M453">
        <v>146.5</v>
      </c>
      <c r="N453">
        <v>493500.29</v>
      </c>
      <c r="O453">
        <v>2114985.4</v>
      </c>
      <c r="P453">
        <v>411586.81</v>
      </c>
      <c r="Q453" s="1" t="s">
        <v>1722</v>
      </c>
      <c r="R453">
        <v>20</v>
      </c>
      <c r="S453" s="1" t="s">
        <v>1723</v>
      </c>
      <c r="T453" t="b">
        <v>1</v>
      </c>
    </row>
    <row r="454" spans="1:20" x14ac:dyDescent="0.25">
      <c r="A454" s="1" t="s">
        <v>1724</v>
      </c>
      <c r="B454" s="1" t="s">
        <v>70</v>
      </c>
      <c r="C454" s="1" t="s">
        <v>229</v>
      </c>
      <c r="D454" s="1" t="s">
        <v>216</v>
      </c>
      <c r="E454" s="1" t="s">
        <v>24</v>
      </c>
      <c r="F454" s="1" t="s">
        <v>66</v>
      </c>
      <c r="G454" s="2">
        <v>44597</v>
      </c>
      <c r="H454" s="2"/>
      <c r="I454">
        <v>3</v>
      </c>
      <c r="J454">
        <v>4</v>
      </c>
      <c r="K454">
        <v>1</v>
      </c>
      <c r="L454" s="1" t="s">
        <v>26</v>
      </c>
      <c r="M454">
        <v>62</v>
      </c>
      <c r="N454">
        <v>265759.34999999998</v>
      </c>
      <c r="O454">
        <v>307291.18</v>
      </c>
      <c r="P454">
        <v>77324.429999999993</v>
      </c>
      <c r="Q454" s="1" t="s">
        <v>1725</v>
      </c>
      <c r="R454">
        <v>29</v>
      </c>
      <c r="S454" s="1" t="s">
        <v>1726</v>
      </c>
      <c r="T454" t="b">
        <v>0</v>
      </c>
    </row>
    <row r="455" spans="1:20" x14ac:dyDescent="0.25">
      <c r="A455" s="1" t="s">
        <v>1727</v>
      </c>
      <c r="B455" s="1" t="s">
        <v>286</v>
      </c>
      <c r="C455" s="1" t="s">
        <v>966</v>
      </c>
      <c r="D455" s="1" t="s">
        <v>107</v>
      </c>
      <c r="E455" s="1" t="s">
        <v>57</v>
      </c>
      <c r="F455" s="1" t="s">
        <v>50</v>
      </c>
      <c r="G455" s="2">
        <v>45058</v>
      </c>
      <c r="H455" s="2"/>
      <c r="I455">
        <v>40</v>
      </c>
      <c r="J455">
        <v>34</v>
      </c>
      <c r="K455">
        <v>0</v>
      </c>
      <c r="L455" s="1" t="s">
        <v>26</v>
      </c>
      <c r="M455">
        <v>158.80000000000001</v>
      </c>
      <c r="N455">
        <v>344923.69</v>
      </c>
      <c r="O455">
        <v>4810639.41</v>
      </c>
      <c r="P455">
        <v>878488.8</v>
      </c>
      <c r="Q455" s="1" t="s">
        <v>1728</v>
      </c>
      <c r="R455">
        <v>64</v>
      </c>
      <c r="S455" s="1" t="s">
        <v>1729</v>
      </c>
      <c r="T455" t="b">
        <v>1</v>
      </c>
    </row>
    <row r="456" spans="1:20" x14ac:dyDescent="0.25">
      <c r="A456" s="1" t="s">
        <v>1730</v>
      </c>
      <c r="B456" s="1" t="s">
        <v>471</v>
      </c>
      <c r="C456" s="1" t="s">
        <v>100</v>
      </c>
      <c r="D456" s="1" t="s">
        <v>350</v>
      </c>
      <c r="E456" s="1" t="s">
        <v>65</v>
      </c>
      <c r="F456" s="1" t="s">
        <v>50</v>
      </c>
      <c r="G456" s="2">
        <v>44713</v>
      </c>
      <c r="H456" s="2"/>
      <c r="I456">
        <v>4</v>
      </c>
      <c r="J456">
        <v>3</v>
      </c>
      <c r="K456">
        <v>0</v>
      </c>
      <c r="L456" s="1" t="s">
        <v>26</v>
      </c>
      <c r="M456">
        <v>13.1</v>
      </c>
      <c r="N456">
        <v>36498.69</v>
      </c>
      <c r="O456">
        <v>404176.53</v>
      </c>
      <c r="P456">
        <v>47463.6</v>
      </c>
      <c r="Q456" s="1" t="s">
        <v>1731</v>
      </c>
      <c r="R456">
        <v>67</v>
      </c>
      <c r="S456" s="1" t="s">
        <v>1732</v>
      </c>
      <c r="T456" t="b">
        <v>1</v>
      </c>
    </row>
    <row r="457" spans="1:20" x14ac:dyDescent="0.25">
      <c r="A457" s="1" t="s">
        <v>1733</v>
      </c>
      <c r="B457" s="1" t="s">
        <v>138</v>
      </c>
      <c r="C457" s="1" t="s">
        <v>71</v>
      </c>
      <c r="D457" s="1" t="s">
        <v>726</v>
      </c>
      <c r="E457" s="1" t="s">
        <v>41</v>
      </c>
      <c r="F457" s="1" t="s">
        <v>25</v>
      </c>
      <c r="G457" s="2">
        <v>45642</v>
      </c>
      <c r="H457" s="2">
        <v>45652</v>
      </c>
      <c r="I457">
        <v>9</v>
      </c>
      <c r="J457">
        <v>10</v>
      </c>
      <c r="K457">
        <v>1</v>
      </c>
      <c r="L457" s="1" t="s">
        <v>26</v>
      </c>
      <c r="M457">
        <v>89.4</v>
      </c>
      <c r="N457">
        <v>242346.4</v>
      </c>
      <c r="O457">
        <v>3909170.57</v>
      </c>
      <c r="P457">
        <v>703784.68</v>
      </c>
      <c r="Q457" s="1" t="s">
        <v>1734</v>
      </c>
      <c r="R457">
        <v>30</v>
      </c>
      <c r="S457" s="1" t="s">
        <v>1735</v>
      </c>
      <c r="T457" t="b">
        <v>1</v>
      </c>
    </row>
    <row r="458" spans="1:20" x14ac:dyDescent="0.25">
      <c r="A458" s="1" t="s">
        <v>1736</v>
      </c>
      <c r="B458" s="1" t="s">
        <v>117</v>
      </c>
      <c r="C458" s="1" t="s">
        <v>749</v>
      </c>
      <c r="D458" s="1" t="s">
        <v>655</v>
      </c>
      <c r="E458" s="1" t="s">
        <v>65</v>
      </c>
      <c r="F458" s="1" t="s">
        <v>34</v>
      </c>
      <c r="G458" s="2">
        <v>45373</v>
      </c>
      <c r="H458" s="2"/>
      <c r="I458">
        <v>4</v>
      </c>
      <c r="J458">
        <v>8</v>
      </c>
      <c r="K458">
        <v>3.5</v>
      </c>
      <c r="L458" s="1" t="s">
        <v>193</v>
      </c>
      <c r="M458">
        <v>85.2</v>
      </c>
      <c r="N458">
        <v>344182.37</v>
      </c>
      <c r="O458">
        <v>4596559.6500000004</v>
      </c>
      <c r="P458">
        <v>742036.43</v>
      </c>
      <c r="Q458" s="1" t="s">
        <v>1737</v>
      </c>
      <c r="R458">
        <v>44</v>
      </c>
      <c r="S458" s="1" t="s">
        <v>1738</v>
      </c>
      <c r="T458" t="b">
        <v>1</v>
      </c>
    </row>
    <row r="459" spans="1:20" x14ac:dyDescent="0.25">
      <c r="A459" s="1" t="s">
        <v>1739</v>
      </c>
      <c r="B459" s="1" t="s">
        <v>418</v>
      </c>
      <c r="C459" s="1" t="s">
        <v>1740</v>
      </c>
      <c r="D459" s="1" t="s">
        <v>758</v>
      </c>
      <c r="E459" s="1" t="s">
        <v>65</v>
      </c>
      <c r="F459" s="1" t="s">
        <v>66</v>
      </c>
      <c r="G459" s="2">
        <v>44995</v>
      </c>
      <c r="H459" s="2"/>
      <c r="I459">
        <v>4</v>
      </c>
      <c r="J459">
        <v>1</v>
      </c>
      <c r="K459">
        <v>0</v>
      </c>
      <c r="L459" s="1" t="s">
        <v>26</v>
      </c>
      <c r="M459">
        <v>6.6</v>
      </c>
      <c r="N459">
        <v>15153.42</v>
      </c>
      <c r="O459">
        <v>3732518.73</v>
      </c>
      <c r="P459">
        <v>584372.38</v>
      </c>
      <c r="Q459" s="1" t="s">
        <v>1741</v>
      </c>
      <c r="R459">
        <v>61</v>
      </c>
      <c r="S459" s="1" t="s">
        <v>1742</v>
      </c>
      <c r="T459" t="b">
        <v>0</v>
      </c>
    </row>
    <row r="460" spans="1:20" x14ac:dyDescent="0.25">
      <c r="A460" s="1" t="s">
        <v>1743</v>
      </c>
      <c r="B460" s="1" t="s">
        <v>54</v>
      </c>
      <c r="C460" s="1" t="s">
        <v>1099</v>
      </c>
      <c r="D460" s="1" t="s">
        <v>238</v>
      </c>
      <c r="E460" s="1" t="s">
        <v>57</v>
      </c>
      <c r="F460" s="1" t="s">
        <v>25</v>
      </c>
      <c r="G460" s="2">
        <v>45341</v>
      </c>
      <c r="H460" s="2">
        <v>45384</v>
      </c>
      <c r="I460">
        <v>40</v>
      </c>
      <c r="J460">
        <v>43</v>
      </c>
      <c r="K460">
        <v>3</v>
      </c>
      <c r="L460" s="1" t="s">
        <v>26</v>
      </c>
      <c r="M460">
        <v>505.7</v>
      </c>
      <c r="N460">
        <v>1176143.2</v>
      </c>
      <c r="O460">
        <v>550920.4</v>
      </c>
      <c r="P460">
        <v>186144.4</v>
      </c>
      <c r="Q460" s="1" t="s">
        <v>1744</v>
      </c>
      <c r="R460">
        <v>30</v>
      </c>
      <c r="S460" s="1" t="s">
        <v>1745</v>
      </c>
      <c r="T460" t="b">
        <v>1</v>
      </c>
    </row>
    <row r="461" spans="1:20" x14ac:dyDescent="0.25">
      <c r="A461" s="1" t="s">
        <v>1746</v>
      </c>
      <c r="B461" s="1" t="s">
        <v>185</v>
      </c>
      <c r="C461" s="1" t="s">
        <v>1347</v>
      </c>
      <c r="D461" s="1" t="s">
        <v>582</v>
      </c>
      <c r="E461" s="1" t="s">
        <v>57</v>
      </c>
      <c r="F461" s="1" t="s">
        <v>66</v>
      </c>
      <c r="G461" s="2">
        <v>44695</v>
      </c>
      <c r="H461" s="2"/>
      <c r="I461">
        <v>40</v>
      </c>
      <c r="J461">
        <v>20</v>
      </c>
      <c r="K461">
        <v>0</v>
      </c>
      <c r="L461" s="1" t="s">
        <v>26</v>
      </c>
      <c r="M461">
        <v>261.60000000000002</v>
      </c>
      <c r="N461">
        <v>689217.72</v>
      </c>
      <c r="O461">
        <v>2762939.97</v>
      </c>
      <c r="P461">
        <v>565597.71</v>
      </c>
      <c r="Q461" s="1" t="s">
        <v>1747</v>
      </c>
      <c r="R461">
        <v>56</v>
      </c>
      <c r="S461" s="1" t="s">
        <v>1748</v>
      </c>
      <c r="T461" t="b">
        <v>0</v>
      </c>
    </row>
    <row r="462" spans="1:20" x14ac:dyDescent="0.25">
      <c r="A462" s="1" t="s">
        <v>1749</v>
      </c>
      <c r="B462" s="1" t="s">
        <v>21</v>
      </c>
      <c r="C462" s="1" t="s">
        <v>1032</v>
      </c>
      <c r="D462" s="1" t="s">
        <v>176</v>
      </c>
      <c r="E462" s="1" t="s">
        <v>33</v>
      </c>
      <c r="F462" s="1" t="s">
        <v>25</v>
      </c>
      <c r="G462" s="2">
        <v>44655</v>
      </c>
      <c r="H462" s="2">
        <v>44662</v>
      </c>
      <c r="I462">
        <v>12</v>
      </c>
      <c r="J462">
        <v>7</v>
      </c>
      <c r="K462">
        <v>0</v>
      </c>
      <c r="L462" s="1" t="s">
        <v>26</v>
      </c>
      <c r="M462">
        <v>107.3</v>
      </c>
      <c r="N462">
        <v>195596.37</v>
      </c>
      <c r="O462">
        <v>1789679.23</v>
      </c>
      <c r="P462">
        <v>254592.18</v>
      </c>
      <c r="Q462" s="1" t="s">
        <v>1750</v>
      </c>
      <c r="R462">
        <v>64</v>
      </c>
      <c r="S462" s="1" t="s">
        <v>1751</v>
      </c>
      <c r="T462" t="b">
        <v>1</v>
      </c>
    </row>
    <row r="463" spans="1:20" x14ac:dyDescent="0.25">
      <c r="A463" s="1" t="s">
        <v>1752</v>
      </c>
      <c r="B463" s="1" t="s">
        <v>138</v>
      </c>
      <c r="C463" s="1" t="s">
        <v>234</v>
      </c>
      <c r="D463" s="1" t="s">
        <v>154</v>
      </c>
      <c r="E463" s="1" t="s">
        <v>65</v>
      </c>
      <c r="F463" s="1" t="s">
        <v>34</v>
      </c>
      <c r="G463" s="2">
        <v>45240</v>
      </c>
      <c r="H463" s="2"/>
      <c r="I463">
        <v>4</v>
      </c>
      <c r="J463">
        <v>2</v>
      </c>
      <c r="K463">
        <v>0</v>
      </c>
      <c r="L463" s="1" t="s">
        <v>26</v>
      </c>
      <c r="M463">
        <v>20.100000000000001</v>
      </c>
      <c r="N463">
        <v>78242.52</v>
      </c>
      <c r="O463">
        <v>128189.7</v>
      </c>
      <c r="P463">
        <v>37076.660000000003</v>
      </c>
      <c r="Q463" s="1" t="s">
        <v>1753</v>
      </c>
      <c r="R463">
        <v>29</v>
      </c>
      <c r="S463" s="1" t="s">
        <v>1754</v>
      </c>
      <c r="T463" t="b">
        <v>0</v>
      </c>
    </row>
    <row r="464" spans="1:20" x14ac:dyDescent="0.25">
      <c r="A464" s="1" t="s">
        <v>1755</v>
      </c>
      <c r="B464" s="1" t="s">
        <v>403</v>
      </c>
      <c r="C464" s="1" t="s">
        <v>211</v>
      </c>
      <c r="D464" s="1" t="s">
        <v>297</v>
      </c>
      <c r="E464" s="1" t="s">
        <v>41</v>
      </c>
      <c r="F464" s="1" t="s">
        <v>25</v>
      </c>
      <c r="G464" s="2">
        <v>44723</v>
      </c>
      <c r="H464" s="2">
        <v>44737</v>
      </c>
      <c r="I464">
        <v>9</v>
      </c>
      <c r="J464">
        <v>14</v>
      </c>
      <c r="K464">
        <v>5</v>
      </c>
      <c r="L464" s="1" t="s">
        <v>26</v>
      </c>
      <c r="M464">
        <v>94.9</v>
      </c>
      <c r="N464">
        <v>226075.28</v>
      </c>
      <c r="O464">
        <v>3410484.09</v>
      </c>
      <c r="P464">
        <v>414881.47</v>
      </c>
      <c r="Q464" s="1" t="s">
        <v>1756</v>
      </c>
      <c r="R464">
        <v>69</v>
      </c>
      <c r="S464" s="1" t="s">
        <v>1757</v>
      </c>
      <c r="T464" t="b">
        <v>0</v>
      </c>
    </row>
    <row r="465" spans="1:20" x14ac:dyDescent="0.25">
      <c r="A465" s="1" t="s">
        <v>1758</v>
      </c>
      <c r="B465" s="1" t="s">
        <v>76</v>
      </c>
      <c r="C465" s="1" t="s">
        <v>432</v>
      </c>
      <c r="D465" s="1" t="s">
        <v>306</v>
      </c>
      <c r="E465" s="1" t="s">
        <v>57</v>
      </c>
      <c r="F465" s="1" t="s">
        <v>25</v>
      </c>
      <c r="G465" s="2">
        <v>45478</v>
      </c>
      <c r="H465" s="2">
        <v>45516</v>
      </c>
      <c r="I465">
        <v>40</v>
      </c>
      <c r="J465">
        <v>38</v>
      </c>
      <c r="K465">
        <v>0</v>
      </c>
      <c r="L465" s="1" t="s">
        <v>26</v>
      </c>
      <c r="M465">
        <v>316.3</v>
      </c>
      <c r="N465">
        <v>1300332.04</v>
      </c>
      <c r="O465">
        <v>2160198.21</v>
      </c>
      <c r="P465">
        <v>654275.51</v>
      </c>
      <c r="Q465" s="1" t="s">
        <v>1759</v>
      </c>
      <c r="R465">
        <v>56</v>
      </c>
      <c r="S465" s="1" t="s">
        <v>1760</v>
      </c>
      <c r="T465" t="b">
        <v>0</v>
      </c>
    </row>
    <row r="466" spans="1:20" x14ac:dyDescent="0.25">
      <c r="A466" s="1" t="s">
        <v>1761</v>
      </c>
      <c r="B466" s="1" t="s">
        <v>174</v>
      </c>
      <c r="C466" s="1" t="s">
        <v>153</v>
      </c>
      <c r="D466" s="1" t="s">
        <v>154</v>
      </c>
      <c r="E466" s="1" t="s">
        <v>33</v>
      </c>
      <c r="F466" s="1" t="s">
        <v>25</v>
      </c>
      <c r="G466" s="2">
        <v>44761</v>
      </c>
      <c r="H466" s="2">
        <v>44779</v>
      </c>
      <c r="I466">
        <v>12</v>
      </c>
      <c r="J466">
        <v>18</v>
      </c>
      <c r="K466">
        <v>6</v>
      </c>
      <c r="L466" s="1" t="s">
        <v>330</v>
      </c>
      <c r="M466">
        <v>260</v>
      </c>
      <c r="N466">
        <v>852089.51</v>
      </c>
      <c r="O466">
        <v>4845046.12</v>
      </c>
      <c r="P466">
        <v>1014913.67</v>
      </c>
      <c r="Q466" s="1" t="s">
        <v>1762</v>
      </c>
      <c r="R466">
        <v>24</v>
      </c>
      <c r="S466" s="1" t="s">
        <v>1763</v>
      </c>
      <c r="T466" t="b">
        <v>0</v>
      </c>
    </row>
    <row r="467" spans="1:20" x14ac:dyDescent="0.25">
      <c r="A467" s="1" t="s">
        <v>1764</v>
      </c>
      <c r="B467" s="1" t="s">
        <v>70</v>
      </c>
      <c r="C467" s="1" t="s">
        <v>1765</v>
      </c>
      <c r="D467" s="1" t="s">
        <v>420</v>
      </c>
      <c r="E467" s="1" t="s">
        <v>24</v>
      </c>
      <c r="F467" s="1" t="s">
        <v>25</v>
      </c>
      <c r="G467" s="2">
        <v>45306</v>
      </c>
      <c r="H467" s="2">
        <v>45307</v>
      </c>
      <c r="I467">
        <v>3</v>
      </c>
      <c r="J467">
        <v>1</v>
      </c>
      <c r="K467">
        <v>0</v>
      </c>
      <c r="L467" s="1" t="s">
        <v>26</v>
      </c>
      <c r="M467">
        <v>6.2</v>
      </c>
      <c r="N467">
        <v>24082.28</v>
      </c>
      <c r="O467">
        <v>1297141.06</v>
      </c>
      <c r="P467">
        <v>194650.68</v>
      </c>
      <c r="Q467" s="1" t="s">
        <v>1766</v>
      </c>
      <c r="R467">
        <v>51</v>
      </c>
      <c r="S467" s="1" t="s">
        <v>1767</v>
      </c>
      <c r="T467" t="b">
        <v>1</v>
      </c>
    </row>
    <row r="468" spans="1:20" x14ac:dyDescent="0.25">
      <c r="A468" s="1" t="s">
        <v>1768</v>
      </c>
      <c r="B468" s="1" t="s">
        <v>348</v>
      </c>
      <c r="C468" s="1" t="s">
        <v>1769</v>
      </c>
      <c r="D468" s="1" t="s">
        <v>89</v>
      </c>
      <c r="E468" s="1" t="s">
        <v>24</v>
      </c>
      <c r="F468" s="1" t="s">
        <v>25</v>
      </c>
      <c r="G468" s="2">
        <v>45306</v>
      </c>
      <c r="H468" s="2">
        <v>45310</v>
      </c>
      <c r="I468">
        <v>3</v>
      </c>
      <c r="J468">
        <v>4</v>
      </c>
      <c r="K468">
        <v>1</v>
      </c>
      <c r="L468" s="1" t="s">
        <v>26</v>
      </c>
      <c r="M468">
        <v>57.1</v>
      </c>
      <c r="N468">
        <v>244175.49</v>
      </c>
      <c r="O468">
        <v>653631.35</v>
      </c>
      <c r="P468">
        <v>122706.16</v>
      </c>
      <c r="Q468" s="1" t="s">
        <v>1770</v>
      </c>
      <c r="R468">
        <v>46</v>
      </c>
      <c r="S468" s="1" t="s">
        <v>1771</v>
      </c>
      <c r="T468" t="b">
        <v>0</v>
      </c>
    </row>
    <row r="469" spans="1:20" x14ac:dyDescent="0.25">
      <c r="A469" s="1" t="s">
        <v>1772</v>
      </c>
      <c r="B469" s="1" t="s">
        <v>148</v>
      </c>
      <c r="C469" s="1" t="s">
        <v>234</v>
      </c>
      <c r="D469" s="1" t="s">
        <v>293</v>
      </c>
      <c r="E469" s="1" t="s">
        <v>41</v>
      </c>
      <c r="F469" s="1" t="s">
        <v>25</v>
      </c>
      <c r="G469" s="2">
        <v>45100</v>
      </c>
      <c r="H469" s="2">
        <v>45112</v>
      </c>
      <c r="I469">
        <v>9</v>
      </c>
      <c r="J469">
        <v>12</v>
      </c>
      <c r="K469">
        <v>3</v>
      </c>
      <c r="L469" s="1" t="s">
        <v>26</v>
      </c>
      <c r="M469">
        <v>188.8</v>
      </c>
      <c r="N469">
        <v>368926.23</v>
      </c>
      <c r="O469">
        <v>3955047.28</v>
      </c>
      <c r="P469">
        <v>734965.36</v>
      </c>
      <c r="Q469" s="1" t="s">
        <v>1773</v>
      </c>
      <c r="R469">
        <v>30</v>
      </c>
      <c r="S469" s="1" t="s">
        <v>1774</v>
      </c>
      <c r="T469" t="b">
        <v>0</v>
      </c>
    </row>
    <row r="470" spans="1:20" x14ac:dyDescent="0.25">
      <c r="A470" s="1" t="s">
        <v>1775</v>
      </c>
      <c r="B470" s="1" t="s">
        <v>148</v>
      </c>
      <c r="C470" s="1" t="s">
        <v>1776</v>
      </c>
      <c r="D470" s="1" t="s">
        <v>541</v>
      </c>
      <c r="E470" s="1" t="s">
        <v>57</v>
      </c>
      <c r="F470" s="1" t="s">
        <v>25</v>
      </c>
      <c r="G470" s="2">
        <v>44711</v>
      </c>
      <c r="H470" s="2">
        <v>44760</v>
      </c>
      <c r="I470">
        <v>40</v>
      </c>
      <c r="J470">
        <v>49</v>
      </c>
      <c r="K470">
        <v>9</v>
      </c>
      <c r="L470" s="1" t="s">
        <v>193</v>
      </c>
      <c r="M470">
        <v>589.5</v>
      </c>
      <c r="N470">
        <v>1616487.11</v>
      </c>
      <c r="O470">
        <v>2347758.6</v>
      </c>
      <c r="P470">
        <v>608557.6</v>
      </c>
      <c r="Q470" s="1" t="s">
        <v>1777</v>
      </c>
      <c r="R470">
        <v>47</v>
      </c>
      <c r="S470" s="1" t="s">
        <v>1778</v>
      </c>
      <c r="T470" t="b">
        <v>1</v>
      </c>
    </row>
    <row r="471" spans="1:20" x14ac:dyDescent="0.25">
      <c r="A471" s="1" t="s">
        <v>1779</v>
      </c>
      <c r="B471" s="1" t="s">
        <v>122</v>
      </c>
      <c r="C471" s="1" t="s">
        <v>1780</v>
      </c>
      <c r="D471" s="1" t="s">
        <v>350</v>
      </c>
      <c r="E471" s="1" t="s">
        <v>24</v>
      </c>
      <c r="F471" s="1" t="s">
        <v>25</v>
      </c>
      <c r="G471" s="2">
        <v>45384</v>
      </c>
      <c r="H471" s="2">
        <v>45387</v>
      </c>
      <c r="I471">
        <v>3</v>
      </c>
      <c r="J471">
        <v>3</v>
      </c>
      <c r="K471">
        <v>0</v>
      </c>
      <c r="L471" s="1" t="s">
        <v>26</v>
      </c>
      <c r="M471">
        <v>24.3</v>
      </c>
      <c r="N471">
        <v>83392.679999999993</v>
      </c>
      <c r="O471">
        <v>1071049.58</v>
      </c>
      <c r="P471">
        <v>201021.27</v>
      </c>
      <c r="Q471" s="1" t="s">
        <v>1781</v>
      </c>
      <c r="R471">
        <v>29</v>
      </c>
      <c r="S471" s="1" t="s">
        <v>1782</v>
      </c>
      <c r="T471" t="b">
        <v>1</v>
      </c>
    </row>
    <row r="472" spans="1:20" x14ac:dyDescent="0.25">
      <c r="A472" s="1" t="s">
        <v>1783</v>
      </c>
      <c r="B472" s="1" t="s">
        <v>54</v>
      </c>
      <c r="C472" s="1" t="s">
        <v>1321</v>
      </c>
      <c r="D472" s="1" t="s">
        <v>84</v>
      </c>
      <c r="E472" s="1" t="s">
        <v>49</v>
      </c>
      <c r="F472" s="1" t="s">
        <v>25</v>
      </c>
      <c r="G472" s="2">
        <v>45217</v>
      </c>
      <c r="H472" s="2">
        <v>45246</v>
      </c>
      <c r="I472">
        <v>25</v>
      </c>
      <c r="J472">
        <v>29</v>
      </c>
      <c r="K472">
        <v>4</v>
      </c>
      <c r="L472" s="1" t="s">
        <v>193</v>
      </c>
      <c r="M472">
        <v>385.4</v>
      </c>
      <c r="N472">
        <v>758652.46</v>
      </c>
      <c r="O472">
        <v>4044582.57</v>
      </c>
      <c r="P472">
        <v>859567.31</v>
      </c>
      <c r="Q472" s="1" t="s">
        <v>1784</v>
      </c>
      <c r="R472">
        <v>36</v>
      </c>
      <c r="S472" s="1" t="s">
        <v>1785</v>
      </c>
      <c r="T472" t="b">
        <v>1</v>
      </c>
    </row>
    <row r="473" spans="1:20" x14ac:dyDescent="0.25">
      <c r="A473" s="1" t="s">
        <v>1786</v>
      </c>
      <c r="B473" s="1" t="s">
        <v>242</v>
      </c>
      <c r="C473" s="1" t="s">
        <v>1570</v>
      </c>
      <c r="D473" s="1" t="s">
        <v>244</v>
      </c>
      <c r="E473" s="1" t="s">
        <v>57</v>
      </c>
      <c r="F473" s="1" t="s">
        <v>25</v>
      </c>
      <c r="G473" s="2">
        <v>44733</v>
      </c>
      <c r="H473" s="2">
        <v>44770</v>
      </c>
      <c r="I473">
        <v>40</v>
      </c>
      <c r="J473">
        <v>37</v>
      </c>
      <c r="K473">
        <v>0</v>
      </c>
      <c r="L473" s="1" t="s">
        <v>26</v>
      </c>
      <c r="M473">
        <v>327.9</v>
      </c>
      <c r="N473">
        <v>854346.52</v>
      </c>
      <c r="O473">
        <v>3563911.44</v>
      </c>
      <c r="P473">
        <v>826783.81</v>
      </c>
      <c r="Q473" s="1" t="s">
        <v>1787</v>
      </c>
      <c r="R473">
        <v>23</v>
      </c>
      <c r="S473" s="1" t="s">
        <v>1788</v>
      </c>
      <c r="T473" t="b">
        <v>1</v>
      </c>
    </row>
    <row r="474" spans="1:20" x14ac:dyDescent="0.25">
      <c r="A474" s="1" t="s">
        <v>1789</v>
      </c>
      <c r="B474" s="1" t="s">
        <v>286</v>
      </c>
      <c r="C474" s="1" t="s">
        <v>1790</v>
      </c>
      <c r="D474" s="1" t="s">
        <v>181</v>
      </c>
      <c r="E474" s="1" t="s">
        <v>24</v>
      </c>
      <c r="F474" s="1" t="s">
        <v>50</v>
      </c>
      <c r="G474" s="2">
        <v>45439</v>
      </c>
      <c r="H474" s="2"/>
      <c r="I474">
        <v>3</v>
      </c>
      <c r="J474">
        <v>3</v>
      </c>
      <c r="K474">
        <v>0</v>
      </c>
      <c r="L474" s="1" t="s">
        <v>26</v>
      </c>
      <c r="M474">
        <v>17.899999999999999</v>
      </c>
      <c r="N474">
        <v>49100.52</v>
      </c>
      <c r="O474">
        <v>2101314.38</v>
      </c>
      <c r="P474">
        <v>317293.59000000003</v>
      </c>
      <c r="Q474" s="1" t="s">
        <v>1791</v>
      </c>
      <c r="R474">
        <v>64</v>
      </c>
      <c r="S474" s="1" t="s">
        <v>1792</v>
      </c>
      <c r="T474" t="b">
        <v>0</v>
      </c>
    </row>
    <row r="475" spans="1:20" x14ac:dyDescent="0.25">
      <c r="A475" s="1" t="s">
        <v>1793</v>
      </c>
      <c r="B475" s="1" t="s">
        <v>545</v>
      </c>
      <c r="C475" s="1" t="s">
        <v>1794</v>
      </c>
      <c r="D475" s="1" t="s">
        <v>306</v>
      </c>
      <c r="E475" s="1" t="s">
        <v>49</v>
      </c>
      <c r="F475" s="1" t="s">
        <v>50</v>
      </c>
      <c r="G475" s="2">
        <v>44582</v>
      </c>
      <c r="H475" s="2"/>
      <c r="I475">
        <v>25</v>
      </c>
      <c r="J475">
        <v>38</v>
      </c>
      <c r="K475">
        <v>13</v>
      </c>
      <c r="L475" s="1" t="s">
        <v>101</v>
      </c>
      <c r="M475">
        <v>424.3</v>
      </c>
      <c r="N475">
        <v>852878.44</v>
      </c>
      <c r="O475">
        <v>3343132.82</v>
      </c>
      <c r="P475">
        <v>678290.41</v>
      </c>
      <c r="Q475" s="1" t="s">
        <v>1795</v>
      </c>
      <c r="R475">
        <v>77</v>
      </c>
      <c r="S475" s="1" t="s">
        <v>1796</v>
      </c>
      <c r="T475" t="b">
        <v>0</v>
      </c>
    </row>
    <row r="476" spans="1:20" x14ac:dyDescent="0.25">
      <c r="A476" s="1" t="s">
        <v>1797</v>
      </c>
      <c r="B476" s="1" t="s">
        <v>70</v>
      </c>
      <c r="C476" s="1" t="s">
        <v>463</v>
      </c>
      <c r="D476" s="1" t="s">
        <v>95</v>
      </c>
      <c r="E476" s="1" t="s">
        <v>65</v>
      </c>
      <c r="F476" s="1" t="s">
        <v>50</v>
      </c>
      <c r="G476" s="2">
        <v>44864</v>
      </c>
      <c r="H476" s="2"/>
      <c r="I476">
        <v>4</v>
      </c>
      <c r="J476">
        <v>6</v>
      </c>
      <c r="K476">
        <v>1.5</v>
      </c>
      <c r="L476" s="1" t="s">
        <v>26</v>
      </c>
      <c r="M476">
        <v>32.200000000000003</v>
      </c>
      <c r="N476">
        <v>142289.72</v>
      </c>
      <c r="O476">
        <v>2037869.32</v>
      </c>
      <c r="P476">
        <v>331534.98</v>
      </c>
      <c r="Q476" s="1" t="s">
        <v>1798</v>
      </c>
      <c r="R476">
        <v>57</v>
      </c>
      <c r="S476" s="1" t="s">
        <v>1799</v>
      </c>
      <c r="T476" t="b">
        <v>1</v>
      </c>
    </row>
    <row r="477" spans="1:20" x14ac:dyDescent="0.25">
      <c r="A477" s="1" t="s">
        <v>1800</v>
      </c>
      <c r="B477" s="1" t="s">
        <v>185</v>
      </c>
      <c r="C477" s="1" t="s">
        <v>1794</v>
      </c>
      <c r="D477" s="1" t="s">
        <v>56</v>
      </c>
      <c r="E477" s="1" t="s">
        <v>57</v>
      </c>
      <c r="F477" s="1" t="s">
        <v>34</v>
      </c>
      <c r="G477" s="2">
        <v>44636</v>
      </c>
      <c r="H477" s="2"/>
      <c r="I477">
        <v>40</v>
      </c>
      <c r="J477">
        <v>32</v>
      </c>
      <c r="K477">
        <v>0</v>
      </c>
      <c r="L477" s="1" t="s">
        <v>26</v>
      </c>
      <c r="M477">
        <v>289.3</v>
      </c>
      <c r="N477">
        <v>947293.41</v>
      </c>
      <c r="O477">
        <v>838844.13</v>
      </c>
      <c r="P477">
        <v>246050.55</v>
      </c>
      <c r="Q477" s="1" t="s">
        <v>1176</v>
      </c>
      <c r="R477">
        <v>72</v>
      </c>
      <c r="S477" s="1" t="s">
        <v>1801</v>
      </c>
      <c r="T477" t="b">
        <v>0</v>
      </c>
    </row>
    <row r="478" spans="1:20" x14ac:dyDescent="0.25">
      <c r="A478" s="1" t="s">
        <v>1802</v>
      </c>
      <c r="B478" s="1" t="s">
        <v>122</v>
      </c>
      <c r="C478" s="1" t="s">
        <v>697</v>
      </c>
      <c r="D478" s="1" t="s">
        <v>655</v>
      </c>
      <c r="E478" s="1" t="s">
        <v>24</v>
      </c>
      <c r="F478" s="1" t="s">
        <v>25</v>
      </c>
      <c r="G478" s="2">
        <v>44595</v>
      </c>
      <c r="H478" s="2">
        <v>44600</v>
      </c>
      <c r="I478">
        <v>3</v>
      </c>
      <c r="J478">
        <v>5</v>
      </c>
      <c r="K478">
        <v>2</v>
      </c>
      <c r="L478" s="1" t="s">
        <v>26</v>
      </c>
      <c r="M478">
        <v>69.099999999999994</v>
      </c>
      <c r="N478">
        <v>147653.74</v>
      </c>
      <c r="O478">
        <v>2500662.0099999998</v>
      </c>
      <c r="P478">
        <v>529411.07999999996</v>
      </c>
      <c r="Q478" s="1" t="s">
        <v>1803</v>
      </c>
      <c r="R478">
        <v>68</v>
      </c>
      <c r="S478" s="1" t="s">
        <v>1804</v>
      </c>
      <c r="T478" t="b">
        <v>0</v>
      </c>
    </row>
    <row r="479" spans="1:20" x14ac:dyDescent="0.25">
      <c r="A479" s="1" t="s">
        <v>1805</v>
      </c>
      <c r="B479" s="1" t="s">
        <v>286</v>
      </c>
      <c r="C479" s="1" t="s">
        <v>319</v>
      </c>
      <c r="D479" s="1" t="s">
        <v>410</v>
      </c>
      <c r="E479" s="1" t="s">
        <v>57</v>
      </c>
      <c r="F479" s="1" t="s">
        <v>25</v>
      </c>
      <c r="G479" s="2">
        <v>44794</v>
      </c>
      <c r="H479" s="2">
        <v>44841</v>
      </c>
      <c r="I479">
        <v>40</v>
      </c>
      <c r="J479">
        <v>47</v>
      </c>
      <c r="K479">
        <v>7</v>
      </c>
      <c r="L479" s="1" t="s">
        <v>101</v>
      </c>
      <c r="M479">
        <v>398.4</v>
      </c>
      <c r="N479">
        <v>1311705.96</v>
      </c>
      <c r="O479">
        <v>821659.12</v>
      </c>
      <c r="P479">
        <v>306324.81</v>
      </c>
      <c r="Q479" s="1" t="s">
        <v>1806</v>
      </c>
      <c r="R479">
        <v>59</v>
      </c>
      <c r="S479" s="1" t="s">
        <v>1807</v>
      </c>
      <c r="T479" t="b">
        <v>1</v>
      </c>
    </row>
    <row r="480" spans="1:20" x14ac:dyDescent="0.25">
      <c r="A480" s="1" t="s">
        <v>1808</v>
      </c>
      <c r="B480" s="1" t="s">
        <v>169</v>
      </c>
      <c r="C480" s="1" t="s">
        <v>129</v>
      </c>
      <c r="D480" s="1" t="s">
        <v>130</v>
      </c>
      <c r="E480" s="1" t="s">
        <v>33</v>
      </c>
      <c r="F480" s="1" t="s">
        <v>25</v>
      </c>
      <c r="G480" s="2">
        <v>44741</v>
      </c>
      <c r="H480" s="2">
        <v>44757</v>
      </c>
      <c r="I480">
        <v>12</v>
      </c>
      <c r="J480">
        <v>16</v>
      </c>
      <c r="K480">
        <v>4</v>
      </c>
      <c r="L480" s="1" t="s">
        <v>101</v>
      </c>
      <c r="M480">
        <v>67.2</v>
      </c>
      <c r="N480">
        <v>290152.21000000002</v>
      </c>
      <c r="O480">
        <v>527339.76</v>
      </c>
      <c r="P480">
        <v>143056.49</v>
      </c>
      <c r="Q480" s="1" t="s">
        <v>1809</v>
      </c>
      <c r="R480">
        <v>71</v>
      </c>
      <c r="S480" s="1" t="s">
        <v>1810</v>
      </c>
      <c r="T480" t="b">
        <v>1</v>
      </c>
    </row>
    <row r="481" spans="1:20" x14ac:dyDescent="0.25">
      <c r="A481" s="1" t="s">
        <v>1811</v>
      </c>
      <c r="B481" s="1" t="s">
        <v>418</v>
      </c>
      <c r="C481" s="1" t="s">
        <v>638</v>
      </c>
      <c r="D481" s="1" t="s">
        <v>181</v>
      </c>
      <c r="E481" s="1" t="s">
        <v>65</v>
      </c>
      <c r="F481" s="1" t="s">
        <v>25</v>
      </c>
      <c r="G481" s="2">
        <v>45155</v>
      </c>
      <c r="H481" s="2">
        <v>45159</v>
      </c>
      <c r="I481">
        <v>4</v>
      </c>
      <c r="J481">
        <v>4</v>
      </c>
      <c r="K481">
        <v>0</v>
      </c>
      <c r="L481" s="1" t="s">
        <v>26</v>
      </c>
      <c r="M481">
        <v>53.3</v>
      </c>
      <c r="N481">
        <v>175319.02</v>
      </c>
      <c r="O481">
        <v>581360.52</v>
      </c>
      <c r="P481">
        <v>140465.65</v>
      </c>
      <c r="Q481" s="1" t="s">
        <v>1812</v>
      </c>
      <c r="R481">
        <v>72</v>
      </c>
      <c r="S481" s="1" t="s">
        <v>1813</v>
      </c>
      <c r="T481" t="b">
        <v>0</v>
      </c>
    </row>
    <row r="482" spans="1:20" x14ac:dyDescent="0.25">
      <c r="A482" s="1" t="s">
        <v>1814</v>
      </c>
      <c r="B482" s="1" t="s">
        <v>629</v>
      </c>
      <c r="C482" s="1" t="s">
        <v>1013</v>
      </c>
      <c r="D482" s="1" t="s">
        <v>713</v>
      </c>
      <c r="E482" s="1" t="s">
        <v>24</v>
      </c>
      <c r="F482" s="1" t="s">
        <v>50</v>
      </c>
      <c r="G482" s="2">
        <v>44577</v>
      </c>
      <c r="H482" s="2"/>
      <c r="I482">
        <v>3</v>
      </c>
      <c r="J482">
        <v>2</v>
      </c>
      <c r="K482">
        <v>0</v>
      </c>
      <c r="L482" s="1" t="s">
        <v>26</v>
      </c>
      <c r="M482">
        <v>20.2</v>
      </c>
      <c r="N482">
        <v>50955.4</v>
      </c>
      <c r="O482">
        <v>3296822.39</v>
      </c>
      <c r="P482">
        <v>437687.36</v>
      </c>
      <c r="Q482" s="1" t="s">
        <v>1815</v>
      </c>
      <c r="R482">
        <v>78</v>
      </c>
      <c r="S482" s="1" t="s">
        <v>1816</v>
      </c>
      <c r="T482" t="b">
        <v>0</v>
      </c>
    </row>
    <row r="483" spans="1:20" x14ac:dyDescent="0.25">
      <c r="A483" s="1" t="s">
        <v>1817</v>
      </c>
      <c r="B483" s="1" t="s">
        <v>185</v>
      </c>
      <c r="C483" s="1" t="s">
        <v>762</v>
      </c>
      <c r="D483" s="1" t="s">
        <v>249</v>
      </c>
      <c r="E483" s="1" t="s">
        <v>33</v>
      </c>
      <c r="F483" s="1" t="s">
        <v>25</v>
      </c>
      <c r="G483" s="2">
        <v>44628</v>
      </c>
      <c r="H483" s="2">
        <v>44636</v>
      </c>
      <c r="I483">
        <v>12</v>
      </c>
      <c r="J483">
        <v>8</v>
      </c>
      <c r="K483">
        <v>0</v>
      </c>
      <c r="L483" s="1" t="s">
        <v>26</v>
      </c>
      <c r="M483">
        <v>107.9</v>
      </c>
      <c r="N483">
        <v>439161.41</v>
      </c>
      <c r="O483">
        <v>2599626.6</v>
      </c>
      <c r="P483">
        <v>529127.56999999995</v>
      </c>
      <c r="Q483" s="1" t="s">
        <v>1818</v>
      </c>
      <c r="R483">
        <v>55</v>
      </c>
      <c r="S483" s="1" t="s">
        <v>1819</v>
      </c>
      <c r="T483" t="b">
        <v>0</v>
      </c>
    </row>
    <row r="484" spans="1:20" x14ac:dyDescent="0.25">
      <c r="A484" s="1" t="s">
        <v>1820</v>
      </c>
      <c r="B484" s="1" t="s">
        <v>46</v>
      </c>
      <c r="C484" s="1" t="s">
        <v>419</v>
      </c>
      <c r="D484" s="1" t="s">
        <v>713</v>
      </c>
      <c r="E484" s="1" t="s">
        <v>49</v>
      </c>
      <c r="F484" s="1" t="s">
        <v>34</v>
      </c>
      <c r="G484" s="2">
        <v>44956</v>
      </c>
      <c r="H484" s="2"/>
      <c r="I484">
        <v>25</v>
      </c>
      <c r="J484">
        <v>22</v>
      </c>
      <c r="K484">
        <v>0</v>
      </c>
      <c r="L484" s="1" t="s">
        <v>26</v>
      </c>
      <c r="M484">
        <v>306.7</v>
      </c>
      <c r="N484">
        <v>1215634.72</v>
      </c>
      <c r="O484">
        <v>2893489.54</v>
      </c>
      <c r="P484">
        <v>463866.9</v>
      </c>
      <c r="Q484" s="1" t="s">
        <v>1821</v>
      </c>
      <c r="R484">
        <v>40</v>
      </c>
      <c r="S484" s="1" t="s">
        <v>1822</v>
      </c>
      <c r="T484" t="b">
        <v>1</v>
      </c>
    </row>
    <row r="485" spans="1:20" x14ac:dyDescent="0.25">
      <c r="A485" s="1" t="s">
        <v>1823</v>
      </c>
      <c r="B485" s="1" t="s">
        <v>99</v>
      </c>
      <c r="C485" s="1" t="s">
        <v>343</v>
      </c>
      <c r="D485" s="1" t="s">
        <v>758</v>
      </c>
      <c r="E485" s="1" t="s">
        <v>57</v>
      </c>
      <c r="F485" s="1" t="s">
        <v>25</v>
      </c>
      <c r="G485" s="2">
        <v>45457</v>
      </c>
      <c r="H485" s="2">
        <v>45485</v>
      </c>
      <c r="I485">
        <v>40</v>
      </c>
      <c r="J485">
        <v>28</v>
      </c>
      <c r="K485">
        <v>0</v>
      </c>
      <c r="L485" s="1" t="s">
        <v>26</v>
      </c>
      <c r="M485">
        <v>281.39999999999998</v>
      </c>
      <c r="N485">
        <v>986276.3</v>
      </c>
      <c r="O485">
        <v>3923563.66</v>
      </c>
      <c r="P485">
        <v>904898.59</v>
      </c>
      <c r="Q485" s="1" t="s">
        <v>1824</v>
      </c>
      <c r="R485">
        <v>33</v>
      </c>
      <c r="S485" s="1" t="s">
        <v>1825</v>
      </c>
      <c r="T485" t="b">
        <v>1</v>
      </c>
    </row>
    <row r="486" spans="1:20" x14ac:dyDescent="0.25">
      <c r="A486" s="1" t="s">
        <v>1826</v>
      </c>
      <c r="B486" s="1" t="s">
        <v>128</v>
      </c>
      <c r="C486" s="1" t="s">
        <v>1827</v>
      </c>
      <c r="D486" s="1" t="s">
        <v>288</v>
      </c>
      <c r="E486" s="1" t="s">
        <v>33</v>
      </c>
      <c r="F486" s="1" t="s">
        <v>25</v>
      </c>
      <c r="G486" s="2">
        <v>44753</v>
      </c>
      <c r="H486" s="2">
        <v>44759</v>
      </c>
      <c r="I486">
        <v>12</v>
      </c>
      <c r="J486">
        <v>6</v>
      </c>
      <c r="K486">
        <v>0</v>
      </c>
      <c r="L486" s="1" t="s">
        <v>26</v>
      </c>
      <c r="M486">
        <v>69.3</v>
      </c>
      <c r="N486">
        <v>235750.15</v>
      </c>
      <c r="O486">
        <v>148813.49</v>
      </c>
      <c r="P486">
        <v>65667.16</v>
      </c>
      <c r="Q486" s="1" t="s">
        <v>1828</v>
      </c>
      <c r="R486">
        <v>66</v>
      </c>
      <c r="S486" s="1" t="s">
        <v>1829</v>
      </c>
      <c r="T486" t="b">
        <v>1</v>
      </c>
    </row>
    <row r="487" spans="1:20" x14ac:dyDescent="0.25">
      <c r="A487" s="1" t="s">
        <v>1830</v>
      </c>
      <c r="B487" s="1" t="s">
        <v>128</v>
      </c>
      <c r="C487" s="1" t="s">
        <v>1486</v>
      </c>
      <c r="D487" s="1" t="s">
        <v>187</v>
      </c>
      <c r="E487" s="1" t="s">
        <v>41</v>
      </c>
      <c r="F487" s="1" t="s">
        <v>34</v>
      </c>
      <c r="G487" s="2">
        <v>45491</v>
      </c>
      <c r="H487" s="2"/>
      <c r="I487">
        <v>9</v>
      </c>
      <c r="J487">
        <v>15</v>
      </c>
      <c r="K487">
        <v>6</v>
      </c>
      <c r="L487" s="1" t="s">
        <v>42</v>
      </c>
      <c r="M487">
        <v>124.5</v>
      </c>
      <c r="N487">
        <v>304682.51</v>
      </c>
      <c r="O487">
        <v>4490567.1100000003</v>
      </c>
      <c r="P487">
        <v>621906.72</v>
      </c>
      <c r="Q487" s="1" t="s">
        <v>1831</v>
      </c>
      <c r="R487">
        <v>23</v>
      </c>
      <c r="S487" s="1" t="s">
        <v>1832</v>
      </c>
      <c r="T487" t="b">
        <v>0</v>
      </c>
    </row>
    <row r="488" spans="1:20" x14ac:dyDescent="0.25">
      <c r="A488" s="1" t="s">
        <v>1833</v>
      </c>
      <c r="B488" s="1" t="s">
        <v>163</v>
      </c>
      <c r="C488" s="1" t="s">
        <v>1834</v>
      </c>
      <c r="D488" s="1" t="s">
        <v>713</v>
      </c>
      <c r="E488" s="1" t="s">
        <v>57</v>
      </c>
      <c r="F488" s="1" t="s">
        <v>34</v>
      </c>
      <c r="G488" s="2">
        <v>44731</v>
      </c>
      <c r="H488" s="2"/>
      <c r="I488">
        <v>40</v>
      </c>
      <c r="J488">
        <v>21</v>
      </c>
      <c r="K488">
        <v>0</v>
      </c>
      <c r="L488" s="1" t="s">
        <v>26</v>
      </c>
      <c r="M488">
        <v>244.9</v>
      </c>
      <c r="N488">
        <v>823906.63</v>
      </c>
      <c r="O488">
        <v>526061.96</v>
      </c>
      <c r="P488">
        <v>196977.66</v>
      </c>
      <c r="Q488" s="1" t="s">
        <v>1835</v>
      </c>
      <c r="R488">
        <v>31</v>
      </c>
      <c r="S488" s="1" t="s">
        <v>1836</v>
      </c>
      <c r="T488" t="b">
        <v>1</v>
      </c>
    </row>
    <row r="489" spans="1:20" x14ac:dyDescent="0.25">
      <c r="A489" s="1" t="s">
        <v>1837</v>
      </c>
      <c r="B489" s="1" t="s">
        <v>82</v>
      </c>
      <c r="C489" s="1" t="s">
        <v>118</v>
      </c>
      <c r="D489" s="1" t="s">
        <v>89</v>
      </c>
      <c r="E489" s="1" t="s">
        <v>65</v>
      </c>
      <c r="F489" s="1" t="s">
        <v>50</v>
      </c>
      <c r="G489" s="2">
        <v>44720</v>
      </c>
      <c r="H489" s="2"/>
      <c r="I489">
        <v>4</v>
      </c>
      <c r="J489">
        <v>6</v>
      </c>
      <c r="K489">
        <v>1.5</v>
      </c>
      <c r="L489" s="1" t="s">
        <v>26</v>
      </c>
      <c r="M489">
        <v>89.7</v>
      </c>
      <c r="N489">
        <v>211828.85</v>
      </c>
      <c r="O489">
        <v>512351.88</v>
      </c>
      <c r="P489">
        <v>130022.41</v>
      </c>
      <c r="Q489" s="1" t="s">
        <v>1838</v>
      </c>
      <c r="R489">
        <v>46</v>
      </c>
      <c r="S489" s="1" t="s">
        <v>1839</v>
      </c>
      <c r="T489" t="b">
        <v>0</v>
      </c>
    </row>
    <row r="490" spans="1:20" x14ac:dyDescent="0.25">
      <c r="A490" s="1" t="s">
        <v>1840</v>
      </c>
      <c r="B490" s="1" t="s">
        <v>228</v>
      </c>
      <c r="C490" s="1" t="s">
        <v>1664</v>
      </c>
      <c r="D490" s="1" t="s">
        <v>350</v>
      </c>
      <c r="E490" s="1" t="s">
        <v>41</v>
      </c>
      <c r="F490" s="1" t="s">
        <v>25</v>
      </c>
      <c r="G490" s="2">
        <v>45204</v>
      </c>
      <c r="H490" s="2">
        <v>45219</v>
      </c>
      <c r="I490">
        <v>9</v>
      </c>
      <c r="J490">
        <v>15</v>
      </c>
      <c r="K490">
        <v>6</v>
      </c>
      <c r="L490" s="1" t="s">
        <v>58</v>
      </c>
      <c r="M490">
        <v>89</v>
      </c>
      <c r="N490">
        <v>231990.82</v>
      </c>
      <c r="O490">
        <v>4519154.47</v>
      </c>
      <c r="P490">
        <v>788531.62</v>
      </c>
      <c r="Q490" s="1" t="s">
        <v>1841</v>
      </c>
      <c r="R490">
        <v>59</v>
      </c>
      <c r="S490" s="1" t="s">
        <v>1842</v>
      </c>
      <c r="T490" t="b">
        <v>1</v>
      </c>
    </row>
    <row r="491" spans="1:20" x14ac:dyDescent="0.25">
      <c r="A491" s="1" t="s">
        <v>1843</v>
      </c>
      <c r="B491" s="1" t="s">
        <v>348</v>
      </c>
      <c r="C491" s="1" t="s">
        <v>273</v>
      </c>
      <c r="D491" s="1" t="s">
        <v>713</v>
      </c>
      <c r="E491" s="1" t="s">
        <v>49</v>
      </c>
      <c r="F491" s="1" t="s">
        <v>34</v>
      </c>
      <c r="G491" s="2">
        <v>44886</v>
      </c>
      <c r="H491" s="2"/>
      <c r="I491">
        <v>25</v>
      </c>
      <c r="J491">
        <v>18</v>
      </c>
      <c r="K491">
        <v>0</v>
      </c>
      <c r="L491" s="1" t="s">
        <v>26</v>
      </c>
      <c r="M491">
        <v>272.10000000000002</v>
      </c>
      <c r="N491">
        <v>631457.63</v>
      </c>
      <c r="O491">
        <v>157480.66</v>
      </c>
      <c r="P491">
        <v>80711.399999999994</v>
      </c>
      <c r="Q491" s="1" t="s">
        <v>1844</v>
      </c>
      <c r="R491">
        <v>33</v>
      </c>
      <c r="S491" s="1" t="s">
        <v>1845</v>
      </c>
      <c r="T491" t="b">
        <v>1</v>
      </c>
    </row>
    <row r="492" spans="1:20" x14ac:dyDescent="0.25">
      <c r="A492" s="1" t="s">
        <v>1846</v>
      </c>
      <c r="B492" s="1" t="s">
        <v>99</v>
      </c>
      <c r="C492" s="1" t="s">
        <v>229</v>
      </c>
      <c r="D492" s="1" t="s">
        <v>216</v>
      </c>
      <c r="E492" s="1" t="s">
        <v>57</v>
      </c>
      <c r="F492" s="1" t="s">
        <v>25</v>
      </c>
      <c r="G492" s="2">
        <v>45232</v>
      </c>
      <c r="H492" s="2">
        <v>45257</v>
      </c>
      <c r="I492">
        <v>40</v>
      </c>
      <c r="J492">
        <v>25</v>
      </c>
      <c r="K492">
        <v>0</v>
      </c>
      <c r="L492" s="1" t="s">
        <v>26</v>
      </c>
      <c r="M492">
        <v>318.3</v>
      </c>
      <c r="N492">
        <v>1380654.86</v>
      </c>
      <c r="O492">
        <v>1345276.76</v>
      </c>
      <c r="P492">
        <v>403867.18</v>
      </c>
      <c r="Q492" s="1" t="s">
        <v>1847</v>
      </c>
      <c r="R492">
        <v>67</v>
      </c>
      <c r="S492" s="1" t="s">
        <v>1848</v>
      </c>
      <c r="T492" t="b">
        <v>0</v>
      </c>
    </row>
    <row r="493" spans="1:20" x14ac:dyDescent="0.25">
      <c r="A493" s="1" t="s">
        <v>1849</v>
      </c>
      <c r="B493" s="1" t="s">
        <v>220</v>
      </c>
      <c r="C493" s="1" t="s">
        <v>1340</v>
      </c>
      <c r="D493" s="1" t="s">
        <v>154</v>
      </c>
      <c r="E493" s="1" t="s">
        <v>49</v>
      </c>
      <c r="F493" s="1" t="s">
        <v>25</v>
      </c>
      <c r="G493" s="2">
        <v>45455</v>
      </c>
      <c r="H493" s="2">
        <v>45494</v>
      </c>
      <c r="I493">
        <v>25</v>
      </c>
      <c r="J493">
        <v>39</v>
      </c>
      <c r="K493">
        <v>14</v>
      </c>
      <c r="L493" s="1" t="s">
        <v>26</v>
      </c>
      <c r="M493">
        <v>246.3</v>
      </c>
      <c r="N493">
        <v>558359.81000000006</v>
      </c>
      <c r="O493">
        <v>3438416.71</v>
      </c>
      <c r="P493">
        <v>754317.58</v>
      </c>
      <c r="Q493" s="1" t="s">
        <v>1850</v>
      </c>
      <c r="R493">
        <v>70</v>
      </c>
      <c r="S493" s="1" t="s">
        <v>1851</v>
      </c>
      <c r="T493" t="b">
        <v>1</v>
      </c>
    </row>
    <row r="494" spans="1:20" x14ac:dyDescent="0.25">
      <c r="A494" s="1" t="s">
        <v>1852</v>
      </c>
      <c r="B494" s="1" t="s">
        <v>358</v>
      </c>
      <c r="C494" s="1" t="s">
        <v>982</v>
      </c>
      <c r="D494" s="1" t="s">
        <v>713</v>
      </c>
      <c r="E494" s="1" t="s">
        <v>65</v>
      </c>
      <c r="F494" s="1" t="s">
        <v>25</v>
      </c>
      <c r="G494" s="2">
        <v>45561</v>
      </c>
      <c r="H494" s="2">
        <v>45568</v>
      </c>
      <c r="I494">
        <v>4</v>
      </c>
      <c r="J494">
        <v>7</v>
      </c>
      <c r="K494">
        <v>2.5</v>
      </c>
      <c r="L494" s="1" t="s">
        <v>26</v>
      </c>
      <c r="M494">
        <v>78.099999999999994</v>
      </c>
      <c r="N494">
        <v>197867.88</v>
      </c>
      <c r="O494">
        <v>1600555.95</v>
      </c>
      <c r="P494">
        <v>199186.07</v>
      </c>
      <c r="Q494" s="1" t="s">
        <v>1853</v>
      </c>
      <c r="R494">
        <v>60</v>
      </c>
      <c r="S494" s="1" t="s">
        <v>1854</v>
      </c>
      <c r="T494" t="b">
        <v>1</v>
      </c>
    </row>
    <row r="495" spans="1:20" x14ac:dyDescent="0.25">
      <c r="A495" s="1" t="s">
        <v>1855</v>
      </c>
      <c r="B495" s="1" t="s">
        <v>54</v>
      </c>
      <c r="C495" s="1" t="s">
        <v>273</v>
      </c>
      <c r="D495" s="1" t="s">
        <v>344</v>
      </c>
      <c r="E495" s="1" t="s">
        <v>57</v>
      </c>
      <c r="F495" s="1" t="s">
        <v>25</v>
      </c>
      <c r="G495" s="2">
        <v>45482</v>
      </c>
      <c r="H495" s="2">
        <v>45534</v>
      </c>
      <c r="I495">
        <v>40</v>
      </c>
      <c r="J495">
        <v>52</v>
      </c>
      <c r="K495">
        <v>12</v>
      </c>
      <c r="L495" s="1" t="s">
        <v>26</v>
      </c>
      <c r="M495">
        <v>365.9</v>
      </c>
      <c r="N495">
        <v>1063481.8799999999</v>
      </c>
      <c r="O495">
        <v>3023371.66</v>
      </c>
      <c r="P495">
        <v>767205.44</v>
      </c>
      <c r="Q495" s="1" t="s">
        <v>1856</v>
      </c>
      <c r="R495">
        <v>71</v>
      </c>
      <c r="S495" s="1" t="s">
        <v>1857</v>
      </c>
      <c r="T495" t="b">
        <v>0</v>
      </c>
    </row>
    <row r="496" spans="1:20" x14ac:dyDescent="0.25">
      <c r="A496" s="1" t="s">
        <v>1858</v>
      </c>
      <c r="B496" s="1" t="s">
        <v>272</v>
      </c>
      <c r="C496" s="1" t="s">
        <v>1595</v>
      </c>
      <c r="D496" s="1" t="s">
        <v>372</v>
      </c>
      <c r="E496" s="1" t="s">
        <v>57</v>
      </c>
      <c r="F496" s="1" t="s">
        <v>25</v>
      </c>
      <c r="G496" s="2">
        <v>45441</v>
      </c>
      <c r="H496" s="2">
        <v>45476</v>
      </c>
      <c r="I496">
        <v>40</v>
      </c>
      <c r="J496">
        <v>35</v>
      </c>
      <c r="K496">
        <v>0</v>
      </c>
      <c r="L496" s="1" t="s">
        <v>26</v>
      </c>
      <c r="M496">
        <v>170.5</v>
      </c>
      <c r="N496">
        <v>609329.06000000006</v>
      </c>
      <c r="O496">
        <v>1866101.78</v>
      </c>
      <c r="P496">
        <v>440506.52</v>
      </c>
      <c r="Q496" s="1" t="s">
        <v>1859</v>
      </c>
      <c r="R496">
        <v>49</v>
      </c>
      <c r="S496" s="1" t="s">
        <v>1860</v>
      </c>
      <c r="T496" t="b">
        <v>0</v>
      </c>
    </row>
    <row r="497" spans="1:20" x14ac:dyDescent="0.25">
      <c r="A497" s="1" t="s">
        <v>1861</v>
      </c>
      <c r="B497" s="1" t="s">
        <v>82</v>
      </c>
      <c r="C497" s="1" t="s">
        <v>630</v>
      </c>
      <c r="D497" s="1" t="s">
        <v>713</v>
      </c>
      <c r="E497" s="1" t="s">
        <v>49</v>
      </c>
      <c r="F497" s="1" t="s">
        <v>25</v>
      </c>
      <c r="G497" s="2">
        <v>45038</v>
      </c>
      <c r="H497" s="2">
        <v>45060</v>
      </c>
      <c r="I497">
        <v>25</v>
      </c>
      <c r="J497">
        <v>22</v>
      </c>
      <c r="K497">
        <v>0</v>
      </c>
      <c r="L497" s="1" t="s">
        <v>26</v>
      </c>
      <c r="M497">
        <v>162.9</v>
      </c>
      <c r="N497">
        <v>386541</v>
      </c>
      <c r="O497">
        <v>1095142.46</v>
      </c>
      <c r="P497">
        <v>231284.67</v>
      </c>
      <c r="Q497" s="1" t="s">
        <v>1862</v>
      </c>
      <c r="R497">
        <v>61</v>
      </c>
      <c r="S497" s="1" t="s">
        <v>1863</v>
      </c>
      <c r="T497" t="b">
        <v>0</v>
      </c>
    </row>
    <row r="498" spans="1:20" x14ac:dyDescent="0.25">
      <c r="A498" s="1" t="s">
        <v>1864</v>
      </c>
      <c r="B498" s="1" t="s">
        <v>169</v>
      </c>
      <c r="C498" s="1" t="s">
        <v>903</v>
      </c>
      <c r="D498" s="1" t="s">
        <v>72</v>
      </c>
      <c r="E498" s="1" t="s">
        <v>24</v>
      </c>
      <c r="F498" s="1" t="s">
        <v>50</v>
      </c>
      <c r="G498" s="2">
        <v>45453</v>
      </c>
      <c r="H498" s="2"/>
      <c r="I498">
        <v>3</v>
      </c>
      <c r="J498">
        <v>3</v>
      </c>
      <c r="K498">
        <v>0</v>
      </c>
      <c r="L498" s="1" t="s">
        <v>26</v>
      </c>
      <c r="M498">
        <v>19.100000000000001</v>
      </c>
      <c r="N498">
        <v>36940.949999999997</v>
      </c>
      <c r="O498">
        <v>2474731.9700000002</v>
      </c>
      <c r="P498">
        <v>262919.87</v>
      </c>
      <c r="Q498" s="1" t="s">
        <v>897</v>
      </c>
      <c r="R498">
        <v>40</v>
      </c>
      <c r="S498" s="1" t="s">
        <v>1865</v>
      </c>
      <c r="T498" t="b">
        <v>0</v>
      </c>
    </row>
    <row r="499" spans="1:20" x14ac:dyDescent="0.25">
      <c r="A499" s="1" t="s">
        <v>1866</v>
      </c>
      <c r="B499" s="1" t="s">
        <v>21</v>
      </c>
      <c r="C499" s="1" t="s">
        <v>201</v>
      </c>
      <c r="D499" s="1" t="s">
        <v>713</v>
      </c>
      <c r="E499" s="1" t="s">
        <v>49</v>
      </c>
      <c r="F499" s="1" t="s">
        <v>25</v>
      </c>
      <c r="G499" s="2">
        <v>45046</v>
      </c>
      <c r="H499" s="2">
        <v>45065</v>
      </c>
      <c r="I499">
        <v>25</v>
      </c>
      <c r="J499">
        <v>19</v>
      </c>
      <c r="K499">
        <v>0</v>
      </c>
      <c r="L499" s="1" t="s">
        <v>26</v>
      </c>
      <c r="M499">
        <v>80.099999999999994</v>
      </c>
      <c r="N499">
        <v>313585.51</v>
      </c>
      <c r="O499">
        <v>2883036.11</v>
      </c>
      <c r="P499">
        <v>321147.64</v>
      </c>
      <c r="Q499" s="1" t="s">
        <v>1867</v>
      </c>
      <c r="R499">
        <v>54</v>
      </c>
      <c r="S499" s="1" t="s">
        <v>1868</v>
      </c>
      <c r="T499" t="b">
        <v>1</v>
      </c>
    </row>
    <row r="500" spans="1:20" x14ac:dyDescent="0.25">
      <c r="A500" s="1" t="s">
        <v>1869</v>
      </c>
      <c r="B500" s="1" t="s">
        <v>158</v>
      </c>
      <c r="C500" s="1" t="s">
        <v>305</v>
      </c>
      <c r="D500" s="1" t="s">
        <v>541</v>
      </c>
      <c r="E500" s="1" t="s">
        <v>41</v>
      </c>
      <c r="F500" s="1" t="s">
        <v>25</v>
      </c>
      <c r="G500" s="2">
        <v>45252</v>
      </c>
      <c r="H500" s="2">
        <v>45256</v>
      </c>
      <c r="I500">
        <v>9</v>
      </c>
      <c r="J500">
        <v>4</v>
      </c>
      <c r="K500">
        <v>0</v>
      </c>
      <c r="L500" s="1" t="s">
        <v>26</v>
      </c>
      <c r="M500">
        <v>38.6</v>
      </c>
      <c r="N500">
        <v>155966.99</v>
      </c>
      <c r="O500">
        <v>2081243.56</v>
      </c>
      <c r="P500">
        <v>291060.71000000002</v>
      </c>
      <c r="Q500" s="1" t="s">
        <v>1870</v>
      </c>
      <c r="R500">
        <v>40</v>
      </c>
      <c r="S500" s="1" t="s">
        <v>1871</v>
      </c>
      <c r="T500" t="b">
        <v>0</v>
      </c>
    </row>
    <row r="501" spans="1:20" x14ac:dyDescent="0.25">
      <c r="A501" s="1" t="s">
        <v>1872</v>
      </c>
      <c r="B501" s="1" t="s">
        <v>62</v>
      </c>
      <c r="C501" s="1" t="s">
        <v>586</v>
      </c>
      <c r="D501" s="1" t="s">
        <v>176</v>
      </c>
      <c r="E501" s="1" t="s">
        <v>65</v>
      </c>
      <c r="F501" s="1" t="s">
        <v>25</v>
      </c>
      <c r="G501" s="2">
        <v>44658</v>
      </c>
      <c r="H501" s="2">
        <v>44666</v>
      </c>
      <c r="I501">
        <v>4</v>
      </c>
      <c r="J501">
        <v>8</v>
      </c>
      <c r="K501">
        <v>3.5</v>
      </c>
      <c r="L501" s="1" t="s">
        <v>193</v>
      </c>
      <c r="M501">
        <v>79.400000000000006</v>
      </c>
      <c r="N501">
        <v>280358.40000000002</v>
      </c>
      <c r="O501">
        <v>4553254.38</v>
      </c>
      <c r="P501">
        <v>890871.4</v>
      </c>
      <c r="Q501" s="1" t="s">
        <v>1873</v>
      </c>
      <c r="R501">
        <v>26</v>
      </c>
      <c r="S501" s="1" t="s">
        <v>1874</v>
      </c>
      <c r="T501" t="b">
        <v>0</v>
      </c>
    </row>
    <row r="502" spans="1:20" x14ac:dyDescent="0.25">
      <c r="A502" s="1" t="s">
        <v>1875</v>
      </c>
      <c r="B502" s="1" t="s">
        <v>62</v>
      </c>
      <c r="C502" s="1" t="s">
        <v>428</v>
      </c>
      <c r="D502" s="1" t="s">
        <v>48</v>
      </c>
      <c r="E502" s="1" t="s">
        <v>57</v>
      </c>
      <c r="F502" s="1" t="s">
        <v>25</v>
      </c>
      <c r="G502" s="2">
        <v>45454</v>
      </c>
      <c r="H502" s="2">
        <v>45479</v>
      </c>
      <c r="I502">
        <v>40</v>
      </c>
      <c r="J502">
        <v>25</v>
      </c>
      <c r="K502">
        <v>0</v>
      </c>
      <c r="L502" s="1" t="s">
        <v>26</v>
      </c>
      <c r="M502">
        <v>157.30000000000001</v>
      </c>
      <c r="N502">
        <v>666345.85</v>
      </c>
      <c r="O502">
        <v>1850708.87</v>
      </c>
      <c r="P502">
        <v>478965.46</v>
      </c>
      <c r="Q502" s="1" t="s">
        <v>1876</v>
      </c>
      <c r="R502">
        <v>70</v>
      </c>
      <c r="S502" s="1" t="s">
        <v>1877</v>
      </c>
      <c r="T502" t="b">
        <v>1</v>
      </c>
    </row>
    <row r="503" spans="1:20" x14ac:dyDescent="0.25">
      <c r="A503" s="1" t="s">
        <v>1878</v>
      </c>
      <c r="B503" s="1" t="s">
        <v>220</v>
      </c>
      <c r="C503" s="1" t="s">
        <v>1879</v>
      </c>
      <c r="D503" s="1" t="s">
        <v>1022</v>
      </c>
      <c r="E503" s="1" t="s">
        <v>33</v>
      </c>
      <c r="F503" s="1" t="s">
        <v>25</v>
      </c>
      <c r="G503" s="2">
        <v>44788</v>
      </c>
      <c r="H503" s="2">
        <v>44795</v>
      </c>
      <c r="I503">
        <v>12</v>
      </c>
      <c r="J503">
        <v>7</v>
      </c>
      <c r="K503">
        <v>0</v>
      </c>
      <c r="L503" s="1" t="s">
        <v>26</v>
      </c>
      <c r="M503">
        <v>50.2</v>
      </c>
      <c r="N503">
        <v>183600.89</v>
      </c>
      <c r="O503">
        <v>3960222.87</v>
      </c>
      <c r="P503">
        <v>571663.89</v>
      </c>
      <c r="Q503" s="1" t="s">
        <v>1880</v>
      </c>
      <c r="R503">
        <v>28</v>
      </c>
      <c r="S503" s="1" t="s">
        <v>1881</v>
      </c>
      <c r="T503" t="b">
        <v>0</v>
      </c>
    </row>
    <row r="504" spans="1:20" x14ac:dyDescent="0.25">
      <c r="A504" s="1" t="s">
        <v>1882</v>
      </c>
      <c r="B504" s="1" t="s">
        <v>117</v>
      </c>
      <c r="C504" s="1" t="s">
        <v>504</v>
      </c>
      <c r="D504" s="1" t="s">
        <v>541</v>
      </c>
      <c r="E504" s="1" t="s">
        <v>49</v>
      </c>
      <c r="F504" s="1" t="s">
        <v>50</v>
      </c>
      <c r="G504" s="2">
        <v>44865</v>
      </c>
      <c r="H504" s="2"/>
      <c r="I504">
        <v>25</v>
      </c>
      <c r="J504">
        <v>40</v>
      </c>
      <c r="K504">
        <v>15</v>
      </c>
      <c r="L504" s="1" t="s">
        <v>26</v>
      </c>
      <c r="M504">
        <v>589.79999999999995</v>
      </c>
      <c r="N504">
        <v>2075883.58</v>
      </c>
      <c r="O504">
        <v>3344493.9</v>
      </c>
      <c r="P504">
        <v>824853.37</v>
      </c>
      <c r="Q504" s="1" t="s">
        <v>1883</v>
      </c>
      <c r="R504">
        <v>66</v>
      </c>
      <c r="S504" s="1" t="s">
        <v>1884</v>
      </c>
      <c r="T504" t="b">
        <v>0</v>
      </c>
    </row>
    <row r="505" spans="1:20" x14ac:dyDescent="0.25">
      <c r="A505" s="1" t="s">
        <v>1885</v>
      </c>
      <c r="B505" s="1" t="s">
        <v>82</v>
      </c>
      <c r="C505" s="1" t="s">
        <v>432</v>
      </c>
      <c r="D505" s="1" t="s">
        <v>263</v>
      </c>
      <c r="E505" s="1" t="s">
        <v>33</v>
      </c>
      <c r="F505" s="1" t="s">
        <v>25</v>
      </c>
      <c r="G505" s="2">
        <v>45024</v>
      </c>
      <c r="H505" s="2">
        <v>45042</v>
      </c>
      <c r="I505">
        <v>12</v>
      </c>
      <c r="J505">
        <v>18</v>
      </c>
      <c r="K505">
        <v>6</v>
      </c>
      <c r="L505" s="1" t="s">
        <v>193</v>
      </c>
      <c r="M505">
        <v>136</v>
      </c>
      <c r="N505">
        <v>275202.06</v>
      </c>
      <c r="O505">
        <v>2796991.02</v>
      </c>
      <c r="P505">
        <v>575382.54</v>
      </c>
      <c r="Q505" s="1" t="s">
        <v>1886</v>
      </c>
      <c r="R505">
        <v>23</v>
      </c>
      <c r="S505" s="1" t="s">
        <v>1887</v>
      </c>
      <c r="T505" t="b">
        <v>1</v>
      </c>
    </row>
    <row r="506" spans="1:20" x14ac:dyDescent="0.25">
      <c r="A506" s="1" t="s">
        <v>1888</v>
      </c>
      <c r="B506" s="1" t="s">
        <v>545</v>
      </c>
      <c r="C506" s="1" t="s">
        <v>1340</v>
      </c>
      <c r="D506" s="1" t="s">
        <v>405</v>
      </c>
      <c r="E506" s="1" t="s">
        <v>41</v>
      </c>
      <c r="F506" s="1" t="s">
        <v>25</v>
      </c>
      <c r="G506" s="2">
        <v>44588</v>
      </c>
      <c r="H506" s="2">
        <v>44598</v>
      </c>
      <c r="I506">
        <v>9</v>
      </c>
      <c r="J506">
        <v>10</v>
      </c>
      <c r="K506">
        <v>1</v>
      </c>
      <c r="L506" s="1" t="s">
        <v>26</v>
      </c>
      <c r="M506">
        <v>138.19999999999999</v>
      </c>
      <c r="N506">
        <v>318879.51</v>
      </c>
      <c r="O506">
        <v>531628.24</v>
      </c>
      <c r="P506">
        <v>102797.59</v>
      </c>
      <c r="Q506" s="1" t="s">
        <v>1334</v>
      </c>
      <c r="R506">
        <v>49</v>
      </c>
      <c r="S506" s="1" t="s">
        <v>1889</v>
      </c>
      <c r="T506" t="b">
        <v>1</v>
      </c>
    </row>
    <row r="507" spans="1:20" x14ac:dyDescent="0.25">
      <c r="A507" s="1" t="s">
        <v>1890</v>
      </c>
      <c r="B507" s="1" t="s">
        <v>82</v>
      </c>
      <c r="C507" s="1" t="s">
        <v>681</v>
      </c>
      <c r="D507" s="1" t="s">
        <v>595</v>
      </c>
      <c r="E507" s="1" t="s">
        <v>33</v>
      </c>
      <c r="F507" s="1" t="s">
        <v>25</v>
      </c>
      <c r="G507" s="2">
        <v>45595</v>
      </c>
      <c r="H507" s="2">
        <v>45604</v>
      </c>
      <c r="I507">
        <v>12</v>
      </c>
      <c r="J507">
        <v>9</v>
      </c>
      <c r="K507">
        <v>0</v>
      </c>
      <c r="L507" s="1" t="s">
        <v>26</v>
      </c>
      <c r="M507">
        <v>135</v>
      </c>
      <c r="N507">
        <v>383542.36</v>
      </c>
      <c r="O507">
        <v>2267635.15</v>
      </c>
      <c r="P507">
        <v>429617.5</v>
      </c>
      <c r="Q507" s="1" t="s">
        <v>1891</v>
      </c>
      <c r="R507">
        <v>30</v>
      </c>
      <c r="S507" s="1" t="s">
        <v>1892</v>
      </c>
      <c r="T507" t="b">
        <v>0</v>
      </c>
    </row>
    <row r="508" spans="1:20" x14ac:dyDescent="0.25">
      <c r="A508" s="1" t="s">
        <v>1893</v>
      </c>
      <c r="B508" s="1" t="s">
        <v>169</v>
      </c>
      <c r="C508" s="1" t="s">
        <v>1049</v>
      </c>
      <c r="D508" s="1" t="s">
        <v>144</v>
      </c>
      <c r="E508" s="1" t="s">
        <v>57</v>
      </c>
      <c r="F508" s="1" t="s">
        <v>25</v>
      </c>
      <c r="G508" s="2">
        <v>44771</v>
      </c>
      <c r="H508" s="2">
        <v>44797</v>
      </c>
      <c r="I508">
        <v>40</v>
      </c>
      <c r="J508">
        <v>26</v>
      </c>
      <c r="K508">
        <v>0</v>
      </c>
      <c r="L508" s="1" t="s">
        <v>26</v>
      </c>
      <c r="M508">
        <v>336.4</v>
      </c>
      <c r="N508">
        <v>824018.07</v>
      </c>
      <c r="O508">
        <v>4471549.29</v>
      </c>
      <c r="P508">
        <v>628599.61</v>
      </c>
      <c r="Q508" s="1" t="s">
        <v>1894</v>
      </c>
      <c r="R508">
        <v>27</v>
      </c>
      <c r="S508" s="1" t="s">
        <v>1895</v>
      </c>
      <c r="T508" t="b">
        <v>1</v>
      </c>
    </row>
    <row r="509" spans="1:20" x14ac:dyDescent="0.25">
      <c r="A509" s="1" t="s">
        <v>1896</v>
      </c>
      <c r="B509" s="1" t="s">
        <v>128</v>
      </c>
      <c r="C509" s="1" t="s">
        <v>1321</v>
      </c>
      <c r="D509" s="1" t="s">
        <v>513</v>
      </c>
      <c r="E509" s="1" t="s">
        <v>65</v>
      </c>
      <c r="F509" s="1" t="s">
        <v>25</v>
      </c>
      <c r="G509" s="2">
        <v>45287</v>
      </c>
      <c r="H509" s="2">
        <v>45290</v>
      </c>
      <c r="I509">
        <v>4</v>
      </c>
      <c r="J509">
        <v>3</v>
      </c>
      <c r="K509">
        <v>0</v>
      </c>
      <c r="L509" s="1" t="s">
        <v>26</v>
      </c>
      <c r="M509">
        <v>26.3</v>
      </c>
      <c r="N509">
        <v>77934.55</v>
      </c>
      <c r="O509">
        <v>1675360.13</v>
      </c>
      <c r="P509">
        <v>252709.48</v>
      </c>
      <c r="Q509" s="1" t="s">
        <v>1897</v>
      </c>
      <c r="R509">
        <v>38</v>
      </c>
      <c r="S509" s="1" t="s">
        <v>1898</v>
      </c>
      <c r="T509" t="b">
        <v>1</v>
      </c>
    </row>
    <row r="510" spans="1:20" x14ac:dyDescent="0.25">
      <c r="A510" s="1" t="s">
        <v>1899</v>
      </c>
      <c r="B510" s="1" t="s">
        <v>93</v>
      </c>
      <c r="C510" s="1" t="s">
        <v>273</v>
      </c>
      <c r="D510" s="1" t="s">
        <v>107</v>
      </c>
      <c r="E510" s="1" t="s">
        <v>57</v>
      </c>
      <c r="F510" s="1" t="s">
        <v>66</v>
      </c>
      <c r="G510" s="2">
        <v>45386</v>
      </c>
      <c r="H510" s="2"/>
      <c r="I510">
        <v>40</v>
      </c>
      <c r="J510">
        <v>37</v>
      </c>
      <c r="K510">
        <v>0</v>
      </c>
      <c r="L510" s="1" t="s">
        <v>26</v>
      </c>
      <c r="M510">
        <v>383.1</v>
      </c>
      <c r="N510">
        <v>1200161.82</v>
      </c>
      <c r="O510">
        <v>2173491.06</v>
      </c>
      <c r="P510">
        <v>567165.19999999995</v>
      </c>
      <c r="Q510" s="1" t="s">
        <v>1900</v>
      </c>
      <c r="R510">
        <v>77</v>
      </c>
      <c r="S510" s="1" t="s">
        <v>1901</v>
      </c>
      <c r="T510" t="b">
        <v>1</v>
      </c>
    </row>
    <row r="511" spans="1:20" x14ac:dyDescent="0.25">
      <c r="A511" s="1" t="s">
        <v>1902</v>
      </c>
      <c r="B511" s="1" t="s">
        <v>117</v>
      </c>
      <c r="C511" s="1" t="s">
        <v>1903</v>
      </c>
      <c r="D511" s="1" t="s">
        <v>372</v>
      </c>
      <c r="E511" s="1" t="s">
        <v>57</v>
      </c>
      <c r="F511" s="1" t="s">
        <v>25</v>
      </c>
      <c r="G511" s="2">
        <v>45107</v>
      </c>
      <c r="H511" s="2">
        <v>45161</v>
      </c>
      <c r="I511">
        <v>40</v>
      </c>
      <c r="J511">
        <v>54</v>
      </c>
      <c r="K511">
        <v>14</v>
      </c>
      <c r="L511" s="1" t="s">
        <v>101</v>
      </c>
      <c r="M511">
        <v>281.5</v>
      </c>
      <c r="N511">
        <v>678824.74</v>
      </c>
      <c r="O511">
        <v>3104901.5</v>
      </c>
      <c r="P511">
        <v>649220.56999999995</v>
      </c>
      <c r="Q511" s="1" t="s">
        <v>1904</v>
      </c>
      <c r="R511">
        <v>30</v>
      </c>
      <c r="S511" s="1" t="s">
        <v>1905</v>
      </c>
      <c r="T511" t="b">
        <v>1</v>
      </c>
    </row>
    <row r="512" spans="1:20" x14ac:dyDescent="0.25">
      <c r="A512" s="1" t="s">
        <v>1906</v>
      </c>
      <c r="B512" s="1" t="s">
        <v>629</v>
      </c>
      <c r="C512" s="1" t="s">
        <v>903</v>
      </c>
      <c r="D512" s="1" t="s">
        <v>758</v>
      </c>
      <c r="E512" s="1" t="s">
        <v>41</v>
      </c>
      <c r="F512" s="1" t="s">
        <v>25</v>
      </c>
      <c r="G512" s="2">
        <v>45273</v>
      </c>
      <c r="H512" s="2">
        <v>45287</v>
      </c>
      <c r="I512">
        <v>9</v>
      </c>
      <c r="J512">
        <v>14</v>
      </c>
      <c r="K512">
        <v>5</v>
      </c>
      <c r="L512" s="1" t="s">
        <v>330</v>
      </c>
      <c r="M512">
        <v>156.19999999999999</v>
      </c>
      <c r="N512">
        <v>590667.51</v>
      </c>
      <c r="O512">
        <v>480270.41</v>
      </c>
      <c r="P512">
        <v>160987.69</v>
      </c>
      <c r="Q512" s="1" t="s">
        <v>1404</v>
      </c>
      <c r="R512">
        <v>63</v>
      </c>
      <c r="S512" s="1" t="s">
        <v>1907</v>
      </c>
      <c r="T512" t="b">
        <v>1</v>
      </c>
    </row>
    <row r="513" spans="1:20" x14ac:dyDescent="0.25">
      <c r="A513" s="1" t="s">
        <v>1908</v>
      </c>
      <c r="B513" s="1" t="s">
        <v>174</v>
      </c>
      <c r="C513" s="1" t="s">
        <v>1556</v>
      </c>
      <c r="D513" s="1" t="s">
        <v>72</v>
      </c>
      <c r="E513" s="1" t="s">
        <v>57</v>
      </c>
      <c r="F513" s="1" t="s">
        <v>25</v>
      </c>
      <c r="G513" s="2">
        <v>44903</v>
      </c>
      <c r="H513" s="2">
        <v>44952</v>
      </c>
      <c r="I513">
        <v>40</v>
      </c>
      <c r="J513">
        <v>49</v>
      </c>
      <c r="K513">
        <v>9</v>
      </c>
      <c r="L513" s="1" t="s">
        <v>58</v>
      </c>
      <c r="M513">
        <v>279.39999999999998</v>
      </c>
      <c r="N513">
        <v>512526.9</v>
      </c>
      <c r="O513">
        <v>2378257.4500000002</v>
      </c>
      <c r="P513">
        <v>385646.29</v>
      </c>
      <c r="Q513" s="1" t="s">
        <v>1909</v>
      </c>
      <c r="R513">
        <v>42</v>
      </c>
      <c r="S513" s="1" t="s">
        <v>1910</v>
      </c>
      <c r="T513" t="b">
        <v>0</v>
      </c>
    </row>
    <row r="514" spans="1:20" x14ac:dyDescent="0.25">
      <c r="A514" s="1" t="s">
        <v>1911</v>
      </c>
      <c r="B514" s="1" t="s">
        <v>334</v>
      </c>
      <c r="C514" s="1" t="s">
        <v>472</v>
      </c>
      <c r="D514" s="1" t="s">
        <v>40</v>
      </c>
      <c r="E514" s="1" t="s">
        <v>65</v>
      </c>
      <c r="F514" s="1" t="s">
        <v>50</v>
      </c>
      <c r="G514" s="2">
        <v>44564</v>
      </c>
      <c r="H514" s="2"/>
      <c r="I514">
        <v>4</v>
      </c>
      <c r="J514">
        <v>4</v>
      </c>
      <c r="K514">
        <v>0</v>
      </c>
      <c r="L514" s="1" t="s">
        <v>26</v>
      </c>
      <c r="M514">
        <v>38.700000000000003</v>
      </c>
      <c r="N514">
        <v>74380.490000000005</v>
      </c>
      <c r="O514">
        <v>96780.2</v>
      </c>
      <c r="P514">
        <v>28755.79</v>
      </c>
      <c r="Q514" s="1" t="s">
        <v>1912</v>
      </c>
      <c r="R514">
        <v>29</v>
      </c>
      <c r="S514" s="1" t="s">
        <v>1913</v>
      </c>
      <c r="T514" t="b">
        <v>1</v>
      </c>
    </row>
    <row r="515" spans="1:20" x14ac:dyDescent="0.25">
      <c r="A515" s="1" t="s">
        <v>1914</v>
      </c>
      <c r="B515" s="1" t="s">
        <v>272</v>
      </c>
      <c r="C515" s="1" t="s">
        <v>1049</v>
      </c>
      <c r="D515" s="1" t="s">
        <v>78</v>
      </c>
      <c r="E515" s="1" t="s">
        <v>24</v>
      </c>
      <c r="F515" s="1" t="s">
        <v>50</v>
      </c>
      <c r="G515" s="2">
        <v>44766</v>
      </c>
      <c r="H515" s="2"/>
      <c r="I515">
        <v>3</v>
      </c>
      <c r="J515">
        <v>3</v>
      </c>
      <c r="K515">
        <v>0</v>
      </c>
      <c r="L515" s="1" t="s">
        <v>26</v>
      </c>
      <c r="M515">
        <v>28.3</v>
      </c>
      <c r="N515">
        <v>107087.21</v>
      </c>
      <c r="O515">
        <v>4949067.66</v>
      </c>
      <c r="P515">
        <v>635730.32999999996</v>
      </c>
      <c r="Q515" s="1" t="s">
        <v>1915</v>
      </c>
      <c r="R515">
        <v>65</v>
      </c>
      <c r="S515" s="1" t="s">
        <v>1916</v>
      </c>
      <c r="T515" t="b">
        <v>0</v>
      </c>
    </row>
    <row r="516" spans="1:20" x14ac:dyDescent="0.25">
      <c r="A516" s="1" t="s">
        <v>1917</v>
      </c>
      <c r="B516" s="1" t="s">
        <v>93</v>
      </c>
      <c r="C516" s="1" t="s">
        <v>610</v>
      </c>
      <c r="D516" s="1" t="s">
        <v>622</v>
      </c>
      <c r="E516" s="1" t="s">
        <v>41</v>
      </c>
      <c r="F516" s="1" t="s">
        <v>50</v>
      </c>
      <c r="G516" s="2">
        <v>45622</v>
      </c>
      <c r="H516" s="2"/>
      <c r="I516">
        <v>9</v>
      </c>
      <c r="J516">
        <v>12</v>
      </c>
      <c r="K516">
        <v>3</v>
      </c>
      <c r="L516" s="1" t="s">
        <v>26</v>
      </c>
      <c r="M516">
        <v>117.7</v>
      </c>
      <c r="N516">
        <v>297643.42</v>
      </c>
      <c r="O516">
        <v>2601351.41</v>
      </c>
      <c r="P516">
        <v>475377.26</v>
      </c>
      <c r="Q516" s="1" t="s">
        <v>1918</v>
      </c>
      <c r="R516">
        <v>51</v>
      </c>
      <c r="S516" s="1" t="s">
        <v>1919</v>
      </c>
      <c r="T516" t="b">
        <v>1</v>
      </c>
    </row>
    <row r="517" spans="1:20" x14ac:dyDescent="0.25">
      <c r="A517" s="1" t="s">
        <v>1920</v>
      </c>
      <c r="B517" s="1" t="s">
        <v>122</v>
      </c>
      <c r="C517" s="1" t="s">
        <v>463</v>
      </c>
      <c r="D517" s="1" t="s">
        <v>48</v>
      </c>
      <c r="E517" s="1" t="s">
        <v>49</v>
      </c>
      <c r="F517" s="1" t="s">
        <v>34</v>
      </c>
      <c r="G517" s="2">
        <v>45062</v>
      </c>
      <c r="H517" s="2"/>
      <c r="I517">
        <v>25</v>
      </c>
      <c r="J517">
        <v>32</v>
      </c>
      <c r="K517">
        <v>7</v>
      </c>
      <c r="L517" s="1" t="s">
        <v>330</v>
      </c>
      <c r="M517">
        <v>501.7</v>
      </c>
      <c r="N517">
        <v>1389926.64</v>
      </c>
      <c r="O517">
        <v>3724381.94</v>
      </c>
      <c r="P517">
        <v>610567.69999999995</v>
      </c>
      <c r="Q517" s="1" t="s">
        <v>1921</v>
      </c>
      <c r="R517">
        <v>53</v>
      </c>
      <c r="S517" s="1" t="s">
        <v>1922</v>
      </c>
      <c r="T517" t="b">
        <v>1</v>
      </c>
    </row>
    <row r="518" spans="1:20" x14ac:dyDescent="0.25">
      <c r="A518" s="1" t="s">
        <v>1923</v>
      </c>
      <c r="B518" s="1" t="s">
        <v>228</v>
      </c>
      <c r="C518" s="1" t="s">
        <v>1514</v>
      </c>
      <c r="D518" s="1" t="s">
        <v>595</v>
      </c>
      <c r="E518" s="1" t="s">
        <v>41</v>
      </c>
      <c r="F518" s="1" t="s">
        <v>25</v>
      </c>
      <c r="G518" s="2">
        <v>45105</v>
      </c>
      <c r="H518" s="2">
        <v>45113</v>
      </c>
      <c r="I518">
        <v>9</v>
      </c>
      <c r="J518">
        <v>8</v>
      </c>
      <c r="K518">
        <v>0</v>
      </c>
      <c r="L518" s="1" t="s">
        <v>26</v>
      </c>
      <c r="M518">
        <v>69.5</v>
      </c>
      <c r="N518">
        <v>203405.27</v>
      </c>
      <c r="O518">
        <v>4969779.0999999996</v>
      </c>
      <c r="P518">
        <v>677337.08</v>
      </c>
      <c r="Q518" s="1" t="s">
        <v>1924</v>
      </c>
      <c r="R518">
        <v>70</v>
      </c>
      <c r="S518" s="1" t="s">
        <v>1925</v>
      </c>
      <c r="T518" t="b">
        <v>0</v>
      </c>
    </row>
    <row r="519" spans="1:20" x14ac:dyDescent="0.25">
      <c r="A519" s="1" t="s">
        <v>1926</v>
      </c>
      <c r="B519" s="1" t="s">
        <v>174</v>
      </c>
      <c r="C519" s="1" t="s">
        <v>558</v>
      </c>
      <c r="D519" s="1" t="s">
        <v>263</v>
      </c>
      <c r="E519" s="1" t="s">
        <v>24</v>
      </c>
      <c r="F519" s="1" t="s">
        <v>25</v>
      </c>
      <c r="G519" s="2">
        <v>45272</v>
      </c>
      <c r="H519" s="2">
        <v>45273</v>
      </c>
      <c r="I519">
        <v>3</v>
      </c>
      <c r="J519">
        <v>1</v>
      </c>
      <c r="K519">
        <v>0</v>
      </c>
      <c r="L519" s="1" t="s">
        <v>26</v>
      </c>
      <c r="M519">
        <v>10</v>
      </c>
      <c r="N519">
        <v>36509.22</v>
      </c>
      <c r="O519">
        <v>2336924.19</v>
      </c>
      <c r="P519">
        <v>272998.90000000002</v>
      </c>
      <c r="Q519" s="1" t="s">
        <v>1927</v>
      </c>
      <c r="R519">
        <v>38</v>
      </c>
      <c r="S519" s="1" t="s">
        <v>1928</v>
      </c>
      <c r="T519" t="b">
        <v>1</v>
      </c>
    </row>
    <row r="520" spans="1:20" x14ac:dyDescent="0.25">
      <c r="A520" s="1" t="s">
        <v>1929</v>
      </c>
      <c r="B520" s="1" t="s">
        <v>272</v>
      </c>
      <c r="C520" s="1" t="s">
        <v>685</v>
      </c>
      <c r="D520" s="1" t="s">
        <v>144</v>
      </c>
      <c r="E520" s="1" t="s">
        <v>33</v>
      </c>
      <c r="F520" s="1" t="s">
        <v>25</v>
      </c>
      <c r="G520" s="2">
        <v>45165</v>
      </c>
      <c r="H520" s="2">
        <v>45171</v>
      </c>
      <c r="I520">
        <v>12</v>
      </c>
      <c r="J520">
        <v>6</v>
      </c>
      <c r="K520">
        <v>0</v>
      </c>
      <c r="L520" s="1" t="s">
        <v>26</v>
      </c>
      <c r="M520">
        <v>39.6</v>
      </c>
      <c r="N520">
        <v>159539.32</v>
      </c>
      <c r="O520">
        <v>625944.47</v>
      </c>
      <c r="P520">
        <v>116908.77</v>
      </c>
      <c r="Q520" s="1" t="s">
        <v>1930</v>
      </c>
      <c r="R520">
        <v>28</v>
      </c>
      <c r="S520" s="1" t="s">
        <v>1931</v>
      </c>
      <c r="T520" t="b">
        <v>0</v>
      </c>
    </row>
    <row r="521" spans="1:20" x14ac:dyDescent="0.25">
      <c r="A521" s="1" t="s">
        <v>1932</v>
      </c>
      <c r="B521" s="1" t="s">
        <v>158</v>
      </c>
      <c r="C521" s="1" t="s">
        <v>234</v>
      </c>
      <c r="D521" s="1" t="s">
        <v>268</v>
      </c>
      <c r="E521" s="1" t="s">
        <v>49</v>
      </c>
      <c r="F521" s="1" t="s">
        <v>34</v>
      </c>
      <c r="G521" s="2">
        <v>45142</v>
      </c>
      <c r="H521" s="2"/>
      <c r="I521">
        <v>25</v>
      </c>
      <c r="J521">
        <v>40</v>
      </c>
      <c r="K521">
        <v>15</v>
      </c>
      <c r="L521" s="1" t="s">
        <v>26</v>
      </c>
      <c r="M521">
        <v>529.1</v>
      </c>
      <c r="N521">
        <v>1173861.23</v>
      </c>
      <c r="O521">
        <v>439157.29</v>
      </c>
      <c r="P521">
        <v>204961.25</v>
      </c>
      <c r="Q521" s="1" t="s">
        <v>1933</v>
      </c>
      <c r="R521">
        <v>22</v>
      </c>
      <c r="S521" s="1" t="s">
        <v>1934</v>
      </c>
      <c r="T521" t="b">
        <v>0</v>
      </c>
    </row>
    <row r="522" spans="1:20" x14ac:dyDescent="0.25">
      <c r="A522" s="1" t="s">
        <v>1935</v>
      </c>
      <c r="B522" s="1" t="s">
        <v>185</v>
      </c>
      <c r="C522" s="1" t="s">
        <v>497</v>
      </c>
      <c r="D522" s="1" t="s">
        <v>89</v>
      </c>
      <c r="E522" s="1" t="s">
        <v>57</v>
      </c>
      <c r="F522" s="1" t="s">
        <v>50</v>
      </c>
      <c r="G522" s="2">
        <v>45288</v>
      </c>
      <c r="H522" s="2"/>
      <c r="I522">
        <v>40</v>
      </c>
      <c r="J522">
        <v>60</v>
      </c>
      <c r="K522">
        <v>20</v>
      </c>
      <c r="L522" s="1" t="s">
        <v>193</v>
      </c>
      <c r="M522">
        <v>518.1</v>
      </c>
      <c r="N522">
        <v>1490888.05</v>
      </c>
      <c r="O522">
        <v>4521772.5</v>
      </c>
      <c r="P522">
        <v>1138216.8700000001</v>
      </c>
      <c r="Q522" s="1" t="s">
        <v>1936</v>
      </c>
      <c r="R522">
        <v>76</v>
      </c>
      <c r="S522" s="1" t="s">
        <v>1937</v>
      </c>
      <c r="T522" t="b">
        <v>0</v>
      </c>
    </row>
    <row r="523" spans="1:20" x14ac:dyDescent="0.25">
      <c r="A523" s="1" t="s">
        <v>1938</v>
      </c>
      <c r="B523" s="1" t="s">
        <v>418</v>
      </c>
      <c r="C523" s="1" t="s">
        <v>1939</v>
      </c>
      <c r="D523" s="1" t="s">
        <v>344</v>
      </c>
      <c r="E523" s="1" t="s">
        <v>41</v>
      </c>
      <c r="F523" s="1" t="s">
        <v>50</v>
      </c>
      <c r="G523" s="2">
        <v>44847</v>
      </c>
      <c r="H523" s="2"/>
      <c r="I523">
        <v>9</v>
      </c>
      <c r="J523">
        <v>6</v>
      </c>
      <c r="K523">
        <v>0</v>
      </c>
      <c r="L523" s="1" t="s">
        <v>26</v>
      </c>
      <c r="M523">
        <v>42</v>
      </c>
      <c r="N523">
        <v>122809.82</v>
      </c>
      <c r="O523">
        <v>1005620.65</v>
      </c>
      <c r="P523">
        <v>147259.74</v>
      </c>
      <c r="Q523" s="1" t="s">
        <v>1940</v>
      </c>
      <c r="R523">
        <v>44</v>
      </c>
      <c r="S523" s="1" t="s">
        <v>1941</v>
      </c>
      <c r="T523" t="b">
        <v>0</v>
      </c>
    </row>
    <row r="524" spans="1:20" x14ac:dyDescent="0.25">
      <c r="A524" s="1" t="s">
        <v>1942</v>
      </c>
      <c r="B524" s="1" t="s">
        <v>418</v>
      </c>
      <c r="C524" s="1" t="s">
        <v>999</v>
      </c>
      <c r="D524" s="1" t="s">
        <v>181</v>
      </c>
      <c r="E524" s="1" t="s">
        <v>57</v>
      </c>
      <c r="F524" s="1" t="s">
        <v>66</v>
      </c>
      <c r="G524" s="2">
        <v>44758</v>
      </c>
      <c r="H524" s="2"/>
      <c r="I524">
        <v>40</v>
      </c>
      <c r="J524">
        <v>48</v>
      </c>
      <c r="K524">
        <v>8</v>
      </c>
      <c r="L524" s="1" t="s">
        <v>26</v>
      </c>
      <c r="M524">
        <v>591.79999999999995</v>
      </c>
      <c r="N524">
        <v>1870266.11</v>
      </c>
      <c r="O524">
        <v>3428964.77</v>
      </c>
      <c r="P524">
        <v>719401.85</v>
      </c>
      <c r="Q524" s="1" t="s">
        <v>1943</v>
      </c>
      <c r="R524">
        <v>55</v>
      </c>
      <c r="S524" s="1" t="s">
        <v>1944</v>
      </c>
      <c r="T524" t="b">
        <v>1</v>
      </c>
    </row>
    <row r="525" spans="1:20" x14ac:dyDescent="0.25">
      <c r="A525" s="1" t="s">
        <v>1945</v>
      </c>
      <c r="B525" s="1" t="s">
        <v>185</v>
      </c>
      <c r="C525" s="1" t="s">
        <v>229</v>
      </c>
      <c r="D525" s="1" t="s">
        <v>107</v>
      </c>
      <c r="E525" s="1" t="s">
        <v>33</v>
      </c>
      <c r="F525" s="1" t="s">
        <v>50</v>
      </c>
      <c r="G525" s="2">
        <v>45424</v>
      </c>
      <c r="H525" s="2"/>
      <c r="I525">
        <v>12</v>
      </c>
      <c r="J525">
        <v>8</v>
      </c>
      <c r="K525">
        <v>0</v>
      </c>
      <c r="L525" s="1" t="s">
        <v>26</v>
      </c>
      <c r="M525">
        <v>91.1</v>
      </c>
      <c r="N525">
        <v>238358.86</v>
      </c>
      <c r="O525">
        <v>1220801.82</v>
      </c>
      <c r="P525">
        <v>220655.27</v>
      </c>
      <c r="Q525" s="1" t="s">
        <v>1946</v>
      </c>
      <c r="R525">
        <v>68</v>
      </c>
      <c r="S525" s="1" t="s">
        <v>1947</v>
      </c>
      <c r="T525" t="b">
        <v>0</v>
      </c>
    </row>
    <row r="526" spans="1:20" x14ac:dyDescent="0.25">
      <c r="A526" s="1" t="s">
        <v>1948</v>
      </c>
      <c r="B526" s="1" t="s">
        <v>148</v>
      </c>
      <c r="C526" s="1" t="s">
        <v>1949</v>
      </c>
      <c r="D526" s="1" t="s">
        <v>72</v>
      </c>
      <c r="E526" s="1" t="s">
        <v>65</v>
      </c>
      <c r="F526" s="1" t="s">
        <v>34</v>
      </c>
      <c r="G526" s="2">
        <v>44819</v>
      </c>
      <c r="H526" s="2"/>
      <c r="I526">
        <v>4</v>
      </c>
      <c r="J526">
        <v>1</v>
      </c>
      <c r="K526">
        <v>0</v>
      </c>
      <c r="L526" s="1" t="s">
        <v>26</v>
      </c>
      <c r="M526">
        <v>9.6</v>
      </c>
      <c r="N526">
        <v>37056.839999999997</v>
      </c>
      <c r="O526">
        <v>2594861.3199999998</v>
      </c>
      <c r="P526">
        <v>484061.87</v>
      </c>
      <c r="Q526" s="1" t="s">
        <v>1950</v>
      </c>
      <c r="R526">
        <v>26</v>
      </c>
      <c r="S526" s="1" t="s">
        <v>1951</v>
      </c>
      <c r="T526" t="b">
        <v>0</v>
      </c>
    </row>
    <row r="527" spans="1:20" x14ac:dyDescent="0.25">
      <c r="A527" s="1" t="s">
        <v>1952</v>
      </c>
      <c r="B527" s="1" t="s">
        <v>99</v>
      </c>
      <c r="C527" s="1" t="s">
        <v>1903</v>
      </c>
      <c r="D527" s="1" t="s">
        <v>176</v>
      </c>
      <c r="E527" s="1" t="s">
        <v>41</v>
      </c>
      <c r="F527" s="1" t="s">
        <v>25</v>
      </c>
      <c r="G527" s="2">
        <v>45548</v>
      </c>
      <c r="H527" s="2">
        <v>45551</v>
      </c>
      <c r="I527">
        <v>9</v>
      </c>
      <c r="J527">
        <v>3</v>
      </c>
      <c r="K527">
        <v>0</v>
      </c>
      <c r="L527" s="1" t="s">
        <v>26</v>
      </c>
      <c r="M527">
        <v>16.399999999999999</v>
      </c>
      <c r="N527">
        <v>55406.86</v>
      </c>
      <c r="O527">
        <v>2558996.15</v>
      </c>
      <c r="P527">
        <v>448880.29</v>
      </c>
      <c r="Q527" s="1" t="s">
        <v>1953</v>
      </c>
      <c r="R527">
        <v>34</v>
      </c>
      <c r="S527" s="1" t="s">
        <v>1954</v>
      </c>
      <c r="T527" t="b">
        <v>1</v>
      </c>
    </row>
    <row r="528" spans="1:20" x14ac:dyDescent="0.25">
      <c r="A528" s="1" t="s">
        <v>1955</v>
      </c>
      <c r="B528" s="1" t="s">
        <v>105</v>
      </c>
      <c r="C528" s="1" t="s">
        <v>517</v>
      </c>
      <c r="D528" s="1" t="s">
        <v>686</v>
      </c>
      <c r="E528" s="1" t="s">
        <v>41</v>
      </c>
      <c r="F528" s="1" t="s">
        <v>25</v>
      </c>
      <c r="G528" s="2">
        <v>45178</v>
      </c>
      <c r="H528" s="2">
        <v>45192</v>
      </c>
      <c r="I528">
        <v>9</v>
      </c>
      <c r="J528">
        <v>14</v>
      </c>
      <c r="K528">
        <v>5</v>
      </c>
      <c r="L528" s="1" t="s">
        <v>26</v>
      </c>
      <c r="M528">
        <v>222.2</v>
      </c>
      <c r="N528">
        <v>403830.09</v>
      </c>
      <c r="O528">
        <v>2429926.17</v>
      </c>
      <c r="P528">
        <v>478274.21</v>
      </c>
      <c r="Q528" s="1" t="s">
        <v>1956</v>
      </c>
      <c r="R528">
        <v>35</v>
      </c>
      <c r="S528" s="1" t="s">
        <v>1957</v>
      </c>
      <c r="T528" t="b">
        <v>1</v>
      </c>
    </row>
    <row r="529" spans="1:20" x14ac:dyDescent="0.25">
      <c r="A529" s="1" t="s">
        <v>1958</v>
      </c>
      <c r="B529" s="1" t="s">
        <v>122</v>
      </c>
      <c r="C529" s="1" t="s">
        <v>1486</v>
      </c>
      <c r="D529" s="1" t="s">
        <v>336</v>
      </c>
      <c r="E529" s="1" t="s">
        <v>65</v>
      </c>
      <c r="F529" s="1" t="s">
        <v>25</v>
      </c>
      <c r="G529" s="2">
        <v>44774</v>
      </c>
      <c r="H529" s="2">
        <v>44782</v>
      </c>
      <c r="I529">
        <v>4</v>
      </c>
      <c r="J529">
        <v>8</v>
      </c>
      <c r="K529">
        <v>3.5</v>
      </c>
      <c r="L529" s="1" t="s">
        <v>42</v>
      </c>
      <c r="M529">
        <v>69.5</v>
      </c>
      <c r="N529">
        <v>298872.24</v>
      </c>
      <c r="O529">
        <v>1506619.55</v>
      </c>
      <c r="P529">
        <v>267884.34000000003</v>
      </c>
      <c r="Q529" s="1" t="s">
        <v>1959</v>
      </c>
      <c r="R529">
        <v>59</v>
      </c>
      <c r="S529" s="1" t="s">
        <v>1960</v>
      </c>
      <c r="T529" t="b">
        <v>0</v>
      </c>
    </row>
    <row r="530" spans="1:20" x14ac:dyDescent="0.25">
      <c r="A530" s="1" t="s">
        <v>1961</v>
      </c>
      <c r="B530" s="1" t="s">
        <v>451</v>
      </c>
      <c r="C530" s="1" t="s">
        <v>914</v>
      </c>
      <c r="D530" s="1" t="s">
        <v>238</v>
      </c>
      <c r="E530" s="1" t="s">
        <v>65</v>
      </c>
      <c r="F530" s="1" t="s">
        <v>25</v>
      </c>
      <c r="G530" s="2">
        <v>44814</v>
      </c>
      <c r="H530" s="2">
        <v>44815</v>
      </c>
      <c r="I530">
        <v>4</v>
      </c>
      <c r="J530">
        <v>1</v>
      </c>
      <c r="K530">
        <v>0</v>
      </c>
      <c r="L530" s="1" t="s">
        <v>26</v>
      </c>
      <c r="M530">
        <v>6.2</v>
      </c>
      <c r="N530">
        <v>24862.53</v>
      </c>
      <c r="O530">
        <v>3290752.16</v>
      </c>
      <c r="P530">
        <v>388184.04</v>
      </c>
      <c r="Q530" s="1" t="s">
        <v>1962</v>
      </c>
      <c r="R530">
        <v>38</v>
      </c>
      <c r="S530" s="1" t="s">
        <v>1963</v>
      </c>
      <c r="T530" t="b">
        <v>1</v>
      </c>
    </row>
    <row r="531" spans="1:20" x14ac:dyDescent="0.25">
      <c r="A531" s="1" t="s">
        <v>1964</v>
      </c>
      <c r="B531" s="1" t="s">
        <v>418</v>
      </c>
      <c r="C531" s="1" t="s">
        <v>869</v>
      </c>
      <c r="D531" s="1" t="s">
        <v>420</v>
      </c>
      <c r="E531" s="1" t="s">
        <v>24</v>
      </c>
      <c r="F531" s="1" t="s">
        <v>34</v>
      </c>
      <c r="G531" s="2">
        <v>45571</v>
      </c>
      <c r="H531" s="2"/>
      <c r="I531">
        <v>3</v>
      </c>
      <c r="J531">
        <v>3</v>
      </c>
      <c r="K531">
        <v>0</v>
      </c>
      <c r="L531" s="1" t="s">
        <v>26</v>
      </c>
      <c r="M531">
        <v>26.1</v>
      </c>
      <c r="N531">
        <v>96143.59</v>
      </c>
      <c r="O531">
        <v>545605.84</v>
      </c>
      <c r="P531">
        <v>90929.25</v>
      </c>
      <c r="Q531" s="1" t="s">
        <v>1965</v>
      </c>
      <c r="R531">
        <v>44</v>
      </c>
      <c r="S531" s="1" t="s">
        <v>1966</v>
      </c>
      <c r="T531" t="b">
        <v>1</v>
      </c>
    </row>
    <row r="532" spans="1:20" x14ac:dyDescent="0.25">
      <c r="A532" s="1" t="s">
        <v>1967</v>
      </c>
      <c r="B532" s="1" t="s">
        <v>418</v>
      </c>
      <c r="C532" s="1" t="s">
        <v>884</v>
      </c>
      <c r="D532" s="1" t="s">
        <v>192</v>
      </c>
      <c r="E532" s="1" t="s">
        <v>33</v>
      </c>
      <c r="F532" s="1" t="s">
        <v>34</v>
      </c>
      <c r="G532" s="2">
        <v>45182</v>
      </c>
      <c r="H532" s="2"/>
      <c r="I532">
        <v>12</v>
      </c>
      <c r="J532">
        <v>16</v>
      </c>
      <c r="K532">
        <v>4</v>
      </c>
      <c r="L532" s="1" t="s">
        <v>101</v>
      </c>
      <c r="M532">
        <v>235.5</v>
      </c>
      <c r="N532">
        <v>818048.45</v>
      </c>
      <c r="O532">
        <v>222732.67</v>
      </c>
      <c r="P532">
        <v>198483.04</v>
      </c>
      <c r="Q532" s="1" t="s">
        <v>1968</v>
      </c>
      <c r="R532">
        <v>30</v>
      </c>
      <c r="S532" s="1" t="s">
        <v>1969</v>
      </c>
      <c r="T532" t="b">
        <v>0</v>
      </c>
    </row>
    <row r="533" spans="1:20" x14ac:dyDescent="0.25">
      <c r="A533" s="1" t="s">
        <v>1970</v>
      </c>
      <c r="B533" s="1" t="s">
        <v>185</v>
      </c>
      <c r="C533" s="1" t="s">
        <v>1241</v>
      </c>
      <c r="D533" s="1" t="s">
        <v>216</v>
      </c>
      <c r="E533" s="1" t="s">
        <v>49</v>
      </c>
      <c r="F533" s="1" t="s">
        <v>25</v>
      </c>
      <c r="G533" s="2">
        <v>45587</v>
      </c>
      <c r="H533" s="2">
        <v>45608</v>
      </c>
      <c r="I533">
        <v>25</v>
      </c>
      <c r="J533">
        <v>21</v>
      </c>
      <c r="K533">
        <v>0</v>
      </c>
      <c r="L533" s="1" t="s">
        <v>26</v>
      </c>
      <c r="M533">
        <v>311.39999999999998</v>
      </c>
      <c r="N533">
        <v>1001976.29</v>
      </c>
      <c r="O533">
        <v>2570095.3199999998</v>
      </c>
      <c r="P533">
        <v>419538.7</v>
      </c>
      <c r="Q533" s="1" t="s">
        <v>1971</v>
      </c>
      <c r="R533">
        <v>65</v>
      </c>
      <c r="S533" s="1" t="s">
        <v>1972</v>
      </c>
      <c r="T533" t="b">
        <v>1</v>
      </c>
    </row>
    <row r="534" spans="1:20" x14ac:dyDescent="0.25">
      <c r="A534" s="1" t="s">
        <v>1973</v>
      </c>
      <c r="B534" s="1" t="s">
        <v>334</v>
      </c>
      <c r="C534" s="1" t="s">
        <v>693</v>
      </c>
      <c r="D534" s="1" t="s">
        <v>144</v>
      </c>
      <c r="E534" s="1" t="s">
        <v>41</v>
      </c>
      <c r="F534" s="1" t="s">
        <v>25</v>
      </c>
      <c r="G534" s="2">
        <v>45132</v>
      </c>
      <c r="H534" s="2">
        <v>45141</v>
      </c>
      <c r="I534">
        <v>9</v>
      </c>
      <c r="J534">
        <v>9</v>
      </c>
      <c r="K534">
        <v>0</v>
      </c>
      <c r="L534" s="1" t="s">
        <v>26</v>
      </c>
      <c r="M534">
        <v>43.4</v>
      </c>
      <c r="N534">
        <v>176472.16</v>
      </c>
      <c r="O534">
        <v>2423885.86</v>
      </c>
      <c r="P534">
        <v>510334.57</v>
      </c>
      <c r="Q534" s="1" t="s">
        <v>1974</v>
      </c>
      <c r="R534">
        <v>28</v>
      </c>
      <c r="S534" s="1" t="s">
        <v>1975</v>
      </c>
      <c r="T534" t="b">
        <v>0</v>
      </c>
    </row>
    <row r="535" spans="1:20" x14ac:dyDescent="0.25">
      <c r="A535" s="1" t="s">
        <v>1976</v>
      </c>
      <c r="B535" s="1" t="s">
        <v>451</v>
      </c>
      <c r="C535" s="1" t="s">
        <v>1130</v>
      </c>
      <c r="D535" s="1" t="s">
        <v>40</v>
      </c>
      <c r="E535" s="1" t="s">
        <v>49</v>
      </c>
      <c r="F535" s="1" t="s">
        <v>66</v>
      </c>
      <c r="G535" s="2">
        <v>45274</v>
      </c>
      <c r="H535" s="2"/>
      <c r="I535">
        <v>25</v>
      </c>
      <c r="J535">
        <v>36</v>
      </c>
      <c r="K535">
        <v>11</v>
      </c>
      <c r="L535" s="1" t="s">
        <v>101</v>
      </c>
      <c r="M535">
        <v>318.39999999999998</v>
      </c>
      <c r="N535">
        <v>611744.68000000005</v>
      </c>
      <c r="O535">
        <v>4261635.6100000003</v>
      </c>
      <c r="P535">
        <v>564912.34</v>
      </c>
      <c r="Q535" s="1" t="s">
        <v>1977</v>
      </c>
      <c r="R535">
        <v>34</v>
      </c>
      <c r="S535" s="1" t="s">
        <v>1978</v>
      </c>
      <c r="T535" t="b">
        <v>1</v>
      </c>
    </row>
    <row r="536" spans="1:20" x14ac:dyDescent="0.25">
      <c r="A536" s="1" t="s">
        <v>1979</v>
      </c>
      <c r="B536" s="1" t="s">
        <v>169</v>
      </c>
      <c r="C536" s="1" t="s">
        <v>982</v>
      </c>
      <c r="D536" s="1" t="s">
        <v>72</v>
      </c>
      <c r="E536" s="1" t="s">
        <v>57</v>
      </c>
      <c r="F536" s="1" t="s">
        <v>34</v>
      </c>
      <c r="G536" s="2">
        <v>44777</v>
      </c>
      <c r="H536" s="2"/>
      <c r="I536">
        <v>40</v>
      </c>
      <c r="J536">
        <v>44</v>
      </c>
      <c r="K536">
        <v>4</v>
      </c>
      <c r="L536" s="1" t="s">
        <v>58</v>
      </c>
      <c r="M536">
        <v>575.1</v>
      </c>
      <c r="N536">
        <v>1687430.6</v>
      </c>
      <c r="O536">
        <v>331205.81</v>
      </c>
      <c r="P536">
        <v>325384.73</v>
      </c>
      <c r="Q536" s="1" t="s">
        <v>1980</v>
      </c>
      <c r="R536">
        <v>60</v>
      </c>
      <c r="S536" s="1" t="s">
        <v>1981</v>
      </c>
      <c r="T536" t="b">
        <v>1</v>
      </c>
    </row>
    <row r="537" spans="1:20" x14ac:dyDescent="0.25">
      <c r="A537" s="1" t="s">
        <v>1982</v>
      </c>
      <c r="B537" s="1" t="s">
        <v>163</v>
      </c>
      <c r="C537" s="1" t="s">
        <v>1983</v>
      </c>
      <c r="D537" s="1" t="s">
        <v>513</v>
      </c>
      <c r="E537" s="1" t="s">
        <v>24</v>
      </c>
      <c r="F537" s="1" t="s">
        <v>25</v>
      </c>
      <c r="G537" s="2">
        <v>44918</v>
      </c>
      <c r="H537" s="2">
        <v>44922</v>
      </c>
      <c r="I537">
        <v>3</v>
      </c>
      <c r="J537">
        <v>4</v>
      </c>
      <c r="K537">
        <v>1</v>
      </c>
      <c r="L537" s="1" t="s">
        <v>26</v>
      </c>
      <c r="M537">
        <v>34.1</v>
      </c>
      <c r="N537">
        <v>152425.34</v>
      </c>
      <c r="O537">
        <v>2873160.51</v>
      </c>
      <c r="P537">
        <v>362989.95</v>
      </c>
      <c r="Q537" s="1" t="s">
        <v>1984</v>
      </c>
      <c r="R537">
        <v>67</v>
      </c>
      <c r="S537" s="1" t="s">
        <v>1985</v>
      </c>
      <c r="T537" t="b">
        <v>1</v>
      </c>
    </row>
    <row r="538" spans="1:20" x14ac:dyDescent="0.25">
      <c r="A538" s="1" t="s">
        <v>1986</v>
      </c>
      <c r="B538" s="1" t="s">
        <v>348</v>
      </c>
      <c r="C538" s="1" t="s">
        <v>292</v>
      </c>
      <c r="D538" s="1" t="s">
        <v>420</v>
      </c>
      <c r="E538" s="1" t="s">
        <v>49</v>
      </c>
      <c r="F538" s="1" t="s">
        <v>50</v>
      </c>
      <c r="G538" s="2">
        <v>45450</v>
      </c>
      <c r="H538" s="2"/>
      <c r="I538">
        <v>25</v>
      </c>
      <c r="J538">
        <v>35</v>
      </c>
      <c r="K538">
        <v>10</v>
      </c>
      <c r="L538" s="1" t="s">
        <v>58</v>
      </c>
      <c r="M538">
        <v>220.8</v>
      </c>
      <c r="N538">
        <v>744469.47</v>
      </c>
      <c r="O538">
        <v>3149287.16</v>
      </c>
      <c r="P538">
        <v>649734.91</v>
      </c>
      <c r="Q538" s="1" t="s">
        <v>1987</v>
      </c>
      <c r="R538">
        <v>54</v>
      </c>
      <c r="S538" s="1" t="s">
        <v>1988</v>
      </c>
      <c r="T538" t="b">
        <v>1</v>
      </c>
    </row>
    <row r="539" spans="1:20" x14ac:dyDescent="0.25">
      <c r="A539" s="1" t="s">
        <v>1989</v>
      </c>
      <c r="B539" s="1" t="s">
        <v>70</v>
      </c>
      <c r="C539" s="1" t="s">
        <v>614</v>
      </c>
      <c r="D539" s="1" t="s">
        <v>230</v>
      </c>
      <c r="E539" s="1" t="s">
        <v>57</v>
      </c>
      <c r="F539" s="1" t="s">
        <v>34</v>
      </c>
      <c r="G539" s="2">
        <v>45259</v>
      </c>
      <c r="H539" s="2"/>
      <c r="I539">
        <v>40</v>
      </c>
      <c r="J539">
        <v>53</v>
      </c>
      <c r="K539">
        <v>13</v>
      </c>
      <c r="L539" s="1" t="s">
        <v>26</v>
      </c>
      <c r="M539">
        <v>527.6</v>
      </c>
      <c r="N539">
        <v>2135454.59</v>
      </c>
      <c r="O539">
        <v>2856146.65</v>
      </c>
      <c r="P539">
        <v>735628.68</v>
      </c>
      <c r="Q539" s="1" t="s">
        <v>1990</v>
      </c>
      <c r="R539">
        <v>47</v>
      </c>
      <c r="S539" s="1" t="s">
        <v>1991</v>
      </c>
      <c r="T539" t="b">
        <v>0</v>
      </c>
    </row>
    <row r="540" spans="1:20" x14ac:dyDescent="0.25">
      <c r="A540" s="1" t="s">
        <v>1992</v>
      </c>
      <c r="B540" s="1" t="s">
        <v>93</v>
      </c>
      <c r="C540" s="1" t="s">
        <v>234</v>
      </c>
      <c r="D540" s="1" t="s">
        <v>297</v>
      </c>
      <c r="E540" s="1" t="s">
        <v>49</v>
      </c>
      <c r="F540" s="1" t="s">
        <v>25</v>
      </c>
      <c r="G540" s="2">
        <v>44707</v>
      </c>
      <c r="H540" s="2">
        <v>44721</v>
      </c>
      <c r="I540">
        <v>25</v>
      </c>
      <c r="J540">
        <v>14</v>
      </c>
      <c r="K540">
        <v>0</v>
      </c>
      <c r="L540" s="1" t="s">
        <v>26</v>
      </c>
      <c r="M540">
        <v>187.4</v>
      </c>
      <c r="N540">
        <v>488216.89</v>
      </c>
      <c r="O540">
        <v>598458.19999999995</v>
      </c>
      <c r="P540">
        <v>133723.35999999999</v>
      </c>
      <c r="Q540" s="1" t="s">
        <v>1993</v>
      </c>
      <c r="R540">
        <v>73</v>
      </c>
      <c r="S540" s="1" t="s">
        <v>1994</v>
      </c>
      <c r="T540" t="b">
        <v>0</v>
      </c>
    </row>
    <row r="541" spans="1:20" x14ac:dyDescent="0.25">
      <c r="A541" s="1" t="s">
        <v>1995</v>
      </c>
      <c r="B541" s="1" t="s">
        <v>253</v>
      </c>
      <c r="C541" s="1" t="s">
        <v>594</v>
      </c>
      <c r="D541" s="1" t="s">
        <v>78</v>
      </c>
      <c r="E541" s="1" t="s">
        <v>41</v>
      </c>
      <c r="F541" s="1" t="s">
        <v>25</v>
      </c>
      <c r="G541" s="2">
        <v>45361</v>
      </c>
      <c r="H541" s="2">
        <v>45365</v>
      </c>
      <c r="I541">
        <v>9</v>
      </c>
      <c r="J541">
        <v>4</v>
      </c>
      <c r="K541">
        <v>0</v>
      </c>
      <c r="L541" s="1" t="s">
        <v>26</v>
      </c>
      <c r="M541">
        <v>57.9</v>
      </c>
      <c r="N541">
        <v>128898.73</v>
      </c>
      <c r="O541">
        <v>1447464.29</v>
      </c>
      <c r="P541">
        <v>241880.9</v>
      </c>
      <c r="Q541" s="1" t="s">
        <v>1996</v>
      </c>
      <c r="R541">
        <v>45</v>
      </c>
      <c r="S541" s="1" t="s">
        <v>1997</v>
      </c>
      <c r="T541" t="b">
        <v>1</v>
      </c>
    </row>
    <row r="542" spans="1:20" x14ac:dyDescent="0.25">
      <c r="A542" s="1" t="s">
        <v>1998</v>
      </c>
      <c r="B542" s="1" t="s">
        <v>62</v>
      </c>
      <c r="C542" s="1" t="s">
        <v>1999</v>
      </c>
      <c r="D542" s="1" t="s">
        <v>372</v>
      </c>
      <c r="E542" s="1" t="s">
        <v>49</v>
      </c>
      <c r="F542" s="1" t="s">
        <v>25</v>
      </c>
      <c r="G542" s="2">
        <v>44789</v>
      </c>
      <c r="H542" s="2">
        <v>44828</v>
      </c>
      <c r="I542">
        <v>25</v>
      </c>
      <c r="J542">
        <v>39</v>
      </c>
      <c r="K542">
        <v>14</v>
      </c>
      <c r="L542" s="1" t="s">
        <v>42</v>
      </c>
      <c r="M542">
        <v>585.29999999999995</v>
      </c>
      <c r="N542">
        <v>1469245.4</v>
      </c>
      <c r="O542">
        <v>159590.37</v>
      </c>
      <c r="P542">
        <v>217945.60000000001</v>
      </c>
      <c r="Q542" s="1" t="s">
        <v>2000</v>
      </c>
      <c r="R542">
        <v>55</v>
      </c>
      <c r="S542" s="1" t="s">
        <v>2001</v>
      </c>
      <c r="T542" t="b">
        <v>0</v>
      </c>
    </row>
    <row r="543" spans="1:20" x14ac:dyDescent="0.25">
      <c r="A543" s="1" t="s">
        <v>2002</v>
      </c>
      <c r="B543" s="1" t="s">
        <v>82</v>
      </c>
      <c r="C543" s="1" t="s">
        <v>1497</v>
      </c>
      <c r="D543" s="1" t="s">
        <v>72</v>
      </c>
      <c r="E543" s="1" t="s">
        <v>57</v>
      </c>
      <c r="F543" s="1" t="s">
        <v>25</v>
      </c>
      <c r="G543" s="2">
        <v>44689</v>
      </c>
      <c r="H543" s="2">
        <v>44713</v>
      </c>
      <c r="I543">
        <v>40</v>
      </c>
      <c r="J543">
        <v>24</v>
      </c>
      <c r="K543">
        <v>0</v>
      </c>
      <c r="L543" s="1" t="s">
        <v>26</v>
      </c>
      <c r="M543">
        <v>328</v>
      </c>
      <c r="N543">
        <v>1089751.05</v>
      </c>
      <c r="O543">
        <v>3053908.54</v>
      </c>
      <c r="P543">
        <v>760362.97</v>
      </c>
      <c r="Q543" s="1" t="s">
        <v>2003</v>
      </c>
      <c r="R543">
        <v>67</v>
      </c>
      <c r="S543" s="1" t="s">
        <v>2004</v>
      </c>
      <c r="T543" t="b">
        <v>1</v>
      </c>
    </row>
    <row r="544" spans="1:20" x14ac:dyDescent="0.25">
      <c r="A544" s="1" t="s">
        <v>2005</v>
      </c>
      <c r="B544" s="1" t="s">
        <v>93</v>
      </c>
      <c r="C544" s="1" t="s">
        <v>1472</v>
      </c>
      <c r="D544" s="1" t="s">
        <v>297</v>
      </c>
      <c r="E544" s="1" t="s">
        <v>57</v>
      </c>
      <c r="F544" s="1" t="s">
        <v>25</v>
      </c>
      <c r="G544" s="2">
        <v>45542</v>
      </c>
      <c r="H544" s="2">
        <v>45564</v>
      </c>
      <c r="I544">
        <v>40</v>
      </c>
      <c r="J544">
        <v>22</v>
      </c>
      <c r="K544">
        <v>0</v>
      </c>
      <c r="L544" s="1" t="s">
        <v>26</v>
      </c>
      <c r="M544">
        <v>115.5</v>
      </c>
      <c r="N544">
        <v>362763.69</v>
      </c>
      <c r="O544">
        <v>1133972.75</v>
      </c>
      <c r="P544">
        <v>202097.99</v>
      </c>
      <c r="Q544" s="1" t="s">
        <v>2006</v>
      </c>
      <c r="R544">
        <v>23</v>
      </c>
      <c r="S544" s="1" t="s">
        <v>2007</v>
      </c>
      <c r="T544" t="b">
        <v>1</v>
      </c>
    </row>
    <row r="545" spans="1:20" x14ac:dyDescent="0.25">
      <c r="A545" s="1" t="s">
        <v>2008</v>
      </c>
      <c r="B545" s="1" t="s">
        <v>286</v>
      </c>
      <c r="C545" s="1" t="s">
        <v>697</v>
      </c>
      <c r="D545" s="1" t="s">
        <v>202</v>
      </c>
      <c r="E545" s="1" t="s">
        <v>49</v>
      </c>
      <c r="F545" s="1" t="s">
        <v>66</v>
      </c>
      <c r="G545" s="2">
        <v>44963</v>
      </c>
      <c r="H545" s="2"/>
      <c r="I545">
        <v>25</v>
      </c>
      <c r="J545">
        <v>37</v>
      </c>
      <c r="K545">
        <v>12</v>
      </c>
      <c r="L545" s="1" t="s">
        <v>193</v>
      </c>
      <c r="M545">
        <v>316.39999999999998</v>
      </c>
      <c r="N545">
        <v>1153501.5900000001</v>
      </c>
      <c r="O545">
        <v>100293.37</v>
      </c>
      <c r="P545">
        <v>185834.15</v>
      </c>
      <c r="Q545" s="1" t="s">
        <v>2009</v>
      </c>
      <c r="R545">
        <v>28</v>
      </c>
      <c r="S545" s="1" t="s">
        <v>2010</v>
      </c>
      <c r="T545" t="b">
        <v>1</v>
      </c>
    </row>
    <row r="546" spans="1:20" x14ac:dyDescent="0.25">
      <c r="A546" s="1" t="s">
        <v>2011</v>
      </c>
      <c r="B546" s="1" t="s">
        <v>38</v>
      </c>
      <c r="C546" s="1" t="s">
        <v>654</v>
      </c>
      <c r="D546" s="1" t="s">
        <v>420</v>
      </c>
      <c r="E546" s="1" t="s">
        <v>33</v>
      </c>
      <c r="F546" s="1" t="s">
        <v>66</v>
      </c>
      <c r="G546" s="2">
        <v>45458</v>
      </c>
      <c r="H546" s="2"/>
      <c r="I546">
        <v>12</v>
      </c>
      <c r="J546">
        <v>11</v>
      </c>
      <c r="K546">
        <v>0</v>
      </c>
      <c r="L546" s="1" t="s">
        <v>26</v>
      </c>
      <c r="M546">
        <v>90.4</v>
      </c>
      <c r="N546">
        <v>246470.11</v>
      </c>
      <c r="O546">
        <v>4591162.26</v>
      </c>
      <c r="P546">
        <v>598981.23</v>
      </c>
      <c r="Q546" s="1" t="s">
        <v>2012</v>
      </c>
      <c r="R546">
        <v>22</v>
      </c>
      <c r="S546" s="1" t="s">
        <v>2013</v>
      </c>
      <c r="T546" t="b">
        <v>1</v>
      </c>
    </row>
    <row r="547" spans="1:20" x14ac:dyDescent="0.25">
      <c r="A547" s="1" t="s">
        <v>2014</v>
      </c>
      <c r="B547" s="1" t="s">
        <v>163</v>
      </c>
      <c r="C547" s="1" t="s">
        <v>1113</v>
      </c>
      <c r="D547" s="1" t="s">
        <v>72</v>
      </c>
      <c r="E547" s="1" t="s">
        <v>33</v>
      </c>
      <c r="F547" s="1" t="s">
        <v>25</v>
      </c>
      <c r="G547" s="2">
        <v>45073</v>
      </c>
      <c r="H547" s="2">
        <v>45079</v>
      </c>
      <c r="I547">
        <v>12</v>
      </c>
      <c r="J547">
        <v>6</v>
      </c>
      <c r="K547">
        <v>0</v>
      </c>
      <c r="L547" s="1" t="s">
        <v>26</v>
      </c>
      <c r="M547">
        <v>33.1</v>
      </c>
      <c r="N547">
        <v>75719.64</v>
      </c>
      <c r="O547">
        <v>228159.95</v>
      </c>
      <c r="P547">
        <v>41013.64</v>
      </c>
      <c r="Q547" s="1" t="s">
        <v>2015</v>
      </c>
      <c r="R547">
        <v>45</v>
      </c>
      <c r="S547" s="1" t="s">
        <v>2016</v>
      </c>
      <c r="T547" t="b">
        <v>0</v>
      </c>
    </row>
    <row r="548" spans="1:20" x14ac:dyDescent="0.25">
      <c r="A548" s="1" t="s">
        <v>2017</v>
      </c>
      <c r="B548" s="1" t="s">
        <v>93</v>
      </c>
      <c r="C548" s="1" t="s">
        <v>725</v>
      </c>
      <c r="D548" s="1" t="s">
        <v>405</v>
      </c>
      <c r="E548" s="1" t="s">
        <v>41</v>
      </c>
      <c r="F548" s="1" t="s">
        <v>25</v>
      </c>
      <c r="G548" s="2">
        <v>44812</v>
      </c>
      <c r="H548" s="2">
        <v>44816</v>
      </c>
      <c r="I548">
        <v>9</v>
      </c>
      <c r="J548">
        <v>4</v>
      </c>
      <c r="K548">
        <v>0</v>
      </c>
      <c r="L548" s="1" t="s">
        <v>26</v>
      </c>
      <c r="M548">
        <v>28</v>
      </c>
      <c r="N548">
        <v>91499.65</v>
      </c>
      <c r="O548">
        <v>2479696.9700000002</v>
      </c>
      <c r="P548">
        <v>446158.83</v>
      </c>
      <c r="Q548" s="1" t="s">
        <v>866</v>
      </c>
      <c r="R548">
        <v>39</v>
      </c>
      <c r="S548" s="1" t="s">
        <v>2018</v>
      </c>
      <c r="T548" t="b">
        <v>0</v>
      </c>
    </row>
    <row r="549" spans="1:20" x14ac:dyDescent="0.25">
      <c r="A549" s="1" t="s">
        <v>2019</v>
      </c>
      <c r="B549" s="1" t="s">
        <v>253</v>
      </c>
      <c r="C549" s="1" t="s">
        <v>39</v>
      </c>
      <c r="D549" s="1" t="s">
        <v>84</v>
      </c>
      <c r="E549" s="1" t="s">
        <v>41</v>
      </c>
      <c r="F549" s="1" t="s">
        <v>25</v>
      </c>
      <c r="G549" s="2">
        <v>45161</v>
      </c>
      <c r="H549" s="2">
        <v>45172</v>
      </c>
      <c r="I549">
        <v>9</v>
      </c>
      <c r="J549">
        <v>11</v>
      </c>
      <c r="K549">
        <v>2</v>
      </c>
      <c r="L549" s="1" t="s">
        <v>26</v>
      </c>
      <c r="M549">
        <v>161.9</v>
      </c>
      <c r="N549">
        <v>430802.81</v>
      </c>
      <c r="O549">
        <v>2711681.68</v>
      </c>
      <c r="P549">
        <v>347049.13</v>
      </c>
      <c r="Q549" s="1" t="s">
        <v>2020</v>
      </c>
      <c r="R549">
        <v>25</v>
      </c>
      <c r="S549" s="1" t="s">
        <v>2021</v>
      </c>
      <c r="T549" t="b">
        <v>1</v>
      </c>
    </row>
    <row r="550" spans="1:20" x14ac:dyDescent="0.25">
      <c r="A550" s="1" t="s">
        <v>2022</v>
      </c>
      <c r="B550" s="1" t="s">
        <v>169</v>
      </c>
      <c r="C550" s="1" t="s">
        <v>206</v>
      </c>
      <c r="D550" s="1" t="s">
        <v>1022</v>
      </c>
      <c r="E550" s="1" t="s">
        <v>49</v>
      </c>
      <c r="F550" s="1" t="s">
        <v>25</v>
      </c>
      <c r="G550" s="2">
        <v>44842</v>
      </c>
      <c r="H550" s="2">
        <v>44861</v>
      </c>
      <c r="I550">
        <v>25</v>
      </c>
      <c r="J550">
        <v>19</v>
      </c>
      <c r="K550">
        <v>0</v>
      </c>
      <c r="L550" s="1" t="s">
        <v>26</v>
      </c>
      <c r="M550">
        <v>245.2</v>
      </c>
      <c r="N550">
        <v>580897.93000000005</v>
      </c>
      <c r="O550">
        <v>1868226.03</v>
      </c>
      <c r="P550">
        <v>444853.91</v>
      </c>
      <c r="Q550" s="1" t="s">
        <v>2023</v>
      </c>
      <c r="R550">
        <v>21</v>
      </c>
      <c r="S550" s="1" t="s">
        <v>2024</v>
      </c>
      <c r="T550" t="b">
        <v>0</v>
      </c>
    </row>
    <row r="551" spans="1:20" x14ac:dyDescent="0.25">
      <c r="A551" s="1" t="s">
        <v>2025</v>
      </c>
      <c r="B551" s="1" t="s">
        <v>128</v>
      </c>
      <c r="C551" s="1" t="s">
        <v>1042</v>
      </c>
      <c r="D551" s="1" t="s">
        <v>230</v>
      </c>
      <c r="E551" s="1" t="s">
        <v>24</v>
      </c>
      <c r="F551" s="1" t="s">
        <v>25</v>
      </c>
      <c r="G551" s="2">
        <v>44631</v>
      </c>
      <c r="H551" s="2">
        <v>44636</v>
      </c>
      <c r="I551">
        <v>3</v>
      </c>
      <c r="J551">
        <v>5</v>
      </c>
      <c r="K551">
        <v>2</v>
      </c>
      <c r="L551" s="1" t="s">
        <v>26</v>
      </c>
      <c r="M551">
        <v>43.1</v>
      </c>
      <c r="N551">
        <v>173838.8</v>
      </c>
      <c r="O551">
        <v>431621.54</v>
      </c>
      <c r="P551">
        <v>77443.98</v>
      </c>
      <c r="Q551" s="1" t="s">
        <v>2026</v>
      </c>
      <c r="R551">
        <v>22</v>
      </c>
      <c r="S551" s="1" t="s">
        <v>2027</v>
      </c>
      <c r="T551" t="b">
        <v>1</v>
      </c>
    </row>
    <row r="552" spans="1:20" x14ac:dyDescent="0.25">
      <c r="A552" s="1" t="s">
        <v>2028</v>
      </c>
      <c r="B552" s="1" t="s">
        <v>228</v>
      </c>
      <c r="C552" s="1" t="s">
        <v>1834</v>
      </c>
      <c r="D552" s="1" t="s">
        <v>165</v>
      </c>
      <c r="E552" s="1" t="s">
        <v>65</v>
      </c>
      <c r="F552" s="1" t="s">
        <v>25</v>
      </c>
      <c r="G552" s="2">
        <v>44983</v>
      </c>
      <c r="H552" s="2">
        <v>44990</v>
      </c>
      <c r="I552">
        <v>4</v>
      </c>
      <c r="J552">
        <v>7</v>
      </c>
      <c r="K552">
        <v>2.5</v>
      </c>
      <c r="L552" s="1" t="s">
        <v>26</v>
      </c>
      <c r="M552">
        <v>72.7</v>
      </c>
      <c r="N552">
        <v>260490.4</v>
      </c>
      <c r="O552">
        <v>166217.44</v>
      </c>
      <c r="P552">
        <v>75228.429999999993</v>
      </c>
      <c r="Q552" s="1" t="s">
        <v>2029</v>
      </c>
      <c r="R552">
        <v>68</v>
      </c>
      <c r="S552" s="1" t="s">
        <v>2030</v>
      </c>
      <c r="T552" t="b">
        <v>1</v>
      </c>
    </row>
    <row r="553" spans="1:20" x14ac:dyDescent="0.25">
      <c r="A553" s="1" t="s">
        <v>2031</v>
      </c>
      <c r="B553" s="1" t="s">
        <v>128</v>
      </c>
      <c r="C553" s="1" t="s">
        <v>606</v>
      </c>
      <c r="D553" s="1" t="s">
        <v>64</v>
      </c>
      <c r="E553" s="1" t="s">
        <v>24</v>
      </c>
      <c r="F553" s="1" t="s">
        <v>34</v>
      </c>
      <c r="G553" s="2">
        <v>44618</v>
      </c>
      <c r="H553" s="2"/>
      <c r="I553">
        <v>3</v>
      </c>
      <c r="J553">
        <v>5</v>
      </c>
      <c r="K553">
        <v>2</v>
      </c>
      <c r="L553" s="1" t="s">
        <v>26</v>
      </c>
      <c r="M553">
        <v>46</v>
      </c>
      <c r="N553">
        <v>135901.60999999999</v>
      </c>
      <c r="O553">
        <v>3648838.41</v>
      </c>
      <c r="P553">
        <v>656809.27</v>
      </c>
      <c r="Q553" s="1" t="s">
        <v>2032</v>
      </c>
      <c r="R553">
        <v>80</v>
      </c>
      <c r="S553" s="1" t="s">
        <v>2033</v>
      </c>
      <c r="T553" t="b">
        <v>0</v>
      </c>
    </row>
    <row r="554" spans="1:20" x14ac:dyDescent="0.25">
      <c r="A554" s="1" t="s">
        <v>2034</v>
      </c>
      <c r="B554" s="1" t="s">
        <v>272</v>
      </c>
      <c r="C554" s="1" t="s">
        <v>444</v>
      </c>
      <c r="D554" s="1" t="s">
        <v>165</v>
      </c>
      <c r="E554" s="1" t="s">
        <v>49</v>
      </c>
      <c r="F554" s="1" t="s">
        <v>34</v>
      </c>
      <c r="G554" s="2">
        <v>45430</v>
      </c>
      <c r="H554" s="2"/>
      <c r="I554">
        <v>25</v>
      </c>
      <c r="J554">
        <v>28</v>
      </c>
      <c r="K554">
        <v>3</v>
      </c>
      <c r="L554" s="1" t="s">
        <v>26</v>
      </c>
      <c r="M554">
        <v>370.4</v>
      </c>
      <c r="N554">
        <v>926841.52</v>
      </c>
      <c r="O554">
        <v>4801921.99</v>
      </c>
      <c r="P554">
        <v>840600.07</v>
      </c>
      <c r="Q554" s="1" t="s">
        <v>2035</v>
      </c>
      <c r="R554">
        <v>63</v>
      </c>
      <c r="S554" s="1" t="s">
        <v>2036</v>
      </c>
      <c r="T554" t="b">
        <v>0</v>
      </c>
    </row>
    <row r="555" spans="1:20" x14ac:dyDescent="0.25">
      <c r="A555" s="1" t="s">
        <v>2037</v>
      </c>
      <c r="B555" s="1" t="s">
        <v>566</v>
      </c>
      <c r="C555" s="1" t="s">
        <v>2038</v>
      </c>
      <c r="D555" s="1" t="s">
        <v>1022</v>
      </c>
      <c r="E555" s="1" t="s">
        <v>57</v>
      </c>
      <c r="F555" s="1" t="s">
        <v>50</v>
      </c>
      <c r="G555" s="2">
        <v>44737</v>
      </c>
      <c r="H555" s="2"/>
      <c r="I555">
        <v>40</v>
      </c>
      <c r="J555">
        <v>54</v>
      </c>
      <c r="K555">
        <v>14</v>
      </c>
      <c r="L555" s="1" t="s">
        <v>101</v>
      </c>
      <c r="M555">
        <v>407.7</v>
      </c>
      <c r="N555">
        <v>1362502.05</v>
      </c>
      <c r="O555">
        <v>202644.98</v>
      </c>
      <c r="P555">
        <v>199441.97</v>
      </c>
      <c r="Q555" s="1" t="s">
        <v>2039</v>
      </c>
      <c r="R555">
        <v>39</v>
      </c>
      <c r="S555" s="1" t="s">
        <v>2040</v>
      </c>
      <c r="T555" t="b">
        <v>0</v>
      </c>
    </row>
    <row r="556" spans="1:20" x14ac:dyDescent="0.25">
      <c r="A556" s="1" t="s">
        <v>2041</v>
      </c>
      <c r="B556" s="1" t="s">
        <v>62</v>
      </c>
      <c r="C556" s="1" t="s">
        <v>892</v>
      </c>
      <c r="D556" s="1" t="s">
        <v>670</v>
      </c>
      <c r="E556" s="1" t="s">
        <v>57</v>
      </c>
      <c r="F556" s="1" t="s">
        <v>25</v>
      </c>
      <c r="G556" s="2">
        <v>45103</v>
      </c>
      <c r="H556" s="2">
        <v>45152</v>
      </c>
      <c r="I556">
        <v>40</v>
      </c>
      <c r="J556">
        <v>49</v>
      </c>
      <c r="K556">
        <v>9</v>
      </c>
      <c r="L556" s="1" t="s">
        <v>26</v>
      </c>
      <c r="M556">
        <v>206.2</v>
      </c>
      <c r="N556">
        <v>376098.67</v>
      </c>
      <c r="O556">
        <v>194648.78</v>
      </c>
      <c r="P556">
        <v>77548.81</v>
      </c>
      <c r="Q556" s="1" t="s">
        <v>2042</v>
      </c>
      <c r="R556">
        <v>37</v>
      </c>
      <c r="S556" s="1" t="s">
        <v>2043</v>
      </c>
      <c r="T556" t="b">
        <v>0</v>
      </c>
    </row>
    <row r="557" spans="1:20" x14ac:dyDescent="0.25">
      <c r="A557" s="1" t="s">
        <v>2044</v>
      </c>
      <c r="B557" s="1" t="s">
        <v>253</v>
      </c>
      <c r="C557" s="1" t="s">
        <v>685</v>
      </c>
      <c r="D557" s="1" t="s">
        <v>268</v>
      </c>
      <c r="E557" s="1" t="s">
        <v>65</v>
      </c>
      <c r="F557" s="1" t="s">
        <v>25</v>
      </c>
      <c r="G557" s="2">
        <v>44693</v>
      </c>
      <c r="H557" s="2">
        <v>44698</v>
      </c>
      <c r="I557">
        <v>4</v>
      </c>
      <c r="J557">
        <v>5</v>
      </c>
      <c r="K557">
        <v>0.5</v>
      </c>
      <c r="L557" s="1" t="s">
        <v>26</v>
      </c>
      <c r="M557">
        <v>66</v>
      </c>
      <c r="N557">
        <v>168008.92</v>
      </c>
      <c r="O557">
        <v>4346586.3</v>
      </c>
      <c r="P557">
        <v>508895.32</v>
      </c>
      <c r="Q557" s="1" t="s">
        <v>2045</v>
      </c>
      <c r="R557">
        <v>27</v>
      </c>
      <c r="S557" s="1" t="s">
        <v>2046</v>
      </c>
      <c r="T557" t="b">
        <v>1</v>
      </c>
    </row>
    <row r="558" spans="1:20" x14ac:dyDescent="0.25">
      <c r="A558" s="1" t="s">
        <v>2047</v>
      </c>
      <c r="B558" s="1" t="s">
        <v>242</v>
      </c>
      <c r="C558" s="1" t="s">
        <v>784</v>
      </c>
      <c r="D558" s="1" t="s">
        <v>89</v>
      </c>
      <c r="E558" s="1" t="s">
        <v>41</v>
      </c>
      <c r="F558" s="1" t="s">
        <v>66</v>
      </c>
      <c r="G558" s="2">
        <v>44939</v>
      </c>
      <c r="H558" s="2"/>
      <c r="I558">
        <v>9</v>
      </c>
      <c r="J558">
        <v>10</v>
      </c>
      <c r="K558">
        <v>1</v>
      </c>
      <c r="L558" s="1" t="s">
        <v>26</v>
      </c>
      <c r="M558">
        <v>109.6</v>
      </c>
      <c r="N558">
        <v>209695.5</v>
      </c>
      <c r="O558">
        <v>3589614.91</v>
      </c>
      <c r="P558">
        <v>403035.74</v>
      </c>
      <c r="Q558" s="1" t="s">
        <v>2048</v>
      </c>
      <c r="R558">
        <v>74</v>
      </c>
      <c r="S558" s="1" t="s">
        <v>2049</v>
      </c>
      <c r="T558" t="b">
        <v>0</v>
      </c>
    </row>
    <row r="559" spans="1:20" x14ac:dyDescent="0.25">
      <c r="A559" s="1" t="s">
        <v>2050</v>
      </c>
      <c r="B559" s="1" t="s">
        <v>38</v>
      </c>
      <c r="C559" s="1" t="s">
        <v>287</v>
      </c>
      <c r="D559" s="1" t="s">
        <v>315</v>
      </c>
      <c r="E559" s="1" t="s">
        <v>49</v>
      </c>
      <c r="F559" s="1" t="s">
        <v>25</v>
      </c>
      <c r="G559" s="2">
        <v>44653</v>
      </c>
      <c r="H559" s="2">
        <v>44674</v>
      </c>
      <c r="I559">
        <v>25</v>
      </c>
      <c r="J559">
        <v>21</v>
      </c>
      <c r="K559">
        <v>0</v>
      </c>
      <c r="L559" s="1" t="s">
        <v>26</v>
      </c>
      <c r="M559">
        <v>111.5</v>
      </c>
      <c r="N559">
        <v>353313.67</v>
      </c>
      <c r="O559">
        <v>574780.99</v>
      </c>
      <c r="P559">
        <v>99997.58</v>
      </c>
      <c r="Q559" s="1" t="s">
        <v>2051</v>
      </c>
      <c r="R559">
        <v>47</v>
      </c>
      <c r="S559" s="1" t="s">
        <v>2052</v>
      </c>
      <c r="T559" t="b">
        <v>0</v>
      </c>
    </row>
    <row r="560" spans="1:20" x14ac:dyDescent="0.25">
      <c r="A560" s="1" t="s">
        <v>2053</v>
      </c>
      <c r="B560" s="1" t="s">
        <v>253</v>
      </c>
      <c r="C560" s="1" t="s">
        <v>335</v>
      </c>
      <c r="D560" s="1" t="s">
        <v>154</v>
      </c>
      <c r="E560" s="1" t="s">
        <v>33</v>
      </c>
      <c r="F560" s="1" t="s">
        <v>25</v>
      </c>
      <c r="G560" s="2">
        <v>44855</v>
      </c>
      <c r="H560" s="2">
        <v>44870</v>
      </c>
      <c r="I560">
        <v>12</v>
      </c>
      <c r="J560">
        <v>15</v>
      </c>
      <c r="K560">
        <v>3</v>
      </c>
      <c r="L560" s="1" t="s">
        <v>26</v>
      </c>
      <c r="M560">
        <v>201.9</v>
      </c>
      <c r="N560">
        <v>546030.80000000005</v>
      </c>
      <c r="O560">
        <v>2046606.38</v>
      </c>
      <c r="P560">
        <v>428298.01</v>
      </c>
      <c r="Q560" s="1" t="s">
        <v>2054</v>
      </c>
      <c r="R560">
        <v>43</v>
      </c>
      <c r="S560" s="1" t="s">
        <v>2055</v>
      </c>
      <c r="T560" t="b">
        <v>1</v>
      </c>
    </row>
    <row r="561" spans="1:20" x14ac:dyDescent="0.25">
      <c r="A561" s="1" t="s">
        <v>2056</v>
      </c>
      <c r="B561" s="1" t="s">
        <v>358</v>
      </c>
      <c r="C561" s="1" t="s">
        <v>215</v>
      </c>
      <c r="D561" s="1" t="s">
        <v>293</v>
      </c>
      <c r="E561" s="1" t="s">
        <v>57</v>
      </c>
      <c r="F561" s="1" t="s">
        <v>66</v>
      </c>
      <c r="G561" s="2">
        <v>45157</v>
      </c>
      <c r="H561" s="2"/>
      <c r="I561">
        <v>40</v>
      </c>
      <c r="J561">
        <v>21</v>
      </c>
      <c r="K561">
        <v>0</v>
      </c>
      <c r="L561" s="1" t="s">
        <v>26</v>
      </c>
      <c r="M561">
        <v>110.8</v>
      </c>
      <c r="N561">
        <v>262706.25</v>
      </c>
      <c r="O561">
        <v>1572397.77</v>
      </c>
      <c r="P561">
        <v>314861.27</v>
      </c>
      <c r="Q561" s="1" t="s">
        <v>2057</v>
      </c>
      <c r="R561">
        <v>73</v>
      </c>
      <c r="S561" s="1" t="s">
        <v>2058</v>
      </c>
      <c r="T561" t="b">
        <v>1</v>
      </c>
    </row>
    <row r="562" spans="1:20" x14ac:dyDescent="0.25">
      <c r="A562" s="1" t="s">
        <v>2059</v>
      </c>
      <c r="B562" s="1" t="s">
        <v>38</v>
      </c>
      <c r="C562" s="1" t="s">
        <v>281</v>
      </c>
      <c r="D562" s="1" t="s">
        <v>124</v>
      </c>
      <c r="E562" s="1" t="s">
        <v>65</v>
      </c>
      <c r="F562" s="1" t="s">
        <v>50</v>
      </c>
      <c r="G562" s="2">
        <v>44869</v>
      </c>
      <c r="H562" s="2"/>
      <c r="I562">
        <v>4</v>
      </c>
      <c r="J562">
        <v>2</v>
      </c>
      <c r="K562">
        <v>0</v>
      </c>
      <c r="L562" s="1" t="s">
        <v>26</v>
      </c>
      <c r="M562">
        <v>30.9</v>
      </c>
      <c r="N562">
        <v>135598.1</v>
      </c>
      <c r="O562">
        <v>4961673.91</v>
      </c>
      <c r="P562">
        <v>797928.18</v>
      </c>
      <c r="Q562" s="1" t="s">
        <v>2060</v>
      </c>
      <c r="R562">
        <v>27</v>
      </c>
      <c r="S562" s="1" t="s">
        <v>2061</v>
      </c>
      <c r="T562" t="b">
        <v>1</v>
      </c>
    </row>
    <row r="563" spans="1:20" x14ac:dyDescent="0.25">
      <c r="A563" s="1" t="s">
        <v>2062</v>
      </c>
      <c r="B563" s="1" t="s">
        <v>348</v>
      </c>
      <c r="C563" s="1" t="s">
        <v>642</v>
      </c>
      <c r="D563" s="1" t="s">
        <v>216</v>
      </c>
      <c r="E563" s="1" t="s">
        <v>41</v>
      </c>
      <c r="F563" s="1" t="s">
        <v>66</v>
      </c>
      <c r="G563" s="2">
        <v>45529</v>
      </c>
      <c r="H563" s="2"/>
      <c r="I563">
        <v>9</v>
      </c>
      <c r="J563">
        <v>11</v>
      </c>
      <c r="K563">
        <v>2</v>
      </c>
      <c r="L563" s="1" t="s">
        <v>26</v>
      </c>
      <c r="M563">
        <v>102.2</v>
      </c>
      <c r="N563">
        <v>258238.28</v>
      </c>
      <c r="O563">
        <v>4181684.61</v>
      </c>
      <c r="P563">
        <v>574111.03</v>
      </c>
      <c r="Q563" s="1" t="s">
        <v>2063</v>
      </c>
      <c r="R563">
        <v>40</v>
      </c>
      <c r="S563" s="1" t="s">
        <v>2064</v>
      </c>
      <c r="T563" t="b">
        <v>1</v>
      </c>
    </row>
    <row r="564" spans="1:20" x14ac:dyDescent="0.25">
      <c r="A564" s="1" t="s">
        <v>2065</v>
      </c>
      <c r="B564" s="1" t="s">
        <v>169</v>
      </c>
      <c r="C564" s="1" t="s">
        <v>1126</v>
      </c>
      <c r="D564" s="1" t="s">
        <v>268</v>
      </c>
      <c r="E564" s="1" t="s">
        <v>65</v>
      </c>
      <c r="F564" s="1" t="s">
        <v>34</v>
      </c>
      <c r="G564" s="2">
        <v>45055</v>
      </c>
      <c r="H564" s="2"/>
      <c r="I564">
        <v>4</v>
      </c>
      <c r="J564">
        <v>7</v>
      </c>
      <c r="K564">
        <v>2.5</v>
      </c>
      <c r="L564" s="1" t="s">
        <v>26</v>
      </c>
      <c r="M564">
        <v>58.4</v>
      </c>
      <c r="N564">
        <v>160620.93</v>
      </c>
      <c r="O564">
        <v>2533160.7799999998</v>
      </c>
      <c r="P564">
        <v>515761.01</v>
      </c>
      <c r="Q564" s="1" t="s">
        <v>2066</v>
      </c>
      <c r="R564">
        <v>56</v>
      </c>
      <c r="S564" s="1" t="s">
        <v>2067</v>
      </c>
      <c r="T564" t="b">
        <v>1</v>
      </c>
    </row>
    <row r="565" spans="1:20" x14ac:dyDescent="0.25">
      <c r="A565" s="1" t="s">
        <v>2068</v>
      </c>
      <c r="B565" s="1" t="s">
        <v>471</v>
      </c>
      <c r="C565" s="1" t="s">
        <v>424</v>
      </c>
      <c r="D565" s="1" t="s">
        <v>263</v>
      </c>
      <c r="E565" s="1" t="s">
        <v>65</v>
      </c>
      <c r="F565" s="1" t="s">
        <v>34</v>
      </c>
      <c r="G565" s="2">
        <v>45063</v>
      </c>
      <c r="H565" s="2"/>
      <c r="I565">
        <v>4</v>
      </c>
      <c r="J565">
        <v>3</v>
      </c>
      <c r="K565">
        <v>0</v>
      </c>
      <c r="L565" s="1" t="s">
        <v>26</v>
      </c>
      <c r="M565">
        <v>33.799999999999997</v>
      </c>
      <c r="N565">
        <v>133469.81</v>
      </c>
      <c r="O565">
        <v>1714443.3</v>
      </c>
      <c r="P565">
        <v>206590.04</v>
      </c>
      <c r="Q565" s="1" t="s">
        <v>2069</v>
      </c>
      <c r="R565">
        <v>60</v>
      </c>
      <c r="S565" s="1" t="s">
        <v>2070</v>
      </c>
      <c r="T565" t="b">
        <v>1</v>
      </c>
    </row>
    <row r="566" spans="1:20" x14ac:dyDescent="0.25">
      <c r="A566" s="1" t="s">
        <v>2071</v>
      </c>
      <c r="B566" s="1" t="s">
        <v>138</v>
      </c>
      <c r="C566" s="1" t="s">
        <v>762</v>
      </c>
      <c r="D566" s="1" t="s">
        <v>505</v>
      </c>
      <c r="E566" s="1" t="s">
        <v>65</v>
      </c>
      <c r="F566" s="1" t="s">
        <v>25</v>
      </c>
      <c r="G566" s="2">
        <v>44930</v>
      </c>
      <c r="H566" s="2">
        <v>44933</v>
      </c>
      <c r="I566">
        <v>4</v>
      </c>
      <c r="J566">
        <v>3</v>
      </c>
      <c r="K566">
        <v>0</v>
      </c>
      <c r="L566" s="1" t="s">
        <v>26</v>
      </c>
      <c r="M566">
        <v>16.3</v>
      </c>
      <c r="N566">
        <v>40931.18</v>
      </c>
      <c r="O566">
        <v>2777348.11</v>
      </c>
      <c r="P566">
        <v>543963.18000000005</v>
      </c>
      <c r="Q566" s="1" t="s">
        <v>1341</v>
      </c>
      <c r="R566">
        <v>64</v>
      </c>
      <c r="S566" s="1" t="s">
        <v>2072</v>
      </c>
      <c r="T566" t="b">
        <v>1</v>
      </c>
    </row>
    <row r="567" spans="1:20" x14ac:dyDescent="0.25">
      <c r="A567" s="1" t="s">
        <v>2073</v>
      </c>
      <c r="B567" s="1" t="s">
        <v>228</v>
      </c>
      <c r="C567" s="1" t="s">
        <v>83</v>
      </c>
      <c r="D567" s="1" t="s">
        <v>130</v>
      </c>
      <c r="E567" s="1" t="s">
        <v>57</v>
      </c>
      <c r="F567" s="1" t="s">
        <v>66</v>
      </c>
      <c r="G567" s="2">
        <v>44711</v>
      </c>
      <c r="H567" s="2"/>
      <c r="I567">
        <v>40</v>
      </c>
      <c r="J567">
        <v>53</v>
      </c>
      <c r="K567">
        <v>13</v>
      </c>
      <c r="L567" s="1" t="s">
        <v>58</v>
      </c>
      <c r="M567">
        <v>796.2</v>
      </c>
      <c r="N567">
        <v>3377084.74</v>
      </c>
      <c r="O567">
        <v>1778295.18</v>
      </c>
      <c r="P567">
        <v>722947.95</v>
      </c>
      <c r="Q567" s="1" t="s">
        <v>259</v>
      </c>
      <c r="R567">
        <v>58</v>
      </c>
      <c r="S567" s="1" t="s">
        <v>2074</v>
      </c>
      <c r="T567" t="b">
        <v>1</v>
      </c>
    </row>
    <row r="568" spans="1:20" x14ac:dyDescent="0.25">
      <c r="A568" s="1" t="s">
        <v>2075</v>
      </c>
      <c r="B568" s="1" t="s">
        <v>70</v>
      </c>
      <c r="C568" s="1" t="s">
        <v>100</v>
      </c>
      <c r="D568" s="1" t="s">
        <v>124</v>
      </c>
      <c r="E568" s="1" t="s">
        <v>33</v>
      </c>
      <c r="F568" s="1" t="s">
        <v>34</v>
      </c>
      <c r="G568" s="2">
        <v>44654</v>
      </c>
      <c r="H568" s="2"/>
      <c r="I568">
        <v>12</v>
      </c>
      <c r="J568">
        <v>11</v>
      </c>
      <c r="K568">
        <v>0</v>
      </c>
      <c r="L568" s="1" t="s">
        <v>26</v>
      </c>
      <c r="M568">
        <v>169.4</v>
      </c>
      <c r="N568">
        <v>721444.18</v>
      </c>
      <c r="O568">
        <v>3157851.67</v>
      </c>
      <c r="P568">
        <v>675268.05</v>
      </c>
      <c r="Q568" s="1" t="s">
        <v>2076</v>
      </c>
      <c r="R568">
        <v>69</v>
      </c>
      <c r="S568" s="1" t="s">
        <v>2077</v>
      </c>
      <c r="T568" t="b">
        <v>1</v>
      </c>
    </row>
    <row r="569" spans="1:20" x14ac:dyDescent="0.25">
      <c r="A569" s="1" t="s">
        <v>2078</v>
      </c>
      <c r="B569" s="1" t="s">
        <v>148</v>
      </c>
      <c r="C569" s="1" t="s">
        <v>642</v>
      </c>
      <c r="D569" s="1" t="s">
        <v>78</v>
      </c>
      <c r="E569" s="1" t="s">
        <v>33</v>
      </c>
      <c r="F569" s="1" t="s">
        <v>66</v>
      </c>
      <c r="G569" s="2">
        <v>44873</v>
      </c>
      <c r="H569" s="2"/>
      <c r="I569">
        <v>12</v>
      </c>
      <c r="J569">
        <v>15</v>
      </c>
      <c r="K569">
        <v>3</v>
      </c>
      <c r="L569" s="1" t="s">
        <v>26</v>
      </c>
      <c r="M569">
        <v>126.6</v>
      </c>
      <c r="N569">
        <v>449859.54</v>
      </c>
      <c r="O569">
        <v>1903079.16</v>
      </c>
      <c r="P569">
        <v>338490.71</v>
      </c>
      <c r="Q569" s="1" t="s">
        <v>706</v>
      </c>
      <c r="R569">
        <v>51</v>
      </c>
      <c r="S569" s="1" t="s">
        <v>2079</v>
      </c>
      <c r="T569" t="b">
        <v>0</v>
      </c>
    </row>
    <row r="570" spans="1:20" x14ac:dyDescent="0.25">
      <c r="A570" s="1" t="s">
        <v>2080</v>
      </c>
      <c r="B570" s="1" t="s">
        <v>138</v>
      </c>
      <c r="C570" s="1" t="s">
        <v>118</v>
      </c>
      <c r="D570" s="1" t="s">
        <v>595</v>
      </c>
      <c r="E570" s="1" t="s">
        <v>49</v>
      </c>
      <c r="F570" s="1" t="s">
        <v>66</v>
      </c>
      <c r="G570" s="2">
        <v>44660</v>
      </c>
      <c r="H570" s="2"/>
      <c r="I570">
        <v>25</v>
      </c>
      <c r="J570">
        <v>38</v>
      </c>
      <c r="K570">
        <v>13</v>
      </c>
      <c r="L570" s="1" t="s">
        <v>193</v>
      </c>
      <c r="M570">
        <v>391.5</v>
      </c>
      <c r="N570">
        <v>1241922.29</v>
      </c>
      <c r="O570">
        <v>4640937.41</v>
      </c>
      <c r="P570">
        <v>756098.78</v>
      </c>
      <c r="Q570" s="1" t="s">
        <v>2081</v>
      </c>
      <c r="R570">
        <v>53</v>
      </c>
      <c r="S570" s="1" t="s">
        <v>2082</v>
      </c>
      <c r="T570" t="b">
        <v>0</v>
      </c>
    </row>
    <row r="571" spans="1:20" x14ac:dyDescent="0.25">
      <c r="A571" s="1" t="s">
        <v>2083</v>
      </c>
      <c r="B571" s="1" t="s">
        <v>242</v>
      </c>
      <c r="C571" s="1" t="s">
        <v>757</v>
      </c>
      <c r="D571" s="1" t="s">
        <v>297</v>
      </c>
      <c r="E571" s="1" t="s">
        <v>33</v>
      </c>
      <c r="F571" s="1" t="s">
        <v>25</v>
      </c>
      <c r="G571" s="2">
        <v>45205</v>
      </c>
      <c r="H571" s="2">
        <v>45215</v>
      </c>
      <c r="I571">
        <v>12</v>
      </c>
      <c r="J571">
        <v>10</v>
      </c>
      <c r="K571">
        <v>0</v>
      </c>
      <c r="L571" s="1" t="s">
        <v>26</v>
      </c>
      <c r="M571">
        <v>59.9</v>
      </c>
      <c r="N571">
        <v>154372.87</v>
      </c>
      <c r="O571">
        <v>2438312.27</v>
      </c>
      <c r="P571">
        <v>317249.59999999998</v>
      </c>
      <c r="Q571" s="1" t="s">
        <v>2084</v>
      </c>
      <c r="R571">
        <v>34</v>
      </c>
      <c r="S571" s="1" t="s">
        <v>2085</v>
      </c>
      <c r="T571" t="b">
        <v>0</v>
      </c>
    </row>
    <row r="572" spans="1:20" x14ac:dyDescent="0.25">
      <c r="A572" s="1" t="s">
        <v>2086</v>
      </c>
      <c r="B572" s="1" t="s">
        <v>111</v>
      </c>
      <c r="C572" s="1" t="s">
        <v>440</v>
      </c>
      <c r="D572" s="1" t="s">
        <v>263</v>
      </c>
      <c r="E572" s="1" t="s">
        <v>33</v>
      </c>
      <c r="F572" s="1" t="s">
        <v>25</v>
      </c>
      <c r="G572" s="2">
        <v>44850</v>
      </c>
      <c r="H572" s="2">
        <v>44864</v>
      </c>
      <c r="I572">
        <v>12</v>
      </c>
      <c r="J572">
        <v>14</v>
      </c>
      <c r="K572">
        <v>2</v>
      </c>
      <c r="L572" s="1" t="s">
        <v>26</v>
      </c>
      <c r="M572">
        <v>196.9</v>
      </c>
      <c r="N572">
        <v>755728.74</v>
      </c>
      <c r="O572">
        <v>146477.12</v>
      </c>
      <c r="P572">
        <v>171648.39</v>
      </c>
      <c r="Q572" s="1" t="s">
        <v>2087</v>
      </c>
      <c r="R572">
        <v>73</v>
      </c>
      <c r="S572" s="1" t="s">
        <v>2088</v>
      </c>
      <c r="T572" t="b">
        <v>1</v>
      </c>
    </row>
    <row r="573" spans="1:20" x14ac:dyDescent="0.25">
      <c r="A573" s="1" t="s">
        <v>2089</v>
      </c>
      <c r="B573" s="1" t="s">
        <v>105</v>
      </c>
      <c r="C573" s="1" t="s">
        <v>725</v>
      </c>
      <c r="D573" s="1" t="s">
        <v>48</v>
      </c>
      <c r="E573" s="1" t="s">
        <v>57</v>
      </c>
      <c r="F573" s="1" t="s">
        <v>25</v>
      </c>
      <c r="G573" s="2">
        <v>45318</v>
      </c>
      <c r="H573" s="2">
        <v>45374</v>
      </c>
      <c r="I573">
        <v>40</v>
      </c>
      <c r="J573">
        <v>56</v>
      </c>
      <c r="K573">
        <v>16</v>
      </c>
      <c r="L573" s="1" t="s">
        <v>42</v>
      </c>
      <c r="M573">
        <v>510.6</v>
      </c>
      <c r="N573">
        <v>1532324.2</v>
      </c>
      <c r="O573">
        <v>639631.73</v>
      </c>
      <c r="P573">
        <v>315769.68</v>
      </c>
      <c r="Q573" s="1" t="s">
        <v>2090</v>
      </c>
      <c r="R573">
        <v>47</v>
      </c>
      <c r="S573" s="1" t="s">
        <v>2091</v>
      </c>
      <c r="T573" t="b">
        <v>0</v>
      </c>
    </row>
    <row r="574" spans="1:20" x14ac:dyDescent="0.25">
      <c r="A574" s="1" t="s">
        <v>2092</v>
      </c>
      <c r="B574" s="1" t="s">
        <v>82</v>
      </c>
      <c r="C574" s="1" t="s">
        <v>1368</v>
      </c>
      <c r="D574" s="1" t="s">
        <v>154</v>
      </c>
      <c r="E574" s="1" t="s">
        <v>33</v>
      </c>
      <c r="F574" s="1" t="s">
        <v>50</v>
      </c>
      <c r="G574" s="2">
        <v>45100</v>
      </c>
      <c r="H574" s="2"/>
      <c r="I574">
        <v>12</v>
      </c>
      <c r="J574">
        <v>8</v>
      </c>
      <c r="K574">
        <v>0</v>
      </c>
      <c r="L574" s="1" t="s">
        <v>26</v>
      </c>
      <c r="M574">
        <v>127.3</v>
      </c>
      <c r="N574">
        <v>480609.83</v>
      </c>
      <c r="O574">
        <v>591148.56999999995</v>
      </c>
      <c r="P574">
        <v>145086.20000000001</v>
      </c>
      <c r="Q574" s="1" t="s">
        <v>2093</v>
      </c>
      <c r="R574">
        <v>52</v>
      </c>
      <c r="S574" s="1" t="s">
        <v>2094</v>
      </c>
      <c r="T574" t="b">
        <v>0</v>
      </c>
    </row>
    <row r="575" spans="1:20" x14ac:dyDescent="0.25">
      <c r="A575" s="1" t="s">
        <v>2095</v>
      </c>
      <c r="B575" s="1" t="s">
        <v>545</v>
      </c>
      <c r="C575" s="1" t="s">
        <v>1364</v>
      </c>
      <c r="D575" s="1" t="s">
        <v>244</v>
      </c>
      <c r="E575" s="1" t="s">
        <v>65</v>
      </c>
      <c r="F575" s="1" t="s">
        <v>34</v>
      </c>
      <c r="G575" s="2">
        <v>45127</v>
      </c>
      <c r="H575" s="2"/>
      <c r="I575">
        <v>4</v>
      </c>
      <c r="J575">
        <v>2</v>
      </c>
      <c r="K575">
        <v>0</v>
      </c>
      <c r="L575" s="1" t="s">
        <v>26</v>
      </c>
      <c r="M575">
        <v>25</v>
      </c>
      <c r="N575">
        <v>66249.67</v>
      </c>
      <c r="O575">
        <v>4624402.5999999996</v>
      </c>
      <c r="P575">
        <v>672347.6</v>
      </c>
      <c r="Q575" s="1" t="s">
        <v>2096</v>
      </c>
      <c r="R575">
        <v>55</v>
      </c>
      <c r="S575" s="1" t="s">
        <v>2097</v>
      </c>
      <c r="T575" t="b">
        <v>1</v>
      </c>
    </row>
    <row r="576" spans="1:20" x14ac:dyDescent="0.25">
      <c r="A576" s="1" t="s">
        <v>2098</v>
      </c>
      <c r="B576" s="1" t="s">
        <v>30</v>
      </c>
      <c r="C576" s="1" t="s">
        <v>1141</v>
      </c>
      <c r="D576" s="1" t="s">
        <v>176</v>
      </c>
      <c r="E576" s="1" t="s">
        <v>57</v>
      </c>
      <c r="F576" s="1" t="s">
        <v>25</v>
      </c>
      <c r="G576" s="2">
        <v>44578</v>
      </c>
      <c r="H576" s="2">
        <v>44635</v>
      </c>
      <c r="I576">
        <v>40</v>
      </c>
      <c r="J576">
        <v>57</v>
      </c>
      <c r="K576">
        <v>17</v>
      </c>
      <c r="L576" s="1" t="s">
        <v>101</v>
      </c>
      <c r="M576">
        <v>485.3</v>
      </c>
      <c r="N576">
        <v>2109375.08</v>
      </c>
      <c r="O576">
        <v>3370004.68</v>
      </c>
      <c r="P576">
        <v>693298.28</v>
      </c>
      <c r="Q576" s="1" t="s">
        <v>2099</v>
      </c>
      <c r="R576">
        <v>32</v>
      </c>
      <c r="S576" s="1" t="s">
        <v>2100</v>
      </c>
      <c r="T576" t="b">
        <v>1</v>
      </c>
    </row>
    <row r="577" spans="1:20" x14ac:dyDescent="0.25">
      <c r="A577" s="1" t="s">
        <v>2101</v>
      </c>
      <c r="B577" s="1" t="s">
        <v>242</v>
      </c>
      <c r="C577" s="1" t="s">
        <v>815</v>
      </c>
      <c r="D577" s="1" t="s">
        <v>95</v>
      </c>
      <c r="E577" s="1" t="s">
        <v>41</v>
      </c>
      <c r="F577" s="1" t="s">
        <v>34</v>
      </c>
      <c r="G577" s="2">
        <v>45619</v>
      </c>
      <c r="H577" s="2"/>
      <c r="I577">
        <v>9</v>
      </c>
      <c r="J577">
        <v>6</v>
      </c>
      <c r="K577">
        <v>0</v>
      </c>
      <c r="L577" s="1" t="s">
        <v>26</v>
      </c>
      <c r="M577">
        <v>24.2</v>
      </c>
      <c r="N577">
        <v>47954.85</v>
      </c>
      <c r="O577">
        <v>2793108.43</v>
      </c>
      <c r="P577">
        <v>343355.84</v>
      </c>
      <c r="Q577" s="1" t="s">
        <v>2102</v>
      </c>
      <c r="R577">
        <v>57</v>
      </c>
      <c r="S577" s="1" t="s">
        <v>2103</v>
      </c>
      <c r="T577" t="b">
        <v>1</v>
      </c>
    </row>
    <row r="578" spans="1:20" x14ac:dyDescent="0.25">
      <c r="A578" s="1" t="s">
        <v>2104</v>
      </c>
      <c r="B578" s="1" t="s">
        <v>566</v>
      </c>
      <c r="C578" s="1" t="s">
        <v>1032</v>
      </c>
      <c r="D578" s="1" t="s">
        <v>282</v>
      </c>
      <c r="E578" s="1" t="s">
        <v>65</v>
      </c>
      <c r="F578" s="1" t="s">
        <v>66</v>
      </c>
      <c r="G578" s="2">
        <v>45276</v>
      </c>
      <c r="H578" s="2"/>
      <c r="I578">
        <v>4</v>
      </c>
      <c r="J578">
        <v>3</v>
      </c>
      <c r="K578">
        <v>0</v>
      </c>
      <c r="L578" s="1" t="s">
        <v>26</v>
      </c>
      <c r="M578">
        <v>43.6</v>
      </c>
      <c r="N578">
        <v>177446.24</v>
      </c>
      <c r="O578">
        <v>4376444.97</v>
      </c>
      <c r="P578">
        <v>759578.03</v>
      </c>
      <c r="Q578" s="1" t="s">
        <v>2105</v>
      </c>
      <c r="R578">
        <v>50</v>
      </c>
      <c r="S578" s="1" t="s">
        <v>2106</v>
      </c>
      <c r="T578" t="b">
        <v>0</v>
      </c>
    </row>
    <row r="579" spans="1:20" x14ac:dyDescent="0.25">
      <c r="A579" s="1" t="s">
        <v>2107</v>
      </c>
      <c r="B579" s="1" t="s">
        <v>105</v>
      </c>
      <c r="C579" s="1" t="s">
        <v>1664</v>
      </c>
      <c r="D579" s="1" t="s">
        <v>410</v>
      </c>
      <c r="E579" s="1" t="s">
        <v>57</v>
      </c>
      <c r="F579" s="1" t="s">
        <v>25</v>
      </c>
      <c r="G579" s="2">
        <v>44759</v>
      </c>
      <c r="H579" s="2">
        <v>44797</v>
      </c>
      <c r="I579">
        <v>40</v>
      </c>
      <c r="J579">
        <v>38</v>
      </c>
      <c r="K579">
        <v>0</v>
      </c>
      <c r="L579" s="1" t="s">
        <v>26</v>
      </c>
      <c r="M579">
        <v>343.3</v>
      </c>
      <c r="N579">
        <v>1032429.04</v>
      </c>
      <c r="O579">
        <v>1244507.33</v>
      </c>
      <c r="P579">
        <v>324432.76</v>
      </c>
      <c r="Q579" s="1" t="s">
        <v>1271</v>
      </c>
      <c r="R579">
        <v>45</v>
      </c>
      <c r="S579" s="1" t="s">
        <v>2108</v>
      </c>
      <c r="T579" t="b">
        <v>1</v>
      </c>
    </row>
    <row r="580" spans="1:20" x14ac:dyDescent="0.25">
      <c r="A580" s="1" t="s">
        <v>2109</v>
      </c>
      <c r="B580" s="1" t="s">
        <v>99</v>
      </c>
      <c r="C580" s="1" t="s">
        <v>1130</v>
      </c>
      <c r="D580" s="1" t="s">
        <v>144</v>
      </c>
      <c r="E580" s="1" t="s">
        <v>65</v>
      </c>
      <c r="F580" s="1" t="s">
        <v>66</v>
      </c>
      <c r="G580" s="2">
        <v>45552</v>
      </c>
      <c r="H580" s="2"/>
      <c r="I580">
        <v>4</v>
      </c>
      <c r="J580">
        <v>7</v>
      </c>
      <c r="K580">
        <v>2.5</v>
      </c>
      <c r="L580" s="1" t="s">
        <v>26</v>
      </c>
      <c r="M580">
        <v>85.7</v>
      </c>
      <c r="N580">
        <v>160961.64000000001</v>
      </c>
      <c r="O580">
        <v>1346940.09</v>
      </c>
      <c r="P580">
        <v>183226.07</v>
      </c>
      <c r="Q580" s="1" t="s">
        <v>2110</v>
      </c>
      <c r="R580">
        <v>63</v>
      </c>
      <c r="S580" s="1" t="s">
        <v>2111</v>
      </c>
      <c r="T580" t="b">
        <v>0</v>
      </c>
    </row>
    <row r="581" spans="1:20" x14ac:dyDescent="0.25">
      <c r="A581" s="1" t="s">
        <v>2112</v>
      </c>
      <c r="B581" s="1" t="s">
        <v>328</v>
      </c>
      <c r="C581" s="1" t="s">
        <v>2113</v>
      </c>
      <c r="D581" s="1" t="s">
        <v>113</v>
      </c>
      <c r="E581" s="1" t="s">
        <v>65</v>
      </c>
      <c r="F581" s="1" t="s">
        <v>50</v>
      </c>
      <c r="G581" s="2">
        <v>45404</v>
      </c>
      <c r="H581" s="2"/>
      <c r="I581">
        <v>4</v>
      </c>
      <c r="J581">
        <v>8</v>
      </c>
      <c r="K581">
        <v>3.5</v>
      </c>
      <c r="L581" s="1" t="s">
        <v>58</v>
      </c>
      <c r="M581">
        <v>72.8</v>
      </c>
      <c r="N581">
        <v>182283.07</v>
      </c>
      <c r="O581">
        <v>282620.5</v>
      </c>
      <c r="P581">
        <v>69061.679999999993</v>
      </c>
      <c r="Q581" s="1" t="s">
        <v>2114</v>
      </c>
      <c r="R581">
        <v>34</v>
      </c>
      <c r="S581" s="1" t="s">
        <v>2115</v>
      </c>
      <c r="T581" t="b">
        <v>1</v>
      </c>
    </row>
    <row r="582" spans="1:20" x14ac:dyDescent="0.25">
      <c r="A582" s="1" t="s">
        <v>2116</v>
      </c>
      <c r="B582" s="1" t="s">
        <v>228</v>
      </c>
      <c r="C582" s="1" t="s">
        <v>1049</v>
      </c>
      <c r="D582" s="1" t="s">
        <v>541</v>
      </c>
      <c r="E582" s="1" t="s">
        <v>41</v>
      </c>
      <c r="F582" s="1" t="s">
        <v>25</v>
      </c>
      <c r="G582" s="2">
        <v>44984</v>
      </c>
      <c r="H582" s="2">
        <v>44996</v>
      </c>
      <c r="I582">
        <v>9</v>
      </c>
      <c r="J582">
        <v>12</v>
      </c>
      <c r="K582">
        <v>3</v>
      </c>
      <c r="L582" s="1" t="s">
        <v>26</v>
      </c>
      <c r="M582">
        <v>135.9</v>
      </c>
      <c r="N582">
        <v>292032.98</v>
      </c>
      <c r="O582">
        <v>2703438.88</v>
      </c>
      <c r="P582">
        <v>584200.46</v>
      </c>
      <c r="Q582" s="1" t="s">
        <v>2117</v>
      </c>
      <c r="R582">
        <v>69</v>
      </c>
      <c r="S582" s="1" t="s">
        <v>2118</v>
      </c>
      <c r="T582" t="b">
        <v>1</v>
      </c>
    </row>
    <row r="583" spans="1:20" x14ac:dyDescent="0.25">
      <c r="A583" s="1" t="s">
        <v>2119</v>
      </c>
      <c r="B583" s="1" t="s">
        <v>174</v>
      </c>
      <c r="C583" s="1" t="s">
        <v>982</v>
      </c>
      <c r="D583" s="1" t="s">
        <v>207</v>
      </c>
      <c r="E583" s="1" t="s">
        <v>49</v>
      </c>
      <c r="F583" s="1" t="s">
        <v>25</v>
      </c>
      <c r="G583" s="2">
        <v>44662</v>
      </c>
      <c r="H583" s="2">
        <v>44683</v>
      </c>
      <c r="I583">
        <v>25</v>
      </c>
      <c r="J583">
        <v>21</v>
      </c>
      <c r="K583">
        <v>0</v>
      </c>
      <c r="L583" s="1" t="s">
        <v>26</v>
      </c>
      <c r="M583">
        <v>218.9</v>
      </c>
      <c r="N583">
        <v>976312.98</v>
      </c>
      <c r="O583">
        <v>4192363.77</v>
      </c>
      <c r="P583">
        <v>721302.43</v>
      </c>
      <c r="Q583" s="1" t="s">
        <v>2120</v>
      </c>
      <c r="R583">
        <v>46</v>
      </c>
      <c r="S583" s="1" t="s">
        <v>2121</v>
      </c>
      <c r="T583" t="b">
        <v>1</v>
      </c>
    </row>
    <row r="584" spans="1:20" x14ac:dyDescent="0.25">
      <c r="A584" s="1" t="s">
        <v>2122</v>
      </c>
      <c r="B584" s="1" t="s">
        <v>54</v>
      </c>
      <c r="C584" s="1" t="s">
        <v>363</v>
      </c>
      <c r="D584" s="1" t="s">
        <v>95</v>
      </c>
      <c r="E584" s="1" t="s">
        <v>33</v>
      </c>
      <c r="F584" s="1" t="s">
        <v>25</v>
      </c>
      <c r="G584" s="2">
        <v>45071</v>
      </c>
      <c r="H584" s="2">
        <v>45077</v>
      </c>
      <c r="I584">
        <v>12</v>
      </c>
      <c r="J584">
        <v>6</v>
      </c>
      <c r="K584">
        <v>0</v>
      </c>
      <c r="L584" s="1" t="s">
        <v>26</v>
      </c>
      <c r="M584">
        <v>78.400000000000006</v>
      </c>
      <c r="N584">
        <v>252581.24</v>
      </c>
      <c r="O584">
        <v>2512481.61</v>
      </c>
      <c r="P584">
        <v>495317.73</v>
      </c>
      <c r="Q584" s="1" t="s">
        <v>2123</v>
      </c>
      <c r="R584">
        <v>69</v>
      </c>
      <c r="S584" s="1" t="s">
        <v>2124</v>
      </c>
      <c r="T584" t="b">
        <v>1</v>
      </c>
    </row>
    <row r="585" spans="1:20" x14ac:dyDescent="0.25">
      <c r="A585" s="1" t="s">
        <v>2125</v>
      </c>
      <c r="B585" s="1" t="s">
        <v>82</v>
      </c>
      <c r="C585" s="1" t="s">
        <v>1426</v>
      </c>
      <c r="D585" s="1" t="s">
        <v>726</v>
      </c>
      <c r="E585" s="1" t="s">
        <v>24</v>
      </c>
      <c r="F585" s="1" t="s">
        <v>34</v>
      </c>
      <c r="G585" s="2">
        <v>44631</v>
      </c>
      <c r="H585" s="2"/>
      <c r="I585">
        <v>3</v>
      </c>
      <c r="J585">
        <v>1</v>
      </c>
      <c r="K585">
        <v>0</v>
      </c>
      <c r="L585" s="1" t="s">
        <v>26</v>
      </c>
      <c r="M585">
        <v>13.8</v>
      </c>
      <c r="N585">
        <v>38918.94</v>
      </c>
      <c r="O585">
        <v>2009747.17</v>
      </c>
      <c r="P585">
        <v>372508.12</v>
      </c>
      <c r="Q585" s="1" t="s">
        <v>2126</v>
      </c>
      <c r="R585">
        <v>66</v>
      </c>
      <c r="S585" s="1" t="s">
        <v>2127</v>
      </c>
      <c r="T585" t="b">
        <v>0</v>
      </c>
    </row>
    <row r="586" spans="1:20" x14ac:dyDescent="0.25">
      <c r="A586" s="1" t="s">
        <v>2128</v>
      </c>
      <c r="B586" s="1" t="s">
        <v>328</v>
      </c>
      <c r="C586" s="1" t="s">
        <v>1130</v>
      </c>
      <c r="D586" s="1" t="s">
        <v>595</v>
      </c>
      <c r="E586" s="1" t="s">
        <v>33</v>
      </c>
      <c r="F586" s="1" t="s">
        <v>34</v>
      </c>
      <c r="G586" s="2">
        <v>44603</v>
      </c>
      <c r="H586" s="2"/>
      <c r="I586">
        <v>12</v>
      </c>
      <c r="J586">
        <v>14</v>
      </c>
      <c r="K586">
        <v>2</v>
      </c>
      <c r="L586" s="1" t="s">
        <v>26</v>
      </c>
      <c r="M586">
        <v>157.6</v>
      </c>
      <c r="N586">
        <v>348294.17</v>
      </c>
      <c r="O586">
        <v>3682008.26</v>
      </c>
      <c r="P586">
        <v>722480.08</v>
      </c>
      <c r="Q586" s="1" t="s">
        <v>1161</v>
      </c>
      <c r="R586">
        <v>52</v>
      </c>
      <c r="S586" s="1" t="s">
        <v>2129</v>
      </c>
      <c r="T586" t="b">
        <v>1</v>
      </c>
    </row>
    <row r="587" spans="1:20" x14ac:dyDescent="0.25">
      <c r="A587" s="1" t="s">
        <v>2130</v>
      </c>
      <c r="B587" s="1" t="s">
        <v>38</v>
      </c>
      <c r="C587" s="1" t="s">
        <v>1267</v>
      </c>
      <c r="D587" s="1" t="s">
        <v>84</v>
      </c>
      <c r="E587" s="1" t="s">
        <v>24</v>
      </c>
      <c r="F587" s="1" t="s">
        <v>25</v>
      </c>
      <c r="G587" s="2">
        <v>45180</v>
      </c>
      <c r="H587" s="2">
        <v>45182</v>
      </c>
      <c r="I587">
        <v>3</v>
      </c>
      <c r="J587">
        <v>2</v>
      </c>
      <c r="K587">
        <v>0</v>
      </c>
      <c r="L587" s="1" t="s">
        <v>26</v>
      </c>
      <c r="M587">
        <v>10.4</v>
      </c>
      <c r="N587">
        <v>45936.89</v>
      </c>
      <c r="O587">
        <v>2885243.9</v>
      </c>
      <c r="P587">
        <v>403500.7</v>
      </c>
      <c r="Q587" s="1" t="s">
        <v>2131</v>
      </c>
      <c r="R587">
        <v>50</v>
      </c>
      <c r="S587" s="1" t="s">
        <v>2132</v>
      </c>
      <c r="T587" t="b">
        <v>0</v>
      </c>
    </row>
    <row r="588" spans="1:20" x14ac:dyDescent="0.25">
      <c r="A588" s="1" t="s">
        <v>2133</v>
      </c>
      <c r="B588" s="1" t="s">
        <v>93</v>
      </c>
      <c r="C588" s="1" t="s">
        <v>467</v>
      </c>
      <c r="D588" s="1" t="s">
        <v>505</v>
      </c>
      <c r="E588" s="1" t="s">
        <v>49</v>
      </c>
      <c r="F588" s="1" t="s">
        <v>25</v>
      </c>
      <c r="G588" s="2">
        <v>45654</v>
      </c>
      <c r="H588" s="2">
        <v>45676</v>
      </c>
      <c r="I588">
        <v>25</v>
      </c>
      <c r="J588">
        <v>22</v>
      </c>
      <c r="K588">
        <v>0</v>
      </c>
      <c r="L588" s="1" t="s">
        <v>26</v>
      </c>
      <c r="M588">
        <v>92.5</v>
      </c>
      <c r="N588">
        <v>290634.46000000002</v>
      </c>
      <c r="O588">
        <v>1974289.46</v>
      </c>
      <c r="P588">
        <v>310914.64</v>
      </c>
      <c r="Q588" s="1" t="s">
        <v>2134</v>
      </c>
      <c r="R588">
        <v>45</v>
      </c>
      <c r="S588" s="1" t="s">
        <v>2135</v>
      </c>
      <c r="T588" t="b">
        <v>1</v>
      </c>
    </row>
    <row r="589" spans="1:20" x14ac:dyDescent="0.25">
      <c r="A589" s="1" t="s">
        <v>2136</v>
      </c>
      <c r="B589" s="1" t="s">
        <v>76</v>
      </c>
      <c r="C589" s="1" t="s">
        <v>1635</v>
      </c>
      <c r="D589" s="1" t="s">
        <v>130</v>
      </c>
      <c r="E589" s="1" t="s">
        <v>24</v>
      </c>
      <c r="F589" s="1" t="s">
        <v>25</v>
      </c>
      <c r="G589" s="2">
        <v>45477</v>
      </c>
      <c r="H589" s="2">
        <v>45482</v>
      </c>
      <c r="I589">
        <v>3</v>
      </c>
      <c r="J589">
        <v>5</v>
      </c>
      <c r="K589">
        <v>2</v>
      </c>
      <c r="L589" s="1" t="s">
        <v>26</v>
      </c>
      <c r="M589">
        <v>26.5</v>
      </c>
      <c r="N589">
        <v>69924.13</v>
      </c>
      <c r="O589">
        <v>727418.59</v>
      </c>
      <c r="P589">
        <v>129959.99</v>
      </c>
      <c r="Q589" s="1" t="s">
        <v>2137</v>
      </c>
      <c r="R589">
        <v>35</v>
      </c>
      <c r="S589" s="1" t="s">
        <v>2138</v>
      </c>
      <c r="T589" t="b">
        <v>1</v>
      </c>
    </row>
    <row r="590" spans="1:20" x14ac:dyDescent="0.25">
      <c r="A590" s="1" t="s">
        <v>2139</v>
      </c>
      <c r="B590" s="1" t="s">
        <v>228</v>
      </c>
      <c r="C590" s="1" t="s">
        <v>2140</v>
      </c>
      <c r="D590" s="1" t="s">
        <v>582</v>
      </c>
      <c r="E590" s="1" t="s">
        <v>65</v>
      </c>
      <c r="F590" s="1" t="s">
        <v>66</v>
      </c>
      <c r="G590" s="2">
        <v>44851</v>
      </c>
      <c r="H590" s="2"/>
      <c r="I590">
        <v>4</v>
      </c>
      <c r="J590">
        <v>8</v>
      </c>
      <c r="K590">
        <v>3.5</v>
      </c>
      <c r="L590" s="1" t="s">
        <v>101</v>
      </c>
      <c r="M590">
        <v>82.2</v>
      </c>
      <c r="N590">
        <v>334311.92</v>
      </c>
      <c r="O590">
        <v>3805302.18</v>
      </c>
      <c r="P590">
        <v>438357.38</v>
      </c>
      <c r="Q590" s="1" t="s">
        <v>2141</v>
      </c>
      <c r="R590">
        <v>40</v>
      </c>
      <c r="S590" s="1" t="s">
        <v>2142</v>
      </c>
      <c r="T590" t="b">
        <v>0</v>
      </c>
    </row>
    <row r="591" spans="1:20" x14ac:dyDescent="0.25">
      <c r="A591" s="1" t="s">
        <v>2143</v>
      </c>
      <c r="B591" s="1" t="s">
        <v>451</v>
      </c>
      <c r="C591" s="1" t="s">
        <v>1212</v>
      </c>
      <c r="D591" s="1" t="s">
        <v>202</v>
      </c>
      <c r="E591" s="1" t="s">
        <v>24</v>
      </c>
      <c r="F591" s="1" t="s">
        <v>34</v>
      </c>
      <c r="G591" s="2">
        <v>44573</v>
      </c>
      <c r="H591" s="2"/>
      <c r="I591">
        <v>3</v>
      </c>
      <c r="J591">
        <v>2</v>
      </c>
      <c r="K591">
        <v>0</v>
      </c>
      <c r="L591" s="1" t="s">
        <v>26</v>
      </c>
      <c r="M591">
        <v>26.1</v>
      </c>
      <c r="N591">
        <v>102982.21</v>
      </c>
      <c r="O591">
        <v>2732487.79</v>
      </c>
      <c r="P591">
        <v>372301.8</v>
      </c>
      <c r="Q591" s="1" t="s">
        <v>2144</v>
      </c>
      <c r="R591">
        <v>74</v>
      </c>
      <c r="S591" s="1" t="s">
        <v>2145</v>
      </c>
      <c r="T591" t="b">
        <v>1</v>
      </c>
    </row>
    <row r="592" spans="1:20" x14ac:dyDescent="0.25">
      <c r="A592" s="1" t="s">
        <v>2146</v>
      </c>
      <c r="B592" s="1" t="s">
        <v>105</v>
      </c>
      <c r="C592" s="1" t="s">
        <v>22</v>
      </c>
      <c r="D592" s="1" t="s">
        <v>48</v>
      </c>
      <c r="E592" s="1" t="s">
        <v>65</v>
      </c>
      <c r="F592" s="1" t="s">
        <v>34</v>
      </c>
      <c r="G592" s="2">
        <v>44777</v>
      </c>
      <c r="H592" s="2"/>
      <c r="I592">
        <v>4</v>
      </c>
      <c r="J592">
        <v>2</v>
      </c>
      <c r="K592">
        <v>0</v>
      </c>
      <c r="L592" s="1" t="s">
        <v>26</v>
      </c>
      <c r="M592">
        <v>17</v>
      </c>
      <c r="N592">
        <v>65341.1</v>
      </c>
      <c r="O592">
        <v>818844.64</v>
      </c>
      <c r="P592">
        <v>154568.82</v>
      </c>
      <c r="Q592" s="1" t="s">
        <v>2147</v>
      </c>
      <c r="R592">
        <v>47</v>
      </c>
      <c r="S592" s="1" t="s">
        <v>2148</v>
      </c>
      <c r="T592" t="b">
        <v>0</v>
      </c>
    </row>
    <row r="593" spans="1:20" x14ac:dyDescent="0.25">
      <c r="A593" s="1" t="s">
        <v>2149</v>
      </c>
      <c r="B593" s="1" t="s">
        <v>163</v>
      </c>
      <c r="C593" s="1" t="s">
        <v>455</v>
      </c>
      <c r="D593" s="1" t="s">
        <v>655</v>
      </c>
      <c r="E593" s="1" t="s">
        <v>41</v>
      </c>
      <c r="F593" s="1" t="s">
        <v>50</v>
      </c>
      <c r="G593" s="2">
        <v>44911</v>
      </c>
      <c r="H593" s="2"/>
      <c r="I593">
        <v>9</v>
      </c>
      <c r="J593">
        <v>11</v>
      </c>
      <c r="K593">
        <v>2</v>
      </c>
      <c r="L593" s="1" t="s">
        <v>26</v>
      </c>
      <c r="M593">
        <v>108.3</v>
      </c>
      <c r="N593">
        <v>413953.17</v>
      </c>
      <c r="O593">
        <v>2739954.4</v>
      </c>
      <c r="P593">
        <v>441359.61</v>
      </c>
      <c r="Q593" s="1" t="s">
        <v>2150</v>
      </c>
      <c r="R593">
        <v>40</v>
      </c>
      <c r="S593" s="1" t="s">
        <v>2151</v>
      </c>
      <c r="T593" t="b">
        <v>0</v>
      </c>
    </row>
    <row r="594" spans="1:20" x14ac:dyDescent="0.25">
      <c r="A594" s="1" t="s">
        <v>2152</v>
      </c>
      <c r="B594" s="1" t="s">
        <v>228</v>
      </c>
      <c r="C594" s="1" t="s">
        <v>634</v>
      </c>
      <c r="D594" s="1" t="s">
        <v>154</v>
      </c>
      <c r="E594" s="1" t="s">
        <v>57</v>
      </c>
      <c r="F594" s="1" t="s">
        <v>25</v>
      </c>
      <c r="G594" s="2">
        <v>44901</v>
      </c>
      <c r="H594" s="2">
        <v>44954</v>
      </c>
      <c r="I594">
        <v>40</v>
      </c>
      <c r="J594">
        <v>53</v>
      </c>
      <c r="K594">
        <v>13</v>
      </c>
      <c r="L594" s="1" t="s">
        <v>193</v>
      </c>
      <c r="M594">
        <v>647.70000000000005</v>
      </c>
      <c r="N594">
        <v>2569812.62</v>
      </c>
      <c r="O594">
        <v>4760456.8600000003</v>
      </c>
      <c r="P594">
        <v>1005165.63</v>
      </c>
      <c r="Q594" s="1" t="s">
        <v>2153</v>
      </c>
      <c r="R594">
        <v>53</v>
      </c>
      <c r="S594" s="1" t="s">
        <v>2154</v>
      </c>
      <c r="T594" t="b">
        <v>0</v>
      </c>
    </row>
    <row r="595" spans="1:20" x14ac:dyDescent="0.25">
      <c r="A595" s="1" t="s">
        <v>2155</v>
      </c>
      <c r="B595" s="1" t="s">
        <v>122</v>
      </c>
      <c r="C595" s="1" t="s">
        <v>677</v>
      </c>
      <c r="D595" s="1" t="s">
        <v>207</v>
      </c>
      <c r="E595" s="1" t="s">
        <v>24</v>
      </c>
      <c r="F595" s="1" t="s">
        <v>25</v>
      </c>
      <c r="G595" s="2">
        <v>44582</v>
      </c>
      <c r="H595" s="2">
        <v>44584</v>
      </c>
      <c r="I595">
        <v>3</v>
      </c>
      <c r="J595">
        <v>2</v>
      </c>
      <c r="K595">
        <v>0</v>
      </c>
      <c r="L595" s="1" t="s">
        <v>26</v>
      </c>
      <c r="M595">
        <v>11.6</v>
      </c>
      <c r="N595">
        <v>22979.94</v>
      </c>
      <c r="O595">
        <v>4885110.91</v>
      </c>
      <c r="P595">
        <v>643863.24</v>
      </c>
      <c r="Q595" s="1" t="s">
        <v>2156</v>
      </c>
      <c r="R595">
        <v>26</v>
      </c>
      <c r="S595" s="1" t="s">
        <v>2157</v>
      </c>
      <c r="T595" t="b">
        <v>1</v>
      </c>
    </row>
    <row r="596" spans="1:20" x14ac:dyDescent="0.25">
      <c r="A596" s="1" t="s">
        <v>2158</v>
      </c>
      <c r="B596" s="1" t="s">
        <v>286</v>
      </c>
      <c r="C596" s="1" t="s">
        <v>896</v>
      </c>
      <c r="D596" s="1" t="s">
        <v>124</v>
      </c>
      <c r="E596" s="1" t="s">
        <v>49</v>
      </c>
      <c r="F596" s="1" t="s">
        <v>25</v>
      </c>
      <c r="G596" s="2">
        <v>45521</v>
      </c>
      <c r="H596" s="2">
        <v>45533</v>
      </c>
      <c r="I596">
        <v>25</v>
      </c>
      <c r="J596">
        <v>12</v>
      </c>
      <c r="K596">
        <v>0</v>
      </c>
      <c r="L596" s="1" t="s">
        <v>26</v>
      </c>
      <c r="M596">
        <v>98.5</v>
      </c>
      <c r="N596">
        <v>326007.56</v>
      </c>
      <c r="O596">
        <v>1137887.26</v>
      </c>
      <c r="P596">
        <v>238442.37</v>
      </c>
      <c r="Q596" s="1" t="s">
        <v>1151</v>
      </c>
      <c r="R596">
        <v>39</v>
      </c>
      <c r="S596" s="1" t="s">
        <v>2159</v>
      </c>
      <c r="T596" t="b">
        <v>0</v>
      </c>
    </row>
    <row r="597" spans="1:20" x14ac:dyDescent="0.25">
      <c r="A597" s="1" t="s">
        <v>2160</v>
      </c>
      <c r="B597" s="1" t="s">
        <v>185</v>
      </c>
      <c r="C597" s="1" t="s">
        <v>734</v>
      </c>
      <c r="D597" s="1" t="s">
        <v>176</v>
      </c>
      <c r="E597" s="1" t="s">
        <v>24</v>
      </c>
      <c r="F597" s="1" t="s">
        <v>66</v>
      </c>
      <c r="G597" s="2">
        <v>45387</v>
      </c>
      <c r="H597" s="2"/>
      <c r="I597">
        <v>3</v>
      </c>
      <c r="J597">
        <v>5</v>
      </c>
      <c r="K597">
        <v>2</v>
      </c>
      <c r="L597" s="1" t="s">
        <v>26</v>
      </c>
      <c r="M597">
        <v>58.5</v>
      </c>
      <c r="N597">
        <v>137298.79</v>
      </c>
      <c r="O597">
        <v>2967269.24</v>
      </c>
      <c r="P597">
        <v>342426.49</v>
      </c>
      <c r="Q597" s="1" t="s">
        <v>2161</v>
      </c>
      <c r="R597">
        <v>71</v>
      </c>
      <c r="S597" s="1" t="s">
        <v>2162</v>
      </c>
      <c r="T597" t="b">
        <v>0</v>
      </c>
    </row>
    <row r="598" spans="1:20" x14ac:dyDescent="0.25">
      <c r="A598" s="1" t="s">
        <v>2163</v>
      </c>
      <c r="B598" s="1" t="s">
        <v>272</v>
      </c>
      <c r="C598" s="1" t="s">
        <v>642</v>
      </c>
      <c r="D598" s="1" t="s">
        <v>372</v>
      </c>
      <c r="E598" s="1" t="s">
        <v>49</v>
      </c>
      <c r="F598" s="1" t="s">
        <v>50</v>
      </c>
      <c r="G598" s="2">
        <v>45238</v>
      </c>
      <c r="H598" s="2"/>
      <c r="I598">
        <v>25</v>
      </c>
      <c r="J598">
        <v>37</v>
      </c>
      <c r="K598">
        <v>12</v>
      </c>
      <c r="L598" s="1" t="s">
        <v>193</v>
      </c>
      <c r="M598">
        <v>410.9</v>
      </c>
      <c r="N598">
        <v>1047195.6</v>
      </c>
      <c r="O598">
        <v>4038424.92</v>
      </c>
      <c r="P598">
        <v>951690.77</v>
      </c>
      <c r="Q598" s="1" t="s">
        <v>2164</v>
      </c>
      <c r="R598">
        <v>25</v>
      </c>
      <c r="S598" s="1" t="s">
        <v>2165</v>
      </c>
      <c r="T598" t="b">
        <v>1</v>
      </c>
    </row>
    <row r="599" spans="1:20" x14ac:dyDescent="0.25">
      <c r="A599" s="1" t="s">
        <v>2166</v>
      </c>
      <c r="B599" s="1" t="s">
        <v>545</v>
      </c>
      <c r="C599" s="1" t="s">
        <v>262</v>
      </c>
      <c r="D599" s="1" t="s">
        <v>726</v>
      </c>
      <c r="E599" s="1" t="s">
        <v>57</v>
      </c>
      <c r="F599" s="1" t="s">
        <v>25</v>
      </c>
      <c r="G599" s="2">
        <v>44855</v>
      </c>
      <c r="H599" s="2">
        <v>44875</v>
      </c>
      <c r="I599">
        <v>40</v>
      </c>
      <c r="J599">
        <v>20</v>
      </c>
      <c r="K599">
        <v>0</v>
      </c>
      <c r="L599" s="1" t="s">
        <v>26</v>
      </c>
      <c r="M599">
        <v>157.6</v>
      </c>
      <c r="N599">
        <v>664926.06999999995</v>
      </c>
      <c r="O599">
        <v>270424.03999999998</v>
      </c>
      <c r="P599">
        <v>141397.37</v>
      </c>
      <c r="Q599" s="1" t="s">
        <v>2167</v>
      </c>
      <c r="R599">
        <v>68</v>
      </c>
      <c r="S599" s="1" t="s">
        <v>2168</v>
      </c>
      <c r="T599" t="b">
        <v>1</v>
      </c>
    </row>
    <row r="600" spans="1:20" x14ac:dyDescent="0.25">
      <c r="A600" s="1" t="s">
        <v>2169</v>
      </c>
      <c r="B600" s="1" t="s">
        <v>566</v>
      </c>
      <c r="C600" s="1" t="s">
        <v>1017</v>
      </c>
      <c r="D600" s="1" t="s">
        <v>154</v>
      </c>
      <c r="E600" s="1" t="s">
        <v>49</v>
      </c>
      <c r="F600" s="1" t="s">
        <v>25</v>
      </c>
      <c r="G600" s="2">
        <v>45055</v>
      </c>
      <c r="H600" s="2">
        <v>45077</v>
      </c>
      <c r="I600">
        <v>25</v>
      </c>
      <c r="J600">
        <v>22</v>
      </c>
      <c r="K600">
        <v>0</v>
      </c>
      <c r="L600" s="1" t="s">
        <v>26</v>
      </c>
      <c r="M600">
        <v>292.3</v>
      </c>
      <c r="N600">
        <v>1083515.29</v>
      </c>
      <c r="O600">
        <v>1781408.24</v>
      </c>
      <c r="P600">
        <v>526759</v>
      </c>
      <c r="Q600" s="1" t="s">
        <v>2170</v>
      </c>
      <c r="R600">
        <v>80</v>
      </c>
      <c r="S600" s="1" t="s">
        <v>2171</v>
      </c>
      <c r="T600" t="b">
        <v>0</v>
      </c>
    </row>
    <row r="601" spans="1:20" x14ac:dyDescent="0.25">
      <c r="A601" s="1" t="s">
        <v>2172</v>
      </c>
      <c r="B601" s="1" t="s">
        <v>348</v>
      </c>
      <c r="C601" s="1" t="s">
        <v>77</v>
      </c>
      <c r="D601" s="1" t="s">
        <v>541</v>
      </c>
      <c r="E601" s="1" t="s">
        <v>65</v>
      </c>
      <c r="F601" s="1" t="s">
        <v>66</v>
      </c>
      <c r="G601" s="2">
        <v>44854</v>
      </c>
      <c r="H601" s="2"/>
      <c r="I601">
        <v>4</v>
      </c>
      <c r="J601">
        <v>8</v>
      </c>
      <c r="K601">
        <v>3.5</v>
      </c>
      <c r="L601" s="1" t="s">
        <v>58</v>
      </c>
      <c r="M601">
        <v>79</v>
      </c>
      <c r="N601">
        <v>310486.25</v>
      </c>
      <c r="O601">
        <v>3429984.25</v>
      </c>
      <c r="P601">
        <v>582729.80000000005</v>
      </c>
      <c r="Q601" s="1" t="s">
        <v>2173</v>
      </c>
      <c r="R601">
        <v>62</v>
      </c>
      <c r="S601" s="1" t="s">
        <v>2174</v>
      </c>
      <c r="T601" t="b">
        <v>0</v>
      </c>
    </row>
    <row r="602" spans="1:20" x14ac:dyDescent="0.25">
      <c r="A602" s="1" t="s">
        <v>2175</v>
      </c>
      <c r="B602" s="1" t="s">
        <v>169</v>
      </c>
      <c r="C602" s="1" t="s">
        <v>164</v>
      </c>
      <c r="D602" s="1" t="s">
        <v>655</v>
      </c>
      <c r="E602" s="1" t="s">
        <v>57</v>
      </c>
      <c r="F602" s="1" t="s">
        <v>66</v>
      </c>
      <c r="G602" s="2">
        <v>45430</v>
      </c>
      <c r="H602" s="2"/>
      <c r="I602">
        <v>40</v>
      </c>
      <c r="J602">
        <v>55</v>
      </c>
      <c r="K602">
        <v>15</v>
      </c>
      <c r="L602" s="1" t="s">
        <v>193</v>
      </c>
      <c r="M602">
        <v>798.4</v>
      </c>
      <c r="N602">
        <v>3421652.36</v>
      </c>
      <c r="O602">
        <v>963010.23</v>
      </c>
      <c r="P602">
        <v>602542.9</v>
      </c>
      <c r="Q602" s="1" t="s">
        <v>2176</v>
      </c>
      <c r="R602">
        <v>32</v>
      </c>
      <c r="S602" s="1" t="s">
        <v>2177</v>
      </c>
      <c r="T602" t="b">
        <v>1</v>
      </c>
    </row>
    <row r="603" spans="1:20" x14ac:dyDescent="0.25">
      <c r="A603" s="1" t="s">
        <v>2178</v>
      </c>
      <c r="B603" s="1" t="s">
        <v>21</v>
      </c>
      <c r="C603" s="1" t="s">
        <v>1442</v>
      </c>
      <c r="D603" s="1" t="s">
        <v>410</v>
      </c>
      <c r="E603" s="1" t="s">
        <v>24</v>
      </c>
      <c r="F603" s="1" t="s">
        <v>25</v>
      </c>
      <c r="G603" s="2">
        <v>45197</v>
      </c>
      <c r="H603" s="2">
        <v>45200</v>
      </c>
      <c r="I603">
        <v>3</v>
      </c>
      <c r="J603">
        <v>3</v>
      </c>
      <c r="K603">
        <v>0</v>
      </c>
      <c r="L603" s="1" t="s">
        <v>26</v>
      </c>
      <c r="M603">
        <v>45</v>
      </c>
      <c r="N603">
        <v>142089.39000000001</v>
      </c>
      <c r="O603">
        <v>74842.570000000007</v>
      </c>
      <c r="P603">
        <v>27616.04</v>
      </c>
      <c r="Q603" s="1" t="s">
        <v>2179</v>
      </c>
      <c r="R603">
        <v>65</v>
      </c>
      <c r="S603" s="1" t="s">
        <v>2180</v>
      </c>
      <c r="T603" t="b">
        <v>0</v>
      </c>
    </row>
    <row r="604" spans="1:20" x14ac:dyDescent="0.25">
      <c r="A604" s="1" t="s">
        <v>2181</v>
      </c>
      <c r="B604" s="1" t="s">
        <v>451</v>
      </c>
      <c r="C604" s="1" t="s">
        <v>1939</v>
      </c>
      <c r="D604" s="1" t="s">
        <v>165</v>
      </c>
      <c r="E604" s="1" t="s">
        <v>41</v>
      </c>
      <c r="F604" s="1" t="s">
        <v>25</v>
      </c>
      <c r="G604" s="2">
        <v>45123</v>
      </c>
      <c r="H604" s="2">
        <v>45135</v>
      </c>
      <c r="I604">
        <v>9</v>
      </c>
      <c r="J604">
        <v>12</v>
      </c>
      <c r="K604">
        <v>3</v>
      </c>
      <c r="L604" s="1" t="s">
        <v>26</v>
      </c>
      <c r="M604">
        <v>166.6</v>
      </c>
      <c r="N604">
        <v>688158.02</v>
      </c>
      <c r="O604">
        <v>4638598.45</v>
      </c>
      <c r="P604">
        <v>1063876.6200000001</v>
      </c>
      <c r="Q604" s="1" t="s">
        <v>2182</v>
      </c>
      <c r="R604">
        <v>26</v>
      </c>
      <c r="S604" s="1" t="s">
        <v>2183</v>
      </c>
      <c r="T604" t="b">
        <v>1</v>
      </c>
    </row>
    <row r="605" spans="1:20" x14ac:dyDescent="0.25">
      <c r="A605" s="1" t="s">
        <v>2184</v>
      </c>
      <c r="B605" s="1" t="s">
        <v>169</v>
      </c>
      <c r="C605" s="1" t="s">
        <v>2185</v>
      </c>
      <c r="D605" s="1" t="s">
        <v>758</v>
      </c>
      <c r="E605" s="1" t="s">
        <v>33</v>
      </c>
      <c r="F605" s="1" t="s">
        <v>66</v>
      </c>
      <c r="G605" s="2">
        <v>45318</v>
      </c>
      <c r="H605" s="2"/>
      <c r="I605">
        <v>12</v>
      </c>
      <c r="J605">
        <v>17</v>
      </c>
      <c r="K605">
        <v>5</v>
      </c>
      <c r="L605" s="1" t="s">
        <v>58</v>
      </c>
      <c r="M605">
        <v>99.3</v>
      </c>
      <c r="N605">
        <v>376121.55</v>
      </c>
      <c r="O605">
        <v>4355856.97</v>
      </c>
      <c r="P605">
        <v>535493.5</v>
      </c>
      <c r="Q605" s="1" t="s">
        <v>2186</v>
      </c>
      <c r="R605">
        <v>26</v>
      </c>
      <c r="S605" s="1" t="s">
        <v>2187</v>
      </c>
      <c r="T605" t="b">
        <v>0</v>
      </c>
    </row>
    <row r="606" spans="1:20" x14ac:dyDescent="0.25">
      <c r="A606" s="1" t="s">
        <v>2188</v>
      </c>
      <c r="B606" s="1" t="s">
        <v>348</v>
      </c>
      <c r="C606" s="1" t="s">
        <v>409</v>
      </c>
      <c r="D606" s="1" t="s">
        <v>192</v>
      </c>
      <c r="E606" s="1" t="s">
        <v>41</v>
      </c>
      <c r="F606" s="1" t="s">
        <v>66</v>
      </c>
      <c r="G606" s="2">
        <v>44959</v>
      </c>
      <c r="H606" s="2"/>
      <c r="I606">
        <v>9</v>
      </c>
      <c r="J606">
        <v>14</v>
      </c>
      <c r="K606">
        <v>5</v>
      </c>
      <c r="L606" s="1" t="s">
        <v>26</v>
      </c>
      <c r="M606">
        <v>58.8</v>
      </c>
      <c r="N606">
        <v>238765.55</v>
      </c>
      <c r="O606">
        <v>4242667.83</v>
      </c>
      <c r="P606">
        <v>589971.87</v>
      </c>
      <c r="Q606" s="1" t="s">
        <v>2189</v>
      </c>
      <c r="R606">
        <v>80</v>
      </c>
      <c r="S606" s="1" t="s">
        <v>2190</v>
      </c>
      <c r="T606" t="b">
        <v>0</v>
      </c>
    </row>
    <row r="607" spans="1:20" x14ac:dyDescent="0.25">
      <c r="A607" s="1" t="s">
        <v>2191</v>
      </c>
      <c r="B607" s="1" t="s">
        <v>117</v>
      </c>
      <c r="C607" s="1" t="s">
        <v>521</v>
      </c>
      <c r="D607" s="1" t="s">
        <v>410</v>
      </c>
      <c r="E607" s="1" t="s">
        <v>41</v>
      </c>
      <c r="F607" s="1" t="s">
        <v>34</v>
      </c>
      <c r="G607" s="2">
        <v>45414</v>
      </c>
      <c r="H607" s="2"/>
      <c r="I607">
        <v>9</v>
      </c>
      <c r="J607">
        <v>3</v>
      </c>
      <c r="K607">
        <v>0</v>
      </c>
      <c r="L607" s="1" t="s">
        <v>26</v>
      </c>
      <c r="M607">
        <v>14.3</v>
      </c>
      <c r="N607">
        <v>57595.09</v>
      </c>
      <c r="O607">
        <v>2512613.21</v>
      </c>
      <c r="P607">
        <v>444377.98</v>
      </c>
      <c r="Q607" s="1" t="s">
        <v>2192</v>
      </c>
      <c r="R607">
        <v>52</v>
      </c>
      <c r="S607" s="1" t="s">
        <v>2193</v>
      </c>
      <c r="T607" t="b">
        <v>0</v>
      </c>
    </row>
    <row r="608" spans="1:20" x14ac:dyDescent="0.25">
      <c r="A608" s="1" t="s">
        <v>2194</v>
      </c>
      <c r="B608" s="1" t="s">
        <v>418</v>
      </c>
      <c r="C608" s="1" t="s">
        <v>2195</v>
      </c>
      <c r="D608" s="1" t="s">
        <v>1022</v>
      </c>
      <c r="E608" s="1" t="s">
        <v>41</v>
      </c>
      <c r="F608" s="1" t="s">
        <v>34</v>
      </c>
      <c r="G608" s="2">
        <v>44916</v>
      </c>
      <c r="H608" s="2"/>
      <c r="I608">
        <v>9</v>
      </c>
      <c r="J608">
        <v>3</v>
      </c>
      <c r="K608">
        <v>0</v>
      </c>
      <c r="L608" s="1" t="s">
        <v>26</v>
      </c>
      <c r="M608">
        <v>23.2</v>
      </c>
      <c r="N608">
        <v>76873.440000000002</v>
      </c>
      <c r="O608">
        <v>597395.71</v>
      </c>
      <c r="P608">
        <v>98864.87</v>
      </c>
      <c r="Q608" s="1" t="s">
        <v>2196</v>
      </c>
      <c r="R608">
        <v>78</v>
      </c>
      <c r="S608" s="1" t="s">
        <v>2197</v>
      </c>
      <c r="T608" t="b">
        <v>1</v>
      </c>
    </row>
    <row r="609" spans="1:20" x14ac:dyDescent="0.25">
      <c r="A609" s="1" t="s">
        <v>2198</v>
      </c>
      <c r="B609" s="1" t="s">
        <v>418</v>
      </c>
      <c r="C609" s="1" t="s">
        <v>922</v>
      </c>
      <c r="D609" s="1" t="s">
        <v>48</v>
      </c>
      <c r="E609" s="1" t="s">
        <v>41</v>
      </c>
      <c r="F609" s="1" t="s">
        <v>25</v>
      </c>
      <c r="G609" s="2">
        <v>44935</v>
      </c>
      <c r="H609" s="2">
        <v>44940</v>
      </c>
      <c r="I609">
        <v>9</v>
      </c>
      <c r="J609">
        <v>5</v>
      </c>
      <c r="K609">
        <v>0</v>
      </c>
      <c r="L609" s="1" t="s">
        <v>26</v>
      </c>
      <c r="M609">
        <v>39.1</v>
      </c>
      <c r="N609">
        <v>136532.79999999999</v>
      </c>
      <c r="O609">
        <v>110335.79</v>
      </c>
      <c r="P609">
        <v>28867.23</v>
      </c>
      <c r="Q609" s="1" t="s">
        <v>2199</v>
      </c>
      <c r="R609">
        <v>66</v>
      </c>
      <c r="S609" s="1" t="s">
        <v>2200</v>
      </c>
      <c r="T609" t="b">
        <v>1</v>
      </c>
    </row>
    <row r="610" spans="1:20" x14ac:dyDescent="0.25">
      <c r="A610" s="1" t="s">
        <v>2201</v>
      </c>
      <c r="B610" s="1" t="s">
        <v>185</v>
      </c>
      <c r="C610" s="1" t="s">
        <v>459</v>
      </c>
      <c r="D610" s="1" t="s">
        <v>113</v>
      </c>
      <c r="E610" s="1" t="s">
        <v>41</v>
      </c>
      <c r="F610" s="1" t="s">
        <v>34</v>
      </c>
      <c r="G610" s="2">
        <v>45192</v>
      </c>
      <c r="H610" s="2"/>
      <c r="I610">
        <v>9</v>
      </c>
      <c r="J610">
        <v>6</v>
      </c>
      <c r="K610">
        <v>0</v>
      </c>
      <c r="L610" s="1" t="s">
        <v>26</v>
      </c>
      <c r="M610">
        <v>77.8</v>
      </c>
      <c r="N610">
        <v>295087.49</v>
      </c>
      <c r="O610">
        <v>1559330.44</v>
      </c>
      <c r="P610">
        <v>255781.8</v>
      </c>
      <c r="Q610" s="1" t="s">
        <v>2202</v>
      </c>
      <c r="R610">
        <v>34</v>
      </c>
      <c r="S610" s="1" t="s">
        <v>2203</v>
      </c>
      <c r="T610" t="b">
        <v>1</v>
      </c>
    </row>
    <row r="611" spans="1:20" x14ac:dyDescent="0.25">
      <c r="A611" s="1" t="s">
        <v>2204</v>
      </c>
      <c r="B611" s="1" t="s">
        <v>403</v>
      </c>
      <c r="C611" s="1" t="s">
        <v>463</v>
      </c>
      <c r="D611" s="1" t="s">
        <v>244</v>
      </c>
      <c r="E611" s="1" t="s">
        <v>57</v>
      </c>
      <c r="F611" s="1" t="s">
        <v>25</v>
      </c>
      <c r="G611" s="2">
        <v>45120</v>
      </c>
      <c r="H611" s="2">
        <v>45158</v>
      </c>
      <c r="I611">
        <v>40</v>
      </c>
      <c r="J611">
        <v>38</v>
      </c>
      <c r="K611">
        <v>0</v>
      </c>
      <c r="L611" s="1" t="s">
        <v>26</v>
      </c>
      <c r="M611">
        <v>270.3</v>
      </c>
      <c r="N611">
        <v>807363.25</v>
      </c>
      <c r="O611">
        <v>471136.17</v>
      </c>
      <c r="P611">
        <v>173256.25</v>
      </c>
      <c r="Q611" s="1" t="s">
        <v>2205</v>
      </c>
      <c r="R611">
        <v>60</v>
      </c>
      <c r="S611" s="1" t="s">
        <v>2206</v>
      </c>
      <c r="T611" t="b">
        <v>1</v>
      </c>
    </row>
    <row r="612" spans="1:20" x14ac:dyDescent="0.25">
      <c r="A612" s="1" t="s">
        <v>2207</v>
      </c>
      <c r="B612" s="1" t="s">
        <v>76</v>
      </c>
      <c r="C612" s="1" t="s">
        <v>112</v>
      </c>
      <c r="D612" s="1" t="s">
        <v>410</v>
      </c>
      <c r="E612" s="1" t="s">
        <v>49</v>
      </c>
      <c r="F612" s="1" t="s">
        <v>25</v>
      </c>
      <c r="G612" s="2">
        <v>44637</v>
      </c>
      <c r="H612" s="2">
        <v>44651</v>
      </c>
      <c r="I612">
        <v>25</v>
      </c>
      <c r="J612">
        <v>14</v>
      </c>
      <c r="K612">
        <v>0</v>
      </c>
      <c r="L612" s="1" t="s">
        <v>26</v>
      </c>
      <c r="M612">
        <v>146.4</v>
      </c>
      <c r="N612">
        <v>346790.79</v>
      </c>
      <c r="O612">
        <v>3513915.46</v>
      </c>
      <c r="P612">
        <v>520006.84</v>
      </c>
      <c r="Q612" s="1" t="s">
        <v>2208</v>
      </c>
      <c r="R612">
        <v>52</v>
      </c>
      <c r="S612" s="1" t="s">
        <v>2209</v>
      </c>
      <c r="T612" t="b">
        <v>0</v>
      </c>
    </row>
    <row r="613" spans="1:20" x14ac:dyDescent="0.25">
      <c r="A613" s="1" t="s">
        <v>2210</v>
      </c>
      <c r="B613" s="1" t="s">
        <v>70</v>
      </c>
      <c r="C613" s="1" t="s">
        <v>486</v>
      </c>
      <c r="D613" s="1" t="s">
        <v>130</v>
      </c>
      <c r="E613" s="1" t="s">
        <v>49</v>
      </c>
      <c r="F613" s="1" t="s">
        <v>50</v>
      </c>
      <c r="G613" s="2">
        <v>44747</v>
      </c>
      <c r="H613" s="2"/>
      <c r="I613">
        <v>25</v>
      </c>
      <c r="J613">
        <v>16</v>
      </c>
      <c r="K613">
        <v>0</v>
      </c>
      <c r="L613" s="1" t="s">
        <v>26</v>
      </c>
      <c r="M613">
        <v>113.6</v>
      </c>
      <c r="N613">
        <v>347929.32</v>
      </c>
      <c r="O613">
        <v>166925.76999999999</v>
      </c>
      <c r="P613">
        <v>57421.69</v>
      </c>
      <c r="Q613" s="1" t="s">
        <v>2211</v>
      </c>
      <c r="R613">
        <v>40</v>
      </c>
      <c r="S613" s="1" t="s">
        <v>2212</v>
      </c>
      <c r="T613" t="b">
        <v>0</v>
      </c>
    </row>
    <row r="614" spans="1:20" x14ac:dyDescent="0.25">
      <c r="A614" s="1" t="s">
        <v>2213</v>
      </c>
      <c r="B614" s="1" t="s">
        <v>228</v>
      </c>
      <c r="C614" s="1" t="s">
        <v>1521</v>
      </c>
      <c r="D614" s="1" t="s">
        <v>344</v>
      </c>
      <c r="E614" s="1" t="s">
        <v>41</v>
      </c>
      <c r="F614" s="1" t="s">
        <v>66</v>
      </c>
      <c r="G614" s="2">
        <v>45335</v>
      </c>
      <c r="H614" s="2"/>
      <c r="I614">
        <v>9</v>
      </c>
      <c r="J614">
        <v>3</v>
      </c>
      <c r="K614">
        <v>0</v>
      </c>
      <c r="L614" s="1" t="s">
        <v>26</v>
      </c>
      <c r="M614">
        <v>23.6</v>
      </c>
      <c r="N614">
        <v>49145.94</v>
      </c>
      <c r="O614">
        <v>1800831.9</v>
      </c>
      <c r="P614">
        <v>351685.24</v>
      </c>
      <c r="Q614" s="1" t="s">
        <v>2214</v>
      </c>
      <c r="R614">
        <v>78</v>
      </c>
      <c r="S614" s="1" t="s">
        <v>2215</v>
      </c>
      <c r="T614" t="b">
        <v>0</v>
      </c>
    </row>
    <row r="615" spans="1:20" x14ac:dyDescent="0.25">
      <c r="A615" s="1" t="s">
        <v>2216</v>
      </c>
      <c r="B615" s="1" t="s">
        <v>451</v>
      </c>
      <c r="C615" s="1" t="s">
        <v>2217</v>
      </c>
      <c r="D615" s="1" t="s">
        <v>144</v>
      </c>
      <c r="E615" s="1" t="s">
        <v>57</v>
      </c>
      <c r="F615" s="1" t="s">
        <v>25</v>
      </c>
      <c r="G615" s="2">
        <v>45189</v>
      </c>
      <c r="H615" s="2">
        <v>45243</v>
      </c>
      <c r="I615">
        <v>40</v>
      </c>
      <c r="J615">
        <v>54</v>
      </c>
      <c r="K615">
        <v>14</v>
      </c>
      <c r="L615" s="1" t="s">
        <v>26</v>
      </c>
      <c r="M615">
        <v>336.6</v>
      </c>
      <c r="N615">
        <v>625646.81000000006</v>
      </c>
      <c r="O615">
        <v>4048014.45</v>
      </c>
      <c r="P615">
        <v>680693.37</v>
      </c>
      <c r="Q615" s="1" t="s">
        <v>2218</v>
      </c>
      <c r="R615">
        <v>66</v>
      </c>
      <c r="S615" s="1" t="s">
        <v>2219</v>
      </c>
      <c r="T615" t="b">
        <v>0</v>
      </c>
    </row>
    <row r="616" spans="1:20" x14ac:dyDescent="0.25">
      <c r="A616" s="1" t="s">
        <v>2220</v>
      </c>
      <c r="B616" s="1" t="s">
        <v>38</v>
      </c>
      <c r="C616" s="1" t="s">
        <v>697</v>
      </c>
      <c r="D616" s="1" t="s">
        <v>541</v>
      </c>
      <c r="E616" s="1" t="s">
        <v>65</v>
      </c>
      <c r="F616" s="1" t="s">
        <v>34</v>
      </c>
      <c r="G616" s="2">
        <v>45253</v>
      </c>
      <c r="H616" s="2"/>
      <c r="I616">
        <v>4</v>
      </c>
      <c r="J616">
        <v>7</v>
      </c>
      <c r="K616">
        <v>2.5</v>
      </c>
      <c r="L616" s="1" t="s">
        <v>26</v>
      </c>
      <c r="M616">
        <v>53.2</v>
      </c>
      <c r="N616">
        <v>235200.78</v>
      </c>
      <c r="O616">
        <v>4388389.24</v>
      </c>
      <c r="P616">
        <v>815218.9</v>
      </c>
      <c r="Q616" s="1" t="s">
        <v>2221</v>
      </c>
      <c r="R616">
        <v>37</v>
      </c>
      <c r="S616" s="1" t="s">
        <v>2222</v>
      </c>
      <c r="T616" t="b">
        <v>0</v>
      </c>
    </row>
    <row r="617" spans="1:20" x14ac:dyDescent="0.25">
      <c r="A617" s="1" t="s">
        <v>2223</v>
      </c>
      <c r="B617" s="1" t="s">
        <v>70</v>
      </c>
      <c r="C617" s="1" t="s">
        <v>1113</v>
      </c>
      <c r="D617" s="1" t="s">
        <v>187</v>
      </c>
      <c r="E617" s="1" t="s">
        <v>57</v>
      </c>
      <c r="F617" s="1" t="s">
        <v>66</v>
      </c>
      <c r="G617" s="2">
        <v>44620</v>
      </c>
      <c r="H617" s="2"/>
      <c r="I617">
        <v>40</v>
      </c>
      <c r="J617">
        <v>30</v>
      </c>
      <c r="K617">
        <v>0</v>
      </c>
      <c r="L617" s="1" t="s">
        <v>26</v>
      </c>
      <c r="M617">
        <v>452</v>
      </c>
      <c r="N617">
        <v>1895600.84</v>
      </c>
      <c r="O617">
        <v>4826525.7</v>
      </c>
      <c r="P617">
        <v>1306005.8899999999</v>
      </c>
      <c r="Q617" s="1" t="s">
        <v>2224</v>
      </c>
      <c r="R617">
        <v>41</v>
      </c>
      <c r="S617" s="1" t="s">
        <v>2225</v>
      </c>
      <c r="T617" t="b">
        <v>1</v>
      </c>
    </row>
    <row r="618" spans="1:20" x14ac:dyDescent="0.25">
      <c r="A618" s="1" t="s">
        <v>2226</v>
      </c>
      <c r="B618" s="1" t="s">
        <v>328</v>
      </c>
      <c r="C618" s="1" t="s">
        <v>854</v>
      </c>
      <c r="D618" s="1" t="s">
        <v>670</v>
      </c>
      <c r="E618" s="1" t="s">
        <v>24</v>
      </c>
      <c r="F618" s="1" t="s">
        <v>50</v>
      </c>
      <c r="G618" s="2">
        <v>44747</v>
      </c>
      <c r="H618" s="2"/>
      <c r="I618">
        <v>3</v>
      </c>
      <c r="J618">
        <v>2</v>
      </c>
      <c r="K618">
        <v>0</v>
      </c>
      <c r="L618" s="1" t="s">
        <v>26</v>
      </c>
      <c r="M618">
        <v>27.2</v>
      </c>
      <c r="N618">
        <v>82647.92</v>
      </c>
      <c r="O618">
        <v>835056.98</v>
      </c>
      <c r="P618">
        <v>91847.87</v>
      </c>
      <c r="Q618" s="1" t="s">
        <v>2076</v>
      </c>
      <c r="R618">
        <v>31</v>
      </c>
      <c r="S618" s="1" t="s">
        <v>2227</v>
      </c>
      <c r="T618" t="b">
        <v>1</v>
      </c>
    </row>
    <row r="619" spans="1:20" x14ac:dyDescent="0.25">
      <c r="A619" s="1" t="s">
        <v>2228</v>
      </c>
      <c r="B619" s="1" t="s">
        <v>99</v>
      </c>
      <c r="C619" s="1" t="s">
        <v>837</v>
      </c>
      <c r="D619" s="1" t="s">
        <v>410</v>
      </c>
      <c r="E619" s="1" t="s">
        <v>65</v>
      </c>
      <c r="F619" s="1" t="s">
        <v>25</v>
      </c>
      <c r="G619" s="2">
        <v>44978</v>
      </c>
      <c r="H619" s="2">
        <v>44982</v>
      </c>
      <c r="I619">
        <v>4</v>
      </c>
      <c r="J619">
        <v>4</v>
      </c>
      <c r="K619">
        <v>0</v>
      </c>
      <c r="L619" s="1" t="s">
        <v>26</v>
      </c>
      <c r="M619">
        <v>23.4</v>
      </c>
      <c r="N619">
        <v>77206.899999999994</v>
      </c>
      <c r="O619">
        <v>3880286.51</v>
      </c>
      <c r="P619">
        <v>397706.23999999999</v>
      </c>
      <c r="Q619" s="1" t="s">
        <v>2229</v>
      </c>
      <c r="R619">
        <v>33</v>
      </c>
      <c r="S619" s="1" t="s">
        <v>2230</v>
      </c>
      <c r="T619" t="b">
        <v>0</v>
      </c>
    </row>
    <row r="620" spans="1:20" x14ac:dyDescent="0.25">
      <c r="A620" s="1" t="s">
        <v>2231</v>
      </c>
      <c r="B620" s="1" t="s">
        <v>163</v>
      </c>
      <c r="C620" s="1" t="s">
        <v>2232</v>
      </c>
      <c r="D620" s="1" t="s">
        <v>72</v>
      </c>
      <c r="E620" s="1" t="s">
        <v>65</v>
      </c>
      <c r="F620" s="1" t="s">
        <v>34</v>
      </c>
      <c r="G620" s="2">
        <v>45332</v>
      </c>
      <c r="H620" s="2"/>
      <c r="I620">
        <v>4</v>
      </c>
      <c r="J620">
        <v>4</v>
      </c>
      <c r="K620">
        <v>0</v>
      </c>
      <c r="L620" s="1" t="s">
        <v>26</v>
      </c>
      <c r="M620">
        <v>52.6</v>
      </c>
      <c r="N620">
        <v>108289.05</v>
      </c>
      <c r="O620">
        <v>651226.93999999994</v>
      </c>
      <c r="P620">
        <v>133906.03</v>
      </c>
      <c r="Q620" s="1" t="s">
        <v>631</v>
      </c>
      <c r="R620">
        <v>45</v>
      </c>
      <c r="S620" s="1" t="s">
        <v>2233</v>
      </c>
      <c r="T620" t="b">
        <v>1</v>
      </c>
    </row>
    <row r="621" spans="1:20" x14ac:dyDescent="0.25">
      <c r="A621" s="1" t="s">
        <v>2234</v>
      </c>
      <c r="B621" s="1" t="s">
        <v>253</v>
      </c>
      <c r="C621" s="1" t="s">
        <v>1776</v>
      </c>
      <c r="D621" s="1" t="s">
        <v>181</v>
      </c>
      <c r="E621" s="1" t="s">
        <v>65</v>
      </c>
      <c r="F621" s="1" t="s">
        <v>34</v>
      </c>
      <c r="G621" s="2">
        <v>45272</v>
      </c>
      <c r="H621" s="2"/>
      <c r="I621">
        <v>4</v>
      </c>
      <c r="J621">
        <v>1</v>
      </c>
      <c r="K621">
        <v>0</v>
      </c>
      <c r="L621" s="1" t="s">
        <v>26</v>
      </c>
      <c r="M621">
        <v>6.7</v>
      </c>
      <c r="N621">
        <v>23068.17</v>
      </c>
      <c r="O621">
        <v>3841541.19</v>
      </c>
      <c r="P621">
        <v>529116.25</v>
      </c>
      <c r="Q621" s="1" t="s">
        <v>2235</v>
      </c>
      <c r="R621">
        <v>24</v>
      </c>
      <c r="S621" s="1" t="s">
        <v>2236</v>
      </c>
      <c r="T621" t="b">
        <v>1</v>
      </c>
    </row>
    <row r="622" spans="1:20" x14ac:dyDescent="0.25">
      <c r="A622" s="1" t="s">
        <v>2237</v>
      </c>
      <c r="B622" s="1" t="s">
        <v>128</v>
      </c>
      <c r="C622" s="1" t="s">
        <v>1452</v>
      </c>
      <c r="D622" s="1" t="s">
        <v>582</v>
      </c>
      <c r="E622" s="1" t="s">
        <v>65</v>
      </c>
      <c r="F622" s="1" t="s">
        <v>25</v>
      </c>
      <c r="G622" s="2">
        <v>44844</v>
      </c>
      <c r="H622" s="2">
        <v>44845</v>
      </c>
      <c r="I622">
        <v>4</v>
      </c>
      <c r="J622">
        <v>1</v>
      </c>
      <c r="K622">
        <v>0</v>
      </c>
      <c r="L622" s="1" t="s">
        <v>26</v>
      </c>
      <c r="M622">
        <v>6.5</v>
      </c>
      <c r="N622">
        <v>19341.28</v>
      </c>
      <c r="O622">
        <v>1704537.41</v>
      </c>
      <c r="P622">
        <v>285137.28000000003</v>
      </c>
      <c r="Q622" s="1" t="s">
        <v>2238</v>
      </c>
      <c r="R622">
        <v>36</v>
      </c>
      <c r="S622" s="1" t="s">
        <v>2239</v>
      </c>
      <c r="T622" t="b">
        <v>0</v>
      </c>
    </row>
    <row r="623" spans="1:20" x14ac:dyDescent="0.25">
      <c r="A623" s="1" t="s">
        <v>2240</v>
      </c>
      <c r="B623" s="1" t="s">
        <v>272</v>
      </c>
      <c r="C623" s="1" t="s">
        <v>1009</v>
      </c>
      <c r="D623" s="1" t="s">
        <v>758</v>
      </c>
      <c r="E623" s="1" t="s">
        <v>57</v>
      </c>
      <c r="F623" s="1" t="s">
        <v>25</v>
      </c>
      <c r="G623" s="2">
        <v>44929</v>
      </c>
      <c r="H623" s="2">
        <v>44982</v>
      </c>
      <c r="I623">
        <v>40</v>
      </c>
      <c r="J623">
        <v>53</v>
      </c>
      <c r="K623">
        <v>13</v>
      </c>
      <c r="L623" s="1" t="s">
        <v>42</v>
      </c>
      <c r="M623">
        <v>742.6</v>
      </c>
      <c r="N623">
        <v>2268859.3199999998</v>
      </c>
      <c r="O623">
        <v>422375.95</v>
      </c>
      <c r="P623">
        <v>453759.93</v>
      </c>
      <c r="Q623" s="1" t="s">
        <v>2241</v>
      </c>
      <c r="R623">
        <v>28</v>
      </c>
      <c r="S623" s="1" t="s">
        <v>2242</v>
      </c>
      <c r="T623" t="b">
        <v>0</v>
      </c>
    </row>
    <row r="624" spans="1:20" x14ac:dyDescent="0.25">
      <c r="A624" s="1" t="s">
        <v>2243</v>
      </c>
      <c r="B624" s="1" t="s">
        <v>169</v>
      </c>
      <c r="C624" s="1" t="s">
        <v>129</v>
      </c>
      <c r="D624" s="1" t="s">
        <v>56</v>
      </c>
      <c r="E624" s="1" t="s">
        <v>33</v>
      </c>
      <c r="F624" s="1" t="s">
        <v>25</v>
      </c>
      <c r="G624" s="2">
        <v>45493</v>
      </c>
      <c r="H624" s="2">
        <v>45509</v>
      </c>
      <c r="I624">
        <v>12</v>
      </c>
      <c r="J624">
        <v>16</v>
      </c>
      <c r="K624">
        <v>4</v>
      </c>
      <c r="L624" s="1" t="s">
        <v>26</v>
      </c>
      <c r="M624">
        <v>248.3</v>
      </c>
      <c r="N624">
        <v>716245.97</v>
      </c>
      <c r="O624">
        <v>3859084.7</v>
      </c>
      <c r="P624">
        <v>596144.77</v>
      </c>
      <c r="Q624" s="1" t="s">
        <v>2244</v>
      </c>
      <c r="R624">
        <v>69</v>
      </c>
      <c r="S624" s="1" t="s">
        <v>2245</v>
      </c>
      <c r="T624" t="b">
        <v>0</v>
      </c>
    </row>
    <row r="625" spans="1:20" x14ac:dyDescent="0.25">
      <c r="A625" s="1" t="s">
        <v>2246</v>
      </c>
      <c r="B625" s="1" t="s">
        <v>228</v>
      </c>
      <c r="C625" s="1" t="s">
        <v>428</v>
      </c>
      <c r="D625" s="1" t="s">
        <v>513</v>
      </c>
      <c r="E625" s="1" t="s">
        <v>49</v>
      </c>
      <c r="F625" s="1" t="s">
        <v>25</v>
      </c>
      <c r="G625" s="2">
        <v>45248</v>
      </c>
      <c r="H625" s="2">
        <v>45261</v>
      </c>
      <c r="I625">
        <v>25</v>
      </c>
      <c r="J625">
        <v>13</v>
      </c>
      <c r="K625">
        <v>0</v>
      </c>
      <c r="L625" s="1" t="s">
        <v>26</v>
      </c>
      <c r="M625">
        <v>174.5</v>
      </c>
      <c r="N625">
        <v>776173.06</v>
      </c>
      <c r="O625">
        <v>2663241.0299999998</v>
      </c>
      <c r="P625">
        <v>475833.25</v>
      </c>
      <c r="Q625" s="1" t="s">
        <v>2247</v>
      </c>
      <c r="R625">
        <v>52</v>
      </c>
      <c r="S625" s="1" t="s">
        <v>2248</v>
      </c>
      <c r="T625" t="b">
        <v>0</v>
      </c>
    </row>
    <row r="626" spans="1:20" x14ac:dyDescent="0.25">
      <c r="A626" s="1" t="s">
        <v>2249</v>
      </c>
      <c r="B626" s="1" t="s">
        <v>286</v>
      </c>
      <c r="C626" s="1" t="s">
        <v>83</v>
      </c>
      <c r="D626" s="1" t="s">
        <v>89</v>
      </c>
      <c r="E626" s="1" t="s">
        <v>33</v>
      </c>
      <c r="F626" s="1" t="s">
        <v>25</v>
      </c>
      <c r="G626" s="2">
        <v>45452</v>
      </c>
      <c r="H626" s="2">
        <v>45462</v>
      </c>
      <c r="I626">
        <v>12</v>
      </c>
      <c r="J626">
        <v>10</v>
      </c>
      <c r="K626">
        <v>0</v>
      </c>
      <c r="L626" s="1" t="s">
        <v>26</v>
      </c>
      <c r="M626">
        <v>44.8</v>
      </c>
      <c r="N626">
        <v>185620.79</v>
      </c>
      <c r="O626">
        <v>2306651.0699999998</v>
      </c>
      <c r="P626">
        <v>261706.87</v>
      </c>
      <c r="Q626" s="1" t="s">
        <v>2250</v>
      </c>
      <c r="R626">
        <v>38</v>
      </c>
      <c r="S626" s="1" t="s">
        <v>2251</v>
      </c>
      <c r="T626" t="b">
        <v>1</v>
      </c>
    </row>
    <row r="627" spans="1:20" x14ac:dyDescent="0.25">
      <c r="A627" s="1" t="s">
        <v>2252</v>
      </c>
      <c r="B627" s="1" t="s">
        <v>122</v>
      </c>
      <c r="C627" s="1" t="s">
        <v>476</v>
      </c>
      <c r="D627" s="1" t="s">
        <v>249</v>
      </c>
      <c r="E627" s="1" t="s">
        <v>57</v>
      </c>
      <c r="F627" s="1" t="s">
        <v>25</v>
      </c>
      <c r="G627" s="2">
        <v>45109</v>
      </c>
      <c r="H627" s="2">
        <v>45151</v>
      </c>
      <c r="I627">
        <v>40</v>
      </c>
      <c r="J627">
        <v>42</v>
      </c>
      <c r="K627">
        <v>2</v>
      </c>
      <c r="L627" s="1" t="s">
        <v>26</v>
      </c>
      <c r="M627">
        <v>378.2</v>
      </c>
      <c r="N627">
        <v>1136974.8700000001</v>
      </c>
      <c r="O627">
        <v>1495439.91</v>
      </c>
      <c r="P627">
        <v>272616.84000000003</v>
      </c>
      <c r="Q627" s="1" t="s">
        <v>2253</v>
      </c>
      <c r="R627">
        <v>31</v>
      </c>
      <c r="S627" s="1" t="s">
        <v>2254</v>
      </c>
      <c r="T627" t="b">
        <v>1</v>
      </c>
    </row>
    <row r="628" spans="1:20" x14ac:dyDescent="0.25">
      <c r="A628" s="1" t="s">
        <v>2255</v>
      </c>
      <c r="B628" s="1" t="s">
        <v>403</v>
      </c>
      <c r="C628" s="1" t="s">
        <v>2256</v>
      </c>
      <c r="D628" s="1" t="s">
        <v>216</v>
      </c>
      <c r="E628" s="1" t="s">
        <v>33</v>
      </c>
      <c r="F628" s="1" t="s">
        <v>25</v>
      </c>
      <c r="G628" s="2">
        <v>45657</v>
      </c>
      <c r="H628" s="2">
        <v>45674</v>
      </c>
      <c r="I628">
        <v>12</v>
      </c>
      <c r="J628">
        <v>17</v>
      </c>
      <c r="K628">
        <v>5</v>
      </c>
      <c r="L628" s="1" t="s">
        <v>42</v>
      </c>
      <c r="M628">
        <v>97.5</v>
      </c>
      <c r="N628">
        <v>305400.78999999998</v>
      </c>
      <c r="O628">
        <v>4464656.22</v>
      </c>
      <c r="P628">
        <v>641756.93000000005</v>
      </c>
      <c r="Q628" s="1" t="s">
        <v>2257</v>
      </c>
      <c r="R628">
        <v>22</v>
      </c>
      <c r="S628" s="1" t="s">
        <v>2258</v>
      </c>
      <c r="T628" t="b">
        <v>1</v>
      </c>
    </row>
    <row r="629" spans="1:20" x14ac:dyDescent="0.25">
      <c r="A629" s="1" t="s">
        <v>2259</v>
      </c>
      <c r="B629" s="1" t="s">
        <v>228</v>
      </c>
      <c r="C629" s="1" t="s">
        <v>262</v>
      </c>
      <c r="D629" s="1" t="s">
        <v>595</v>
      </c>
      <c r="E629" s="1" t="s">
        <v>24</v>
      </c>
      <c r="F629" s="1" t="s">
        <v>25</v>
      </c>
      <c r="G629" s="2">
        <v>45230</v>
      </c>
      <c r="H629" s="2">
        <v>45232</v>
      </c>
      <c r="I629">
        <v>3</v>
      </c>
      <c r="J629">
        <v>2</v>
      </c>
      <c r="K629">
        <v>0</v>
      </c>
      <c r="L629" s="1" t="s">
        <v>26</v>
      </c>
      <c r="M629">
        <v>22.6</v>
      </c>
      <c r="N629">
        <v>84846.9</v>
      </c>
      <c r="O629">
        <v>4064257.62</v>
      </c>
      <c r="P629">
        <v>456867.32</v>
      </c>
      <c r="Q629" s="1" t="s">
        <v>2260</v>
      </c>
      <c r="R629">
        <v>45</v>
      </c>
      <c r="S629" s="1" t="s">
        <v>2261</v>
      </c>
      <c r="T629" t="b">
        <v>1</v>
      </c>
    </row>
    <row r="630" spans="1:20" x14ac:dyDescent="0.25">
      <c r="A630" s="1" t="s">
        <v>2262</v>
      </c>
      <c r="B630" s="1" t="s">
        <v>328</v>
      </c>
      <c r="C630" s="1" t="s">
        <v>1212</v>
      </c>
      <c r="D630" s="1" t="s">
        <v>282</v>
      </c>
      <c r="E630" s="1" t="s">
        <v>41</v>
      </c>
      <c r="F630" s="1" t="s">
        <v>25</v>
      </c>
      <c r="G630" s="2">
        <v>44938</v>
      </c>
      <c r="H630" s="2">
        <v>44952</v>
      </c>
      <c r="I630">
        <v>9</v>
      </c>
      <c r="J630">
        <v>14</v>
      </c>
      <c r="K630">
        <v>5</v>
      </c>
      <c r="L630" s="1" t="s">
        <v>330</v>
      </c>
      <c r="M630">
        <v>165.7</v>
      </c>
      <c r="N630">
        <v>693271.98</v>
      </c>
      <c r="O630">
        <v>4185898.05</v>
      </c>
      <c r="P630">
        <v>699397.45</v>
      </c>
      <c r="Q630" s="1" t="s">
        <v>2263</v>
      </c>
      <c r="R630">
        <v>74</v>
      </c>
      <c r="S630" s="1" t="s">
        <v>2264</v>
      </c>
      <c r="T630" t="b">
        <v>1</v>
      </c>
    </row>
    <row r="631" spans="1:20" x14ac:dyDescent="0.25">
      <c r="A631" s="1" t="s">
        <v>2265</v>
      </c>
      <c r="B631" s="1" t="s">
        <v>138</v>
      </c>
      <c r="C631" s="1" t="s">
        <v>2266</v>
      </c>
      <c r="D631" s="1" t="s">
        <v>181</v>
      </c>
      <c r="E631" s="1" t="s">
        <v>24</v>
      </c>
      <c r="F631" s="1" t="s">
        <v>66</v>
      </c>
      <c r="G631" s="2">
        <v>44662</v>
      </c>
      <c r="H631" s="2"/>
      <c r="I631">
        <v>3</v>
      </c>
      <c r="J631">
        <v>4</v>
      </c>
      <c r="K631">
        <v>1</v>
      </c>
      <c r="L631" s="1" t="s">
        <v>26</v>
      </c>
      <c r="M631">
        <v>26.3</v>
      </c>
      <c r="N631">
        <v>113768.31</v>
      </c>
      <c r="O631">
        <v>1381185.9</v>
      </c>
      <c r="P631">
        <v>252477.33</v>
      </c>
      <c r="Q631" s="1" t="s">
        <v>2267</v>
      </c>
      <c r="R631">
        <v>31</v>
      </c>
      <c r="S631" s="1" t="s">
        <v>2268</v>
      </c>
      <c r="T631" t="b">
        <v>0</v>
      </c>
    </row>
    <row r="632" spans="1:20" x14ac:dyDescent="0.25">
      <c r="A632" s="1" t="s">
        <v>2269</v>
      </c>
      <c r="B632" s="1" t="s">
        <v>545</v>
      </c>
      <c r="C632" s="1" t="s">
        <v>819</v>
      </c>
      <c r="D632" s="1" t="s">
        <v>268</v>
      </c>
      <c r="E632" s="1" t="s">
        <v>33</v>
      </c>
      <c r="F632" s="1" t="s">
        <v>25</v>
      </c>
      <c r="G632" s="2">
        <v>45120</v>
      </c>
      <c r="H632" s="2">
        <v>45129</v>
      </c>
      <c r="I632">
        <v>12</v>
      </c>
      <c r="J632">
        <v>9</v>
      </c>
      <c r="K632">
        <v>0</v>
      </c>
      <c r="L632" s="1" t="s">
        <v>26</v>
      </c>
      <c r="M632">
        <v>38</v>
      </c>
      <c r="N632">
        <v>110909.73</v>
      </c>
      <c r="O632">
        <v>657537.05000000005</v>
      </c>
      <c r="P632">
        <v>97366.3</v>
      </c>
      <c r="Q632" s="1" t="s">
        <v>2270</v>
      </c>
      <c r="R632">
        <v>34</v>
      </c>
      <c r="S632" s="1" t="s">
        <v>2271</v>
      </c>
      <c r="T632" t="b">
        <v>1</v>
      </c>
    </row>
    <row r="633" spans="1:20" x14ac:dyDescent="0.25">
      <c r="A633" s="1" t="s">
        <v>2272</v>
      </c>
      <c r="B633" s="1" t="s">
        <v>451</v>
      </c>
      <c r="C633" s="1" t="s">
        <v>2273</v>
      </c>
      <c r="D633" s="1" t="s">
        <v>192</v>
      </c>
      <c r="E633" s="1" t="s">
        <v>57</v>
      </c>
      <c r="F633" s="1" t="s">
        <v>25</v>
      </c>
      <c r="G633" s="2">
        <v>45226</v>
      </c>
      <c r="H633" s="2">
        <v>45285</v>
      </c>
      <c r="I633">
        <v>40</v>
      </c>
      <c r="J633">
        <v>59</v>
      </c>
      <c r="K633">
        <v>19</v>
      </c>
      <c r="L633" s="1" t="s">
        <v>26</v>
      </c>
      <c r="M633">
        <v>439.8</v>
      </c>
      <c r="N633">
        <v>1637151.42</v>
      </c>
      <c r="O633">
        <v>4136605.13</v>
      </c>
      <c r="P633">
        <v>916822.98</v>
      </c>
      <c r="Q633" s="1" t="s">
        <v>2274</v>
      </c>
      <c r="R633">
        <v>41</v>
      </c>
      <c r="S633" s="1" t="s">
        <v>2275</v>
      </c>
      <c r="T633" t="b">
        <v>0</v>
      </c>
    </row>
    <row r="634" spans="1:20" x14ac:dyDescent="0.25">
      <c r="A634" s="1" t="s">
        <v>2276</v>
      </c>
      <c r="B634" s="1" t="s">
        <v>21</v>
      </c>
      <c r="C634" s="1" t="s">
        <v>721</v>
      </c>
      <c r="D634" s="1" t="s">
        <v>187</v>
      </c>
      <c r="E634" s="1" t="s">
        <v>24</v>
      </c>
      <c r="F634" s="1" t="s">
        <v>50</v>
      </c>
      <c r="G634" s="2">
        <v>45216</v>
      </c>
      <c r="H634" s="2"/>
      <c r="I634">
        <v>3</v>
      </c>
      <c r="J634">
        <v>4</v>
      </c>
      <c r="K634">
        <v>1</v>
      </c>
      <c r="L634" s="1" t="s">
        <v>26</v>
      </c>
      <c r="M634">
        <v>23.3</v>
      </c>
      <c r="N634">
        <v>95687.54</v>
      </c>
      <c r="O634">
        <v>2499883.48</v>
      </c>
      <c r="P634">
        <v>397703.87</v>
      </c>
      <c r="Q634" s="1" t="s">
        <v>2277</v>
      </c>
      <c r="R634">
        <v>74</v>
      </c>
      <c r="S634" s="1" t="s">
        <v>2278</v>
      </c>
      <c r="T634" t="b">
        <v>1</v>
      </c>
    </row>
    <row r="635" spans="1:20" x14ac:dyDescent="0.25">
      <c r="A635" s="1" t="s">
        <v>2279</v>
      </c>
      <c r="B635" s="1" t="s">
        <v>54</v>
      </c>
      <c r="C635" s="1" t="s">
        <v>1780</v>
      </c>
      <c r="D635" s="1" t="s">
        <v>320</v>
      </c>
      <c r="E635" s="1" t="s">
        <v>49</v>
      </c>
      <c r="F635" s="1" t="s">
        <v>25</v>
      </c>
      <c r="G635" s="2">
        <v>45558</v>
      </c>
      <c r="H635" s="2">
        <v>45570</v>
      </c>
      <c r="I635">
        <v>25</v>
      </c>
      <c r="J635">
        <v>12</v>
      </c>
      <c r="K635">
        <v>0</v>
      </c>
      <c r="L635" s="1" t="s">
        <v>26</v>
      </c>
      <c r="M635">
        <v>77.900000000000006</v>
      </c>
      <c r="N635">
        <v>347367.41</v>
      </c>
      <c r="O635">
        <v>1852265.36</v>
      </c>
      <c r="P635">
        <v>284153.63</v>
      </c>
      <c r="Q635" s="1" t="s">
        <v>2280</v>
      </c>
      <c r="R635">
        <v>57</v>
      </c>
      <c r="S635" s="1" t="s">
        <v>2281</v>
      </c>
      <c r="T635" t="b">
        <v>1</v>
      </c>
    </row>
    <row r="636" spans="1:20" x14ac:dyDescent="0.25">
      <c r="A636" s="1" t="s">
        <v>2282</v>
      </c>
      <c r="B636" s="1" t="s">
        <v>122</v>
      </c>
      <c r="C636" s="1" t="s">
        <v>730</v>
      </c>
      <c r="D636" s="1" t="s">
        <v>293</v>
      </c>
      <c r="E636" s="1" t="s">
        <v>49</v>
      </c>
      <c r="F636" s="1" t="s">
        <v>25</v>
      </c>
      <c r="G636" s="2">
        <v>45282</v>
      </c>
      <c r="H636" s="2">
        <v>45305</v>
      </c>
      <c r="I636">
        <v>25</v>
      </c>
      <c r="J636">
        <v>23</v>
      </c>
      <c r="K636">
        <v>0</v>
      </c>
      <c r="L636" s="1" t="s">
        <v>26</v>
      </c>
      <c r="M636">
        <v>366.8</v>
      </c>
      <c r="N636">
        <v>683422.69</v>
      </c>
      <c r="O636">
        <v>4867051.7699999996</v>
      </c>
      <c r="P636">
        <v>863897.76</v>
      </c>
      <c r="Q636" s="1" t="s">
        <v>2283</v>
      </c>
      <c r="R636">
        <v>58</v>
      </c>
      <c r="S636" s="1" t="s">
        <v>2284</v>
      </c>
      <c r="T636" t="b">
        <v>1</v>
      </c>
    </row>
    <row r="637" spans="1:20" x14ac:dyDescent="0.25">
      <c r="A637" s="1" t="s">
        <v>2285</v>
      </c>
      <c r="B637" s="1" t="s">
        <v>21</v>
      </c>
      <c r="C637" s="1" t="s">
        <v>2286</v>
      </c>
      <c r="D637" s="1" t="s">
        <v>113</v>
      </c>
      <c r="E637" s="1" t="s">
        <v>65</v>
      </c>
      <c r="F637" s="1" t="s">
        <v>25</v>
      </c>
      <c r="G637" s="2">
        <v>44760</v>
      </c>
      <c r="H637" s="2">
        <v>44764</v>
      </c>
      <c r="I637">
        <v>4</v>
      </c>
      <c r="J637">
        <v>4</v>
      </c>
      <c r="K637">
        <v>0</v>
      </c>
      <c r="L637" s="1" t="s">
        <v>26</v>
      </c>
      <c r="M637">
        <v>63.6</v>
      </c>
      <c r="N637">
        <v>212488.33</v>
      </c>
      <c r="O637">
        <v>901325.97</v>
      </c>
      <c r="P637">
        <v>129104.17</v>
      </c>
      <c r="Q637" s="1" t="s">
        <v>2287</v>
      </c>
      <c r="R637">
        <v>42</v>
      </c>
      <c r="S637" s="1" t="s">
        <v>2288</v>
      </c>
      <c r="T637" t="b">
        <v>1</v>
      </c>
    </row>
    <row r="638" spans="1:20" x14ac:dyDescent="0.25">
      <c r="A638" s="1" t="s">
        <v>2289</v>
      </c>
      <c r="B638" s="1" t="s">
        <v>334</v>
      </c>
      <c r="C638" s="1" t="s">
        <v>654</v>
      </c>
      <c r="D638" s="1" t="s">
        <v>282</v>
      </c>
      <c r="E638" s="1" t="s">
        <v>49</v>
      </c>
      <c r="F638" s="1" t="s">
        <v>25</v>
      </c>
      <c r="G638" s="2">
        <v>45418</v>
      </c>
      <c r="H638" s="2">
        <v>45438</v>
      </c>
      <c r="I638">
        <v>25</v>
      </c>
      <c r="J638">
        <v>20</v>
      </c>
      <c r="K638">
        <v>0</v>
      </c>
      <c r="L638" s="1" t="s">
        <v>26</v>
      </c>
      <c r="M638">
        <v>264.89999999999998</v>
      </c>
      <c r="N638">
        <v>927612.06</v>
      </c>
      <c r="O638">
        <v>3324530.54</v>
      </c>
      <c r="P638">
        <v>717270.07</v>
      </c>
      <c r="Q638" s="1" t="s">
        <v>2290</v>
      </c>
      <c r="R638">
        <v>45</v>
      </c>
      <c r="S638" s="1" t="s">
        <v>2291</v>
      </c>
      <c r="T638" t="b">
        <v>1</v>
      </c>
    </row>
    <row r="639" spans="1:20" x14ac:dyDescent="0.25">
      <c r="A639" s="1" t="s">
        <v>2292</v>
      </c>
      <c r="B639" s="1" t="s">
        <v>228</v>
      </c>
      <c r="C639" s="1" t="s">
        <v>918</v>
      </c>
      <c r="D639" s="1" t="s">
        <v>315</v>
      </c>
      <c r="E639" s="1" t="s">
        <v>65</v>
      </c>
      <c r="F639" s="1" t="s">
        <v>50</v>
      </c>
      <c r="G639" s="2">
        <v>45389</v>
      </c>
      <c r="H639" s="2"/>
      <c r="I639">
        <v>4</v>
      </c>
      <c r="J639">
        <v>8</v>
      </c>
      <c r="K639">
        <v>3.5</v>
      </c>
      <c r="L639" s="1" t="s">
        <v>42</v>
      </c>
      <c r="M639">
        <v>59.5</v>
      </c>
      <c r="N639">
        <v>255629.01</v>
      </c>
      <c r="O639">
        <v>793269.34</v>
      </c>
      <c r="P639">
        <v>196494.52</v>
      </c>
      <c r="Q639" s="1" t="s">
        <v>2293</v>
      </c>
      <c r="R639">
        <v>31</v>
      </c>
      <c r="S639" s="1" t="s">
        <v>2294</v>
      </c>
      <c r="T639" t="b">
        <v>1</v>
      </c>
    </row>
    <row r="640" spans="1:20" x14ac:dyDescent="0.25">
      <c r="A640" s="1" t="s">
        <v>2295</v>
      </c>
      <c r="B640" s="1" t="s">
        <v>158</v>
      </c>
      <c r="C640" s="1" t="s">
        <v>550</v>
      </c>
      <c r="D640" s="1" t="s">
        <v>124</v>
      </c>
      <c r="E640" s="1" t="s">
        <v>49</v>
      </c>
      <c r="F640" s="1" t="s">
        <v>34</v>
      </c>
      <c r="G640" s="2">
        <v>45347</v>
      </c>
      <c r="H640" s="2"/>
      <c r="I640">
        <v>25</v>
      </c>
      <c r="J640">
        <v>23</v>
      </c>
      <c r="K640">
        <v>0</v>
      </c>
      <c r="L640" s="1" t="s">
        <v>26</v>
      </c>
      <c r="M640">
        <v>360.9</v>
      </c>
      <c r="N640">
        <v>1049422.5900000001</v>
      </c>
      <c r="O640">
        <v>3185720.21</v>
      </c>
      <c r="P640">
        <v>685617.09</v>
      </c>
      <c r="Q640" s="1" t="s">
        <v>2296</v>
      </c>
      <c r="R640">
        <v>46</v>
      </c>
      <c r="S640" s="1" t="s">
        <v>2297</v>
      </c>
      <c r="T640" t="b">
        <v>1</v>
      </c>
    </row>
    <row r="641" spans="1:20" x14ac:dyDescent="0.25">
      <c r="A641" s="1" t="s">
        <v>2298</v>
      </c>
      <c r="B641" s="1" t="s">
        <v>128</v>
      </c>
      <c r="C641" s="1" t="s">
        <v>1311</v>
      </c>
      <c r="D641" s="1" t="s">
        <v>726</v>
      </c>
      <c r="E641" s="1" t="s">
        <v>49</v>
      </c>
      <c r="F641" s="1" t="s">
        <v>25</v>
      </c>
      <c r="G641" s="2">
        <v>45227</v>
      </c>
      <c r="H641" s="2">
        <v>45242</v>
      </c>
      <c r="I641">
        <v>25</v>
      </c>
      <c r="J641">
        <v>15</v>
      </c>
      <c r="K641">
        <v>0</v>
      </c>
      <c r="L641" s="1" t="s">
        <v>26</v>
      </c>
      <c r="M641">
        <v>162.5</v>
      </c>
      <c r="N641">
        <v>499552.07</v>
      </c>
      <c r="O641">
        <v>463922.54</v>
      </c>
      <c r="P641">
        <v>132024.53</v>
      </c>
      <c r="Q641" s="1" t="s">
        <v>522</v>
      </c>
      <c r="R641">
        <v>75</v>
      </c>
      <c r="S641" s="1" t="s">
        <v>2299</v>
      </c>
      <c r="T641" t="b">
        <v>1</v>
      </c>
    </row>
    <row r="642" spans="1:20" x14ac:dyDescent="0.25">
      <c r="A642" s="1" t="s">
        <v>2300</v>
      </c>
      <c r="B642" s="1" t="s">
        <v>76</v>
      </c>
      <c r="C642" s="1" t="s">
        <v>467</v>
      </c>
      <c r="D642" s="1" t="s">
        <v>216</v>
      </c>
      <c r="E642" s="1" t="s">
        <v>65</v>
      </c>
      <c r="F642" s="1" t="s">
        <v>25</v>
      </c>
      <c r="G642" s="2">
        <v>44892</v>
      </c>
      <c r="H642" s="2">
        <v>44896</v>
      </c>
      <c r="I642">
        <v>4</v>
      </c>
      <c r="J642">
        <v>4</v>
      </c>
      <c r="K642">
        <v>0</v>
      </c>
      <c r="L642" s="1" t="s">
        <v>26</v>
      </c>
      <c r="M642">
        <v>24.4</v>
      </c>
      <c r="N642">
        <v>105658.84</v>
      </c>
      <c r="O642">
        <v>4607714.57</v>
      </c>
      <c r="P642">
        <v>623449.31000000006</v>
      </c>
      <c r="Q642" s="1" t="s">
        <v>2301</v>
      </c>
      <c r="R642">
        <v>49</v>
      </c>
      <c r="S642" s="1" t="s">
        <v>2302</v>
      </c>
      <c r="T642" t="b">
        <v>1</v>
      </c>
    </row>
    <row r="643" spans="1:20" x14ac:dyDescent="0.25">
      <c r="A643" s="1" t="s">
        <v>2303</v>
      </c>
      <c r="B643" s="1" t="s">
        <v>174</v>
      </c>
      <c r="C643" s="1" t="s">
        <v>2304</v>
      </c>
      <c r="D643" s="1" t="s">
        <v>216</v>
      </c>
      <c r="E643" s="1" t="s">
        <v>57</v>
      </c>
      <c r="F643" s="1" t="s">
        <v>50</v>
      </c>
      <c r="G643" s="2">
        <v>45470</v>
      </c>
      <c r="H643" s="2"/>
      <c r="I643">
        <v>40</v>
      </c>
      <c r="J643">
        <v>31</v>
      </c>
      <c r="K643">
        <v>0</v>
      </c>
      <c r="L643" s="1" t="s">
        <v>26</v>
      </c>
      <c r="M643">
        <v>485.9</v>
      </c>
      <c r="N643">
        <v>1530866.99</v>
      </c>
      <c r="O643">
        <v>564674.91</v>
      </c>
      <c r="P643">
        <v>336126.34</v>
      </c>
      <c r="Q643" s="1" t="s">
        <v>2305</v>
      </c>
      <c r="R643">
        <v>66</v>
      </c>
      <c r="S643" s="1" t="s">
        <v>2306</v>
      </c>
      <c r="T643" t="b">
        <v>1</v>
      </c>
    </row>
    <row r="644" spans="1:20" x14ac:dyDescent="0.25">
      <c r="A644" s="1" t="s">
        <v>2307</v>
      </c>
      <c r="B644" s="1" t="s">
        <v>122</v>
      </c>
      <c r="C644" s="1" t="s">
        <v>869</v>
      </c>
      <c r="D644" s="1" t="s">
        <v>405</v>
      </c>
      <c r="E644" s="1" t="s">
        <v>41</v>
      </c>
      <c r="F644" s="1" t="s">
        <v>25</v>
      </c>
      <c r="G644" s="2">
        <v>44576</v>
      </c>
      <c r="H644" s="2">
        <v>44589</v>
      </c>
      <c r="I644">
        <v>9</v>
      </c>
      <c r="J644">
        <v>13</v>
      </c>
      <c r="K644">
        <v>4</v>
      </c>
      <c r="L644" s="1" t="s">
        <v>330</v>
      </c>
      <c r="M644">
        <v>157.6</v>
      </c>
      <c r="N644">
        <v>652632.53</v>
      </c>
      <c r="O644">
        <v>4977717.41</v>
      </c>
      <c r="P644">
        <v>1048466.3</v>
      </c>
      <c r="Q644" s="1" t="s">
        <v>2308</v>
      </c>
      <c r="R644">
        <v>69</v>
      </c>
      <c r="S644" s="1" t="s">
        <v>2309</v>
      </c>
      <c r="T644" t="b">
        <v>1</v>
      </c>
    </row>
    <row r="645" spans="1:20" x14ac:dyDescent="0.25">
      <c r="A645" s="1" t="s">
        <v>2310</v>
      </c>
      <c r="B645" s="1" t="s">
        <v>334</v>
      </c>
      <c r="C645" s="1" t="s">
        <v>2311</v>
      </c>
      <c r="D645" s="1" t="s">
        <v>595</v>
      </c>
      <c r="E645" s="1" t="s">
        <v>65</v>
      </c>
      <c r="F645" s="1" t="s">
        <v>50</v>
      </c>
      <c r="G645" s="2">
        <v>45460</v>
      </c>
      <c r="H645" s="2"/>
      <c r="I645">
        <v>4</v>
      </c>
      <c r="J645">
        <v>1</v>
      </c>
      <c r="K645">
        <v>0</v>
      </c>
      <c r="L645" s="1" t="s">
        <v>26</v>
      </c>
      <c r="M645">
        <v>7.5</v>
      </c>
      <c r="N645">
        <v>21567.53</v>
      </c>
      <c r="O645">
        <v>4113355.63</v>
      </c>
      <c r="P645">
        <v>731369.3</v>
      </c>
      <c r="Q645" s="1" t="s">
        <v>2312</v>
      </c>
      <c r="R645">
        <v>70</v>
      </c>
      <c r="S645" s="1" t="s">
        <v>2313</v>
      </c>
      <c r="T645" t="b">
        <v>1</v>
      </c>
    </row>
    <row r="646" spans="1:20" x14ac:dyDescent="0.25">
      <c r="A646" s="1" t="s">
        <v>2314</v>
      </c>
      <c r="B646" s="1" t="s">
        <v>471</v>
      </c>
      <c r="C646" s="1" t="s">
        <v>2217</v>
      </c>
      <c r="D646" s="1" t="s">
        <v>359</v>
      </c>
      <c r="E646" s="1" t="s">
        <v>57</v>
      </c>
      <c r="F646" s="1" t="s">
        <v>50</v>
      </c>
      <c r="G646" s="2">
        <v>44774</v>
      </c>
      <c r="H646" s="2"/>
      <c r="I646">
        <v>40</v>
      </c>
      <c r="J646">
        <v>36</v>
      </c>
      <c r="K646">
        <v>0</v>
      </c>
      <c r="L646" s="1" t="s">
        <v>26</v>
      </c>
      <c r="M646">
        <v>471.4</v>
      </c>
      <c r="N646">
        <v>1586493.09</v>
      </c>
      <c r="O646">
        <v>3960176.52</v>
      </c>
      <c r="P646">
        <v>955133.3</v>
      </c>
      <c r="Q646" s="1" t="s">
        <v>2315</v>
      </c>
      <c r="R646">
        <v>50</v>
      </c>
      <c r="S646" s="1" t="s">
        <v>2316</v>
      </c>
      <c r="T646" t="b">
        <v>1</v>
      </c>
    </row>
    <row r="647" spans="1:20" x14ac:dyDescent="0.25">
      <c r="A647" s="1" t="s">
        <v>2317</v>
      </c>
      <c r="B647" s="1" t="s">
        <v>169</v>
      </c>
      <c r="C647" s="1" t="s">
        <v>2318</v>
      </c>
      <c r="D647" s="1" t="s">
        <v>359</v>
      </c>
      <c r="E647" s="1" t="s">
        <v>33</v>
      </c>
      <c r="F647" s="1" t="s">
        <v>25</v>
      </c>
      <c r="G647" s="2">
        <v>45103</v>
      </c>
      <c r="H647" s="2">
        <v>45119</v>
      </c>
      <c r="I647">
        <v>12</v>
      </c>
      <c r="J647">
        <v>16</v>
      </c>
      <c r="K647">
        <v>4</v>
      </c>
      <c r="L647" s="1" t="s">
        <v>101</v>
      </c>
      <c r="M647">
        <v>197.2</v>
      </c>
      <c r="N647">
        <v>598946.38</v>
      </c>
      <c r="O647">
        <v>3548323.59</v>
      </c>
      <c r="P647">
        <v>726810.09</v>
      </c>
      <c r="Q647" s="1" t="s">
        <v>2319</v>
      </c>
      <c r="R647">
        <v>48</v>
      </c>
      <c r="S647" s="1" t="s">
        <v>2320</v>
      </c>
      <c r="T647" t="b">
        <v>0</v>
      </c>
    </row>
    <row r="648" spans="1:20" x14ac:dyDescent="0.25">
      <c r="A648" s="1" t="s">
        <v>2321</v>
      </c>
      <c r="B648" s="1" t="s">
        <v>174</v>
      </c>
      <c r="C648" s="1" t="s">
        <v>1286</v>
      </c>
      <c r="D648" s="1" t="s">
        <v>95</v>
      </c>
      <c r="E648" s="1" t="s">
        <v>49</v>
      </c>
      <c r="F648" s="1" t="s">
        <v>25</v>
      </c>
      <c r="G648" s="2">
        <v>45125</v>
      </c>
      <c r="H648" s="2">
        <v>45159</v>
      </c>
      <c r="I648">
        <v>25</v>
      </c>
      <c r="J648">
        <v>34</v>
      </c>
      <c r="K648">
        <v>9</v>
      </c>
      <c r="L648" s="1" t="s">
        <v>330</v>
      </c>
      <c r="M648">
        <v>193.1</v>
      </c>
      <c r="N648">
        <v>619620.06999999995</v>
      </c>
      <c r="O648">
        <v>139443.03</v>
      </c>
      <c r="P648">
        <v>142716.81</v>
      </c>
      <c r="Q648" s="1" t="s">
        <v>2322</v>
      </c>
      <c r="R648">
        <v>39</v>
      </c>
      <c r="S648" s="1" t="s">
        <v>2323</v>
      </c>
      <c r="T648" t="b">
        <v>0</v>
      </c>
    </row>
    <row r="649" spans="1:20" x14ac:dyDescent="0.25">
      <c r="A649" s="1" t="s">
        <v>2324</v>
      </c>
      <c r="B649" s="1" t="s">
        <v>54</v>
      </c>
      <c r="C649" s="1" t="s">
        <v>780</v>
      </c>
      <c r="D649" s="1" t="s">
        <v>130</v>
      </c>
      <c r="E649" s="1" t="s">
        <v>41</v>
      </c>
      <c r="F649" s="1" t="s">
        <v>25</v>
      </c>
      <c r="G649" s="2">
        <v>45462</v>
      </c>
      <c r="H649" s="2">
        <v>45467</v>
      </c>
      <c r="I649">
        <v>9</v>
      </c>
      <c r="J649">
        <v>5</v>
      </c>
      <c r="K649">
        <v>0</v>
      </c>
      <c r="L649" s="1" t="s">
        <v>26</v>
      </c>
      <c r="M649">
        <v>64.599999999999994</v>
      </c>
      <c r="N649">
        <v>237516.29</v>
      </c>
      <c r="O649">
        <v>741165.44</v>
      </c>
      <c r="P649">
        <v>126478.26</v>
      </c>
      <c r="Q649" s="1" t="s">
        <v>2325</v>
      </c>
      <c r="R649">
        <v>39</v>
      </c>
      <c r="S649" s="1" t="s">
        <v>2326</v>
      </c>
      <c r="T649" t="b">
        <v>1</v>
      </c>
    </row>
    <row r="650" spans="1:20" x14ac:dyDescent="0.25">
      <c r="A650" s="1" t="s">
        <v>2327</v>
      </c>
      <c r="B650" s="1" t="s">
        <v>471</v>
      </c>
      <c r="C650" s="1" t="s">
        <v>594</v>
      </c>
      <c r="D650" s="1" t="s">
        <v>758</v>
      </c>
      <c r="E650" s="1" t="s">
        <v>24</v>
      </c>
      <c r="F650" s="1" t="s">
        <v>25</v>
      </c>
      <c r="G650" s="2">
        <v>44586</v>
      </c>
      <c r="H650" s="2">
        <v>44591</v>
      </c>
      <c r="I650">
        <v>3</v>
      </c>
      <c r="J650">
        <v>5</v>
      </c>
      <c r="K650">
        <v>2</v>
      </c>
      <c r="L650" s="1" t="s">
        <v>26</v>
      </c>
      <c r="M650">
        <v>64.7</v>
      </c>
      <c r="N650">
        <v>290471.77</v>
      </c>
      <c r="O650">
        <v>2035164.72</v>
      </c>
      <c r="P650">
        <v>376394.96</v>
      </c>
      <c r="Q650" s="1" t="s">
        <v>2328</v>
      </c>
      <c r="R650">
        <v>53</v>
      </c>
      <c r="S650" s="1" t="s">
        <v>2329</v>
      </c>
      <c r="T650" t="b">
        <v>0</v>
      </c>
    </row>
    <row r="651" spans="1:20" x14ac:dyDescent="0.25">
      <c r="A651" s="1" t="s">
        <v>2330</v>
      </c>
      <c r="B651" s="1" t="s">
        <v>93</v>
      </c>
      <c r="C651" s="1" t="s">
        <v>490</v>
      </c>
      <c r="D651" s="1" t="s">
        <v>372</v>
      </c>
      <c r="E651" s="1" t="s">
        <v>65</v>
      </c>
      <c r="F651" s="1" t="s">
        <v>34</v>
      </c>
      <c r="G651" s="2">
        <v>45336</v>
      </c>
      <c r="H651" s="2"/>
      <c r="I651">
        <v>4</v>
      </c>
      <c r="J651">
        <v>3</v>
      </c>
      <c r="K651">
        <v>0</v>
      </c>
      <c r="L651" s="1" t="s">
        <v>26</v>
      </c>
      <c r="M651">
        <v>43.3</v>
      </c>
      <c r="N651">
        <v>134296.76</v>
      </c>
      <c r="O651">
        <v>2425152.14</v>
      </c>
      <c r="P651">
        <v>353171.28</v>
      </c>
      <c r="Q651" s="1" t="s">
        <v>2331</v>
      </c>
      <c r="R651">
        <v>34</v>
      </c>
      <c r="S651" s="1" t="s">
        <v>2332</v>
      </c>
      <c r="T651" t="b">
        <v>1</v>
      </c>
    </row>
    <row r="652" spans="1:20" x14ac:dyDescent="0.25">
      <c r="A652" s="1" t="s">
        <v>2333</v>
      </c>
      <c r="B652" s="1" t="s">
        <v>403</v>
      </c>
      <c r="C652" s="1" t="s">
        <v>2334</v>
      </c>
      <c r="D652" s="1" t="s">
        <v>288</v>
      </c>
      <c r="E652" s="1" t="s">
        <v>49</v>
      </c>
      <c r="F652" s="1" t="s">
        <v>50</v>
      </c>
      <c r="G652" s="2">
        <v>45131</v>
      </c>
      <c r="H652" s="2"/>
      <c r="I652">
        <v>25</v>
      </c>
      <c r="J652">
        <v>33</v>
      </c>
      <c r="K652">
        <v>8</v>
      </c>
      <c r="L652" s="1" t="s">
        <v>42</v>
      </c>
      <c r="M652">
        <v>444.6</v>
      </c>
      <c r="N652">
        <v>1580548.99</v>
      </c>
      <c r="O652">
        <v>1788942.3</v>
      </c>
      <c r="P652">
        <v>491717.18</v>
      </c>
      <c r="Q652" s="1" t="s">
        <v>2335</v>
      </c>
      <c r="R652">
        <v>32</v>
      </c>
      <c r="S652" s="1" t="s">
        <v>2336</v>
      </c>
      <c r="T652" t="b">
        <v>0</v>
      </c>
    </row>
    <row r="653" spans="1:20" x14ac:dyDescent="0.25">
      <c r="A653" s="1" t="s">
        <v>2337</v>
      </c>
      <c r="B653" s="1" t="s">
        <v>158</v>
      </c>
      <c r="C653" s="1" t="s">
        <v>2338</v>
      </c>
      <c r="D653" s="1" t="s">
        <v>230</v>
      </c>
      <c r="E653" s="1" t="s">
        <v>65</v>
      </c>
      <c r="F653" s="1" t="s">
        <v>34</v>
      </c>
      <c r="G653" s="2">
        <v>44629</v>
      </c>
      <c r="H653" s="2"/>
      <c r="I653">
        <v>4</v>
      </c>
      <c r="J653">
        <v>2</v>
      </c>
      <c r="K653">
        <v>0</v>
      </c>
      <c r="L653" s="1" t="s">
        <v>26</v>
      </c>
      <c r="M653">
        <v>30.8</v>
      </c>
      <c r="N653">
        <v>97636.76</v>
      </c>
      <c r="O653">
        <v>1364653.07</v>
      </c>
      <c r="P653">
        <v>286850.99</v>
      </c>
      <c r="Q653" s="1" t="s">
        <v>2339</v>
      </c>
      <c r="R653">
        <v>56</v>
      </c>
      <c r="S653" s="1" t="s">
        <v>2340</v>
      </c>
      <c r="T653" t="b">
        <v>1</v>
      </c>
    </row>
    <row r="654" spans="1:20" x14ac:dyDescent="0.25">
      <c r="A654" s="1" t="s">
        <v>2341</v>
      </c>
      <c r="B654" s="1" t="s">
        <v>566</v>
      </c>
      <c r="C654" s="1" t="s">
        <v>599</v>
      </c>
      <c r="D654" s="1" t="s">
        <v>202</v>
      </c>
      <c r="E654" s="1" t="s">
        <v>24</v>
      </c>
      <c r="F654" s="1" t="s">
        <v>50</v>
      </c>
      <c r="G654" s="2">
        <v>45063</v>
      </c>
      <c r="H654" s="2"/>
      <c r="I654">
        <v>3</v>
      </c>
      <c r="J654">
        <v>2</v>
      </c>
      <c r="K654">
        <v>0</v>
      </c>
      <c r="L654" s="1" t="s">
        <v>26</v>
      </c>
      <c r="M654">
        <v>24.6</v>
      </c>
      <c r="N654">
        <v>87506.62</v>
      </c>
      <c r="O654">
        <v>1232984.3899999999</v>
      </c>
      <c r="P654">
        <v>223115.11</v>
      </c>
      <c r="Q654" s="1" t="s">
        <v>2342</v>
      </c>
      <c r="R654">
        <v>37</v>
      </c>
      <c r="S654" s="1" t="s">
        <v>2343</v>
      </c>
      <c r="T654" t="b">
        <v>1</v>
      </c>
    </row>
    <row r="655" spans="1:20" x14ac:dyDescent="0.25">
      <c r="A655" s="1" t="s">
        <v>2344</v>
      </c>
      <c r="B655" s="1" t="s">
        <v>451</v>
      </c>
      <c r="C655" s="1" t="s">
        <v>918</v>
      </c>
      <c r="D655" s="1" t="s">
        <v>686</v>
      </c>
      <c r="E655" s="1" t="s">
        <v>41</v>
      </c>
      <c r="F655" s="1" t="s">
        <v>50</v>
      </c>
      <c r="G655" s="2">
        <v>44951</v>
      </c>
      <c r="H655" s="2"/>
      <c r="I655">
        <v>9</v>
      </c>
      <c r="J655">
        <v>4</v>
      </c>
      <c r="K655">
        <v>0</v>
      </c>
      <c r="L655" s="1" t="s">
        <v>26</v>
      </c>
      <c r="M655">
        <v>59.5</v>
      </c>
      <c r="N655">
        <v>128393.99</v>
      </c>
      <c r="O655">
        <v>1520776.67</v>
      </c>
      <c r="P655">
        <v>199175.63</v>
      </c>
      <c r="Q655" s="1" t="s">
        <v>2345</v>
      </c>
      <c r="R655">
        <v>54</v>
      </c>
      <c r="S655" s="1" t="s">
        <v>2346</v>
      </c>
      <c r="T655" t="b">
        <v>1</v>
      </c>
    </row>
    <row r="656" spans="1:20" x14ac:dyDescent="0.25">
      <c r="A656" s="1" t="s">
        <v>2347</v>
      </c>
      <c r="B656" s="1" t="s">
        <v>328</v>
      </c>
      <c r="C656" s="1" t="s">
        <v>2256</v>
      </c>
      <c r="D656" s="1" t="s">
        <v>192</v>
      </c>
      <c r="E656" s="1" t="s">
        <v>41</v>
      </c>
      <c r="F656" s="1" t="s">
        <v>25</v>
      </c>
      <c r="G656" s="2">
        <v>45215</v>
      </c>
      <c r="H656" s="2">
        <v>45221</v>
      </c>
      <c r="I656">
        <v>9</v>
      </c>
      <c r="J656">
        <v>6</v>
      </c>
      <c r="K656">
        <v>0</v>
      </c>
      <c r="L656" s="1" t="s">
        <v>26</v>
      </c>
      <c r="M656">
        <v>58.4</v>
      </c>
      <c r="N656">
        <v>174798.49</v>
      </c>
      <c r="O656">
        <v>2385418.67</v>
      </c>
      <c r="P656">
        <v>281592.12</v>
      </c>
      <c r="Q656" s="1" t="s">
        <v>2348</v>
      </c>
      <c r="R656">
        <v>57</v>
      </c>
      <c r="S656" s="1" t="s">
        <v>2349</v>
      </c>
      <c r="T656" t="b">
        <v>0</v>
      </c>
    </row>
    <row r="657" spans="1:20" x14ac:dyDescent="0.25">
      <c r="A657" s="1" t="s">
        <v>2350</v>
      </c>
      <c r="B657" s="1" t="s">
        <v>566</v>
      </c>
      <c r="C657" s="1" t="s">
        <v>455</v>
      </c>
      <c r="D657" s="1" t="s">
        <v>263</v>
      </c>
      <c r="E657" s="1" t="s">
        <v>41</v>
      </c>
      <c r="F657" s="1" t="s">
        <v>25</v>
      </c>
      <c r="G657" s="2">
        <v>44790</v>
      </c>
      <c r="H657" s="2">
        <v>44805</v>
      </c>
      <c r="I657">
        <v>9</v>
      </c>
      <c r="J657">
        <v>15</v>
      </c>
      <c r="K657">
        <v>6</v>
      </c>
      <c r="L657" s="1" t="s">
        <v>26</v>
      </c>
      <c r="M657">
        <v>175.7</v>
      </c>
      <c r="N657">
        <v>595646.07999999996</v>
      </c>
      <c r="O657">
        <v>3178313.44</v>
      </c>
      <c r="P657">
        <v>662534.84</v>
      </c>
      <c r="Q657" s="1" t="s">
        <v>2351</v>
      </c>
      <c r="R657">
        <v>60</v>
      </c>
      <c r="S657" s="1" t="s">
        <v>2352</v>
      </c>
      <c r="T657" t="b">
        <v>1</v>
      </c>
    </row>
    <row r="658" spans="1:20" x14ac:dyDescent="0.25">
      <c r="A658" s="1" t="s">
        <v>2353</v>
      </c>
      <c r="B658" s="1" t="s">
        <v>334</v>
      </c>
      <c r="C658" s="1" t="s">
        <v>490</v>
      </c>
      <c r="D658" s="1" t="s">
        <v>95</v>
      </c>
      <c r="E658" s="1" t="s">
        <v>49</v>
      </c>
      <c r="F658" s="1" t="s">
        <v>25</v>
      </c>
      <c r="G658" s="2">
        <v>45235</v>
      </c>
      <c r="H658" s="2">
        <v>45261</v>
      </c>
      <c r="I658">
        <v>25</v>
      </c>
      <c r="J658">
        <v>26</v>
      </c>
      <c r="K658">
        <v>1</v>
      </c>
      <c r="L658" s="1" t="s">
        <v>26</v>
      </c>
      <c r="M658">
        <v>192.5</v>
      </c>
      <c r="N658">
        <v>681884.09</v>
      </c>
      <c r="O658">
        <v>1328357.52</v>
      </c>
      <c r="P658">
        <v>308007.21000000002</v>
      </c>
      <c r="Q658" s="1" t="s">
        <v>2354</v>
      </c>
      <c r="R658">
        <v>48</v>
      </c>
      <c r="S658" s="1" t="s">
        <v>2355</v>
      </c>
      <c r="T658" t="b">
        <v>1</v>
      </c>
    </row>
    <row r="659" spans="1:20" x14ac:dyDescent="0.25">
      <c r="A659" s="1" t="s">
        <v>2356</v>
      </c>
      <c r="B659" s="1" t="s">
        <v>148</v>
      </c>
      <c r="C659" s="1" t="s">
        <v>254</v>
      </c>
      <c r="D659" s="1" t="s">
        <v>207</v>
      </c>
      <c r="E659" s="1" t="s">
        <v>65</v>
      </c>
      <c r="F659" s="1" t="s">
        <v>25</v>
      </c>
      <c r="G659" s="2">
        <v>44935</v>
      </c>
      <c r="H659" s="2">
        <v>44941</v>
      </c>
      <c r="I659">
        <v>4</v>
      </c>
      <c r="J659">
        <v>6</v>
      </c>
      <c r="K659">
        <v>1.5</v>
      </c>
      <c r="L659" s="1" t="s">
        <v>26</v>
      </c>
      <c r="M659">
        <v>88.3</v>
      </c>
      <c r="N659">
        <v>280421.32</v>
      </c>
      <c r="O659">
        <v>2483981.7599999998</v>
      </c>
      <c r="P659">
        <v>325866.5</v>
      </c>
      <c r="Q659" s="1" t="s">
        <v>2357</v>
      </c>
      <c r="R659">
        <v>60</v>
      </c>
      <c r="S659" s="1" t="s">
        <v>2358</v>
      </c>
      <c r="T659" t="b">
        <v>1</v>
      </c>
    </row>
    <row r="660" spans="1:20" x14ac:dyDescent="0.25">
      <c r="A660" s="1" t="s">
        <v>2359</v>
      </c>
      <c r="B660" s="1" t="s">
        <v>253</v>
      </c>
      <c r="C660" s="1" t="s">
        <v>118</v>
      </c>
      <c r="D660" s="1" t="s">
        <v>420</v>
      </c>
      <c r="E660" s="1" t="s">
        <v>33</v>
      </c>
      <c r="F660" s="1" t="s">
        <v>50</v>
      </c>
      <c r="G660" s="2">
        <v>44958</v>
      </c>
      <c r="H660" s="2"/>
      <c r="I660">
        <v>12</v>
      </c>
      <c r="J660">
        <v>9</v>
      </c>
      <c r="K660">
        <v>0</v>
      </c>
      <c r="L660" s="1" t="s">
        <v>26</v>
      </c>
      <c r="M660">
        <v>59</v>
      </c>
      <c r="N660">
        <v>186133.5</v>
      </c>
      <c r="O660">
        <v>1606879.15</v>
      </c>
      <c r="P660">
        <v>274402.57</v>
      </c>
      <c r="Q660" s="1" t="s">
        <v>2360</v>
      </c>
      <c r="R660">
        <v>63</v>
      </c>
      <c r="S660" s="1" t="s">
        <v>2361</v>
      </c>
      <c r="T660" t="b">
        <v>1</v>
      </c>
    </row>
    <row r="661" spans="1:20" x14ac:dyDescent="0.25">
      <c r="A661" s="1" t="s">
        <v>2362</v>
      </c>
      <c r="B661" s="1" t="s">
        <v>566</v>
      </c>
      <c r="C661" s="1" t="s">
        <v>1497</v>
      </c>
      <c r="D661" s="1" t="s">
        <v>541</v>
      </c>
      <c r="E661" s="1" t="s">
        <v>57</v>
      </c>
      <c r="F661" s="1" t="s">
        <v>25</v>
      </c>
      <c r="G661" s="2">
        <v>45225</v>
      </c>
      <c r="H661" s="2">
        <v>45270</v>
      </c>
      <c r="I661">
        <v>40</v>
      </c>
      <c r="J661">
        <v>45</v>
      </c>
      <c r="K661">
        <v>5</v>
      </c>
      <c r="L661" s="1" t="s">
        <v>101</v>
      </c>
      <c r="M661">
        <v>604.29999999999995</v>
      </c>
      <c r="N661">
        <v>2478454.67</v>
      </c>
      <c r="O661">
        <v>3054514.92</v>
      </c>
      <c r="P661">
        <v>640237.98</v>
      </c>
      <c r="Q661" s="1" t="s">
        <v>2363</v>
      </c>
      <c r="R661">
        <v>66</v>
      </c>
      <c r="S661" s="1" t="s">
        <v>2364</v>
      </c>
      <c r="T661" t="b">
        <v>0</v>
      </c>
    </row>
    <row r="662" spans="1:20" x14ac:dyDescent="0.25">
      <c r="A662" s="1" t="s">
        <v>2365</v>
      </c>
      <c r="B662" s="1" t="s">
        <v>185</v>
      </c>
      <c r="C662" s="1" t="s">
        <v>837</v>
      </c>
      <c r="D662" s="1" t="s">
        <v>40</v>
      </c>
      <c r="E662" s="1" t="s">
        <v>24</v>
      </c>
      <c r="F662" s="1" t="s">
        <v>25</v>
      </c>
      <c r="G662" s="2">
        <v>45030</v>
      </c>
      <c r="H662" s="2">
        <v>45033</v>
      </c>
      <c r="I662">
        <v>3</v>
      </c>
      <c r="J662">
        <v>3</v>
      </c>
      <c r="K662">
        <v>0</v>
      </c>
      <c r="L662" s="1" t="s">
        <v>26</v>
      </c>
      <c r="M662">
        <v>25.3</v>
      </c>
      <c r="N662">
        <v>66458.73</v>
      </c>
      <c r="O662">
        <v>3636281.09</v>
      </c>
      <c r="P662">
        <v>677316.75</v>
      </c>
      <c r="Q662" s="1" t="s">
        <v>2366</v>
      </c>
      <c r="R662">
        <v>46</v>
      </c>
      <c r="S662" s="1" t="s">
        <v>2367</v>
      </c>
      <c r="T662" t="b">
        <v>1</v>
      </c>
    </row>
    <row r="663" spans="1:20" x14ac:dyDescent="0.25">
      <c r="A663" s="1" t="s">
        <v>2368</v>
      </c>
      <c r="B663" s="1" t="s">
        <v>242</v>
      </c>
      <c r="C663" s="1" t="s">
        <v>229</v>
      </c>
      <c r="D663" s="1" t="s">
        <v>244</v>
      </c>
      <c r="E663" s="1" t="s">
        <v>33</v>
      </c>
      <c r="F663" s="1" t="s">
        <v>25</v>
      </c>
      <c r="G663" s="2">
        <v>45389</v>
      </c>
      <c r="H663" s="2">
        <v>45400</v>
      </c>
      <c r="I663">
        <v>12</v>
      </c>
      <c r="J663">
        <v>11</v>
      </c>
      <c r="K663">
        <v>0</v>
      </c>
      <c r="L663" s="1" t="s">
        <v>26</v>
      </c>
      <c r="M663">
        <v>129.19999999999999</v>
      </c>
      <c r="N663">
        <v>281373.28000000003</v>
      </c>
      <c r="O663">
        <v>2289879.69</v>
      </c>
      <c r="P663">
        <v>327630.93</v>
      </c>
      <c r="Q663" s="1" t="s">
        <v>2369</v>
      </c>
      <c r="R663">
        <v>43</v>
      </c>
      <c r="S663" s="1" t="s">
        <v>2370</v>
      </c>
      <c r="T663" t="b">
        <v>1</v>
      </c>
    </row>
    <row r="664" spans="1:20" x14ac:dyDescent="0.25">
      <c r="A664" s="1" t="s">
        <v>2371</v>
      </c>
      <c r="B664" s="1" t="s">
        <v>148</v>
      </c>
      <c r="C664" s="1" t="s">
        <v>432</v>
      </c>
      <c r="D664" s="1" t="s">
        <v>249</v>
      </c>
      <c r="E664" s="1" t="s">
        <v>65</v>
      </c>
      <c r="F664" s="1" t="s">
        <v>50</v>
      </c>
      <c r="G664" s="2">
        <v>45221</v>
      </c>
      <c r="H664" s="2"/>
      <c r="I664">
        <v>4</v>
      </c>
      <c r="J664">
        <v>7</v>
      </c>
      <c r="K664">
        <v>2.5</v>
      </c>
      <c r="L664" s="1" t="s">
        <v>26</v>
      </c>
      <c r="M664">
        <v>55.4</v>
      </c>
      <c r="N664">
        <v>183480.65</v>
      </c>
      <c r="O664">
        <v>1005266.21</v>
      </c>
      <c r="P664">
        <v>144430.35</v>
      </c>
      <c r="Q664" s="1" t="s">
        <v>2372</v>
      </c>
      <c r="R664">
        <v>30</v>
      </c>
      <c r="S664" s="1" t="s">
        <v>2373</v>
      </c>
      <c r="T664" t="b">
        <v>0</v>
      </c>
    </row>
    <row r="665" spans="1:20" x14ac:dyDescent="0.25">
      <c r="A665" s="1" t="s">
        <v>2374</v>
      </c>
      <c r="B665" s="1" t="s">
        <v>629</v>
      </c>
      <c r="C665" s="1" t="s">
        <v>444</v>
      </c>
      <c r="D665" s="1" t="s">
        <v>72</v>
      </c>
      <c r="E665" s="1" t="s">
        <v>41</v>
      </c>
      <c r="F665" s="1" t="s">
        <v>66</v>
      </c>
      <c r="G665" s="2">
        <v>45544</v>
      </c>
      <c r="H665" s="2"/>
      <c r="I665">
        <v>9</v>
      </c>
      <c r="J665">
        <v>10</v>
      </c>
      <c r="K665">
        <v>1</v>
      </c>
      <c r="L665" s="1" t="s">
        <v>26</v>
      </c>
      <c r="M665">
        <v>154.19999999999999</v>
      </c>
      <c r="N665">
        <v>671712.46</v>
      </c>
      <c r="O665">
        <v>3908327.44</v>
      </c>
      <c r="P665">
        <v>636654.41</v>
      </c>
      <c r="Q665" s="1" t="s">
        <v>2375</v>
      </c>
      <c r="R665">
        <v>57</v>
      </c>
      <c r="S665" s="1" t="s">
        <v>2376</v>
      </c>
      <c r="T665" t="b">
        <v>0</v>
      </c>
    </row>
    <row r="666" spans="1:20" x14ac:dyDescent="0.25">
      <c r="A666" s="1" t="s">
        <v>2377</v>
      </c>
      <c r="B666" s="1" t="s">
        <v>545</v>
      </c>
      <c r="C666" s="1" t="s">
        <v>638</v>
      </c>
      <c r="D666" s="1" t="s">
        <v>336</v>
      </c>
      <c r="E666" s="1" t="s">
        <v>33</v>
      </c>
      <c r="F666" s="1" t="s">
        <v>25</v>
      </c>
      <c r="G666" s="2">
        <v>44683</v>
      </c>
      <c r="H666" s="2">
        <v>44699</v>
      </c>
      <c r="I666">
        <v>12</v>
      </c>
      <c r="J666">
        <v>16</v>
      </c>
      <c r="K666">
        <v>4</v>
      </c>
      <c r="L666" s="1" t="s">
        <v>58</v>
      </c>
      <c r="M666">
        <v>129.80000000000001</v>
      </c>
      <c r="N666">
        <v>422150.93</v>
      </c>
      <c r="O666">
        <v>2196240.62</v>
      </c>
      <c r="P666">
        <v>336263.09</v>
      </c>
      <c r="Q666" s="1" t="s">
        <v>2378</v>
      </c>
      <c r="R666">
        <v>29</v>
      </c>
      <c r="S666" s="1" t="s">
        <v>2379</v>
      </c>
      <c r="T666" t="b">
        <v>1</v>
      </c>
    </row>
    <row r="667" spans="1:20" x14ac:dyDescent="0.25">
      <c r="A667" s="1" t="s">
        <v>2380</v>
      </c>
      <c r="B667" s="1" t="s">
        <v>163</v>
      </c>
      <c r="C667" s="1" t="s">
        <v>573</v>
      </c>
      <c r="D667" s="1" t="s">
        <v>176</v>
      </c>
      <c r="E667" s="1" t="s">
        <v>49</v>
      </c>
      <c r="F667" s="1" t="s">
        <v>25</v>
      </c>
      <c r="G667" s="2">
        <v>45174</v>
      </c>
      <c r="H667" s="2">
        <v>45201</v>
      </c>
      <c r="I667">
        <v>25</v>
      </c>
      <c r="J667">
        <v>27</v>
      </c>
      <c r="K667">
        <v>2</v>
      </c>
      <c r="L667" s="1" t="s">
        <v>26</v>
      </c>
      <c r="M667">
        <v>136.5</v>
      </c>
      <c r="N667">
        <v>336078.29</v>
      </c>
      <c r="O667">
        <v>2867938.51</v>
      </c>
      <c r="P667">
        <v>564799.97</v>
      </c>
      <c r="Q667" s="1" t="s">
        <v>2381</v>
      </c>
      <c r="R667">
        <v>69</v>
      </c>
      <c r="S667" s="1" t="s">
        <v>2382</v>
      </c>
      <c r="T667" t="b">
        <v>1</v>
      </c>
    </row>
    <row r="668" spans="1:20" x14ac:dyDescent="0.25">
      <c r="A668" s="1" t="s">
        <v>2383</v>
      </c>
      <c r="B668" s="1" t="s">
        <v>242</v>
      </c>
      <c r="C668" s="1" t="s">
        <v>1103</v>
      </c>
      <c r="D668" s="1" t="s">
        <v>72</v>
      </c>
      <c r="E668" s="1" t="s">
        <v>24</v>
      </c>
      <c r="F668" s="1" t="s">
        <v>50</v>
      </c>
      <c r="G668" s="2">
        <v>45204</v>
      </c>
      <c r="H668" s="2"/>
      <c r="I668">
        <v>3</v>
      </c>
      <c r="J668">
        <v>4</v>
      </c>
      <c r="K668">
        <v>1</v>
      </c>
      <c r="L668" s="1" t="s">
        <v>26</v>
      </c>
      <c r="M668">
        <v>51.9</v>
      </c>
      <c r="N668">
        <v>123521.72</v>
      </c>
      <c r="O668">
        <v>1613122.99</v>
      </c>
      <c r="P668">
        <v>213204.79</v>
      </c>
      <c r="Q668" s="1" t="s">
        <v>2384</v>
      </c>
      <c r="R668">
        <v>67</v>
      </c>
      <c r="S668" s="1" t="s">
        <v>2385</v>
      </c>
      <c r="T668" t="b">
        <v>1</v>
      </c>
    </row>
    <row r="669" spans="1:20" x14ac:dyDescent="0.25">
      <c r="A669" s="1" t="s">
        <v>2386</v>
      </c>
      <c r="B669" s="1" t="s">
        <v>348</v>
      </c>
      <c r="C669" s="1" t="s">
        <v>784</v>
      </c>
      <c r="D669" s="1" t="s">
        <v>420</v>
      </c>
      <c r="E669" s="1" t="s">
        <v>33</v>
      </c>
      <c r="F669" s="1" t="s">
        <v>34</v>
      </c>
      <c r="G669" s="2">
        <v>44849</v>
      </c>
      <c r="H669" s="2"/>
      <c r="I669">
        <v>12</v>
      </c>
      <c r="J669">
        <v>12</v>
      </c>
      <c r="K669">
        <v>0</v>
      </c>
      <c r="L669" s="1" t="s">
        <v>26</v>
      </c>
      <c r="M669">
        <v>109.5</v>
      </c>
      <c r="N669">
        <v>435413.06</v>
      </c>
      <c r="O669">
        <v>3992504.03</v>
      </c>
      <c r="P669">
        <v>811050.26</v>
      </c>
      <c r="Q669" s="1" t="s">
        <v>2387</v>
      </c>
      <c r="R669">
        <v>47</v>
      </c>
      <c r="S669" s="1" t="s">
        <v>2388</v>
      </c>
      <c r="T669" t="b">
        <v>1</v>
      </c>
    </row>
    <row r="670" spans="1:20" x14ac:dyDescent="0.25">
      <c r="A670" s="1" t="s">
        <v>2389</v>
      </c>
      <c r="B670" s="1" t="s">
        <v>105</v>
      </c>
      <c r="C670" s="1" t="s">
        <v>932</v>
      </c>
      <c r="D670" s="1" t="s">
        <v>154</v>
      </c>
      <c r="E670" s="1" t="s">
        <v>24</v>
      </c>
      <c r="F670" s="1" t="s">
        <v>50</v>
      </c>
      <c r="G670" s="2">
        <v>45594</v>
      </c>
      <c r="H670" s="2"/>
      <c r="I670">
        <v>3</v>
      </c>
      <c r="J670">
        <v>5</v>
      </c>
      <c r="K670">
        <v>2</v>
      </c>
      <c r="L670" s="1" t="s">
        <v>26</v>
      </c>
      <c r="M670">
        <v>49.5</v>
      </c>
      <c r="N670">
        <v>165924.09</v>
      </c>
      <c r="O670">
        <v>3175525.48</v>
      </c>
      <c r="P670">
        <v>579552.31000000006</v>
      </c>
      <c r="Q670" s="1" t="s">
        <v>2390</v>
      </c>
      <c r="R670">
        <v>71</v>
      </c>
      <c r="S670" s="1" t="s">
        <v>2391</v>
      </c>
      <c r="T670" t="b">
        <v>1</v>
      </c>
    </row>
    <row r="671" spans="1:20" x14ac:dyDescent="0.25">
      <c r="A671" s="1" t="s">
        <v>2392</v>
      </c>
      <c r="B671" s="1" t="s">
        <v>471</v>
      </c>
      <c r="C671" s="1" t="s">
        <v>2318</v>
      </c>
      <c r="D671" s="1" t="s">
        <v>159</v>
      </c>
      <c r="E671" s="1" t="s">
        <v>49</v>
      </c>
      <c r="F671" s="1" t="s">
        <v>34</v>
      </c>
      <c r="G671" s="2">
        <v>45521</v>
      </c>
      <c r="H671" s="2"/>
      <c r="I671">
        <v>25</v>
      </c>
      <c r="J671">
        <v>16</v>
      </c>
      <c r="K671">
        <v>0</v>
      </c>
      <c r="L671" s="1" t="s">
        <v>26</v>
      </c>
      <c r="M671">
        <v>208.4</v>
      </c>
      <c r="N671">
        <v>806760.43</v>
      </c>
      <c r="O671">
        <v>2160424.1800000002</v>
      </c>
      <c r="P671">
        <v>378869.39</v>
      </c>
      <c r="Q671" s="1" t="s">
        <v>2393</v>
      </c>
      <c r="R671">
        <v>31</v>
      </c>
      <c r="S671" s="1" t="s">
        <v>2394</v>
      </c>
      <c r="T671" t="b">
        <v>0</v>
      </c>
    </row>
    <row r="672" spans="1:20" x14ac:dyDescent="0.25">
      <c r="A672" s="1" t="s">
        <v>2395</v>
      </c>
      <c r="B672" s="1" t="s">
        <v>54</v>
      </c>
      <c r="C672" s="1" t="s">
        <v>1556</v>
      </c>
      <c r="D672" s="1" t="s">
        <v>268</v>
      </c>
      <c r="E672" s="1" t="s">
        <v>49</v>
      </c>
      <c r="F672" s="1" t="s">
        <v>50</v>
      </c>
      <c r="G672" s="2">
        <v>45491</v>
      </c>
      <c r="H672" s="2"/>
      <c r="I672">
        <v>25</v>
      </c>
      <c r="J672">
        <v>32</v>
      </c>
      <c r="K672">
        <v>7</v>
      </c>
      <c r="L672" s="1" t="s">
        <v>26</v>
      </c>
      <c r="M672">
        <v>412</v>
      </c>
      <c r="N672">
        <v>1796715.51</v>
      </c>
      <c r="O672">
        <v>4448090.93</v>
      </c>
      <c r="P672">
        <v>875188.43</v>
      </c>
      <c r="Q672" s="1" t="s">
        <v>2396</v>
      </c>
      <c r="R672">
        <v>40</v>
      </c>
      <c r="S672" s="1" t="s">
        <v>2397</v>
      </c>
      <c r="T672" t="b">
        <v>0</v>
      </c>
    </row>
    <row r="673" spans="1:20" x14ac:dyDescent="0.25">
      <c r="A673" s="1" t="s">
        <v>2398</v>
      </c>
      <c r="B673" s="1" t="s">
        <v>358</v>
      </c>
      <c r="C673" s="1" t="s">
        <v>467</v>
      </c>
      <c r="D673" s="1" t="s">
        <v>306</v>
      </c>
      <c r="E673" s="1" t="s">
        <v>24</v>
      </c>
      <c r="F673" s="1" t="s">
        <v>50</v>
      </c>
      <c r="G673" s="2">
        <v>44870</v>
      </c>
      <c r="H673" s="2"/>
      <c r="I673">
        <v>3</v>
      </c>
      <c r="J673">
        <v>2</v>
      </c>
      <c r="K673">
        <v>0</v>
      </c>
      <c r="L673" s="1" t="s">
        <v>26</v>
      </c>
      <c r="M673">
        <v>22</v>
      </c>
      <c r="N673">
        <v>85206.06</v>
      </c>
      <c r="O673">
        <v>2666497.73</v>
      </c>
      <c r="P673">
        <v>455025.23</v>
      </c>
      <c r="Q673" s="1" t="s">
        <v>2399</v>
      </c>
      <c r="R673">
        <v>32</v>
      </c>
      <c r="S673" s="1" t="s">
        <v>2400</v>
      </c>
      <c r="T673" t="b">
        <v>1</v>
      </c>
    </row>
    <row r="674" spans="1:20" x14ac:dyDescent="0.25">
      <c r="A674" s="1" t="s">
        <v>2401</v>
      </c>
      <c r="B674" s="1" t="s">
        <v>545</v>
      </c>
      <c r="C674" s="1" t="s">
        <v>459</v>
      </c>
      <c r="D674" s="1" t="s">
        <v>297</v>
      </c>
      <c r="E674" s="1" t="s">
        <v>24</v>
      </c>
      <c r="F674" s="1" t="s">
        <v>25</v>
      </c>
      <c r="G674" s="2">
        <v>44984</v>
      </c>
      <c r="H674" s="2">
        <v>44985</v>
      </c>
      <c r="I674">
        <v>3</v>
      </c>
      <c r="J674">
        <v>1</v>
      </c>
      <c r="K674">
        <v>0</v>
      </c>
      <c r="L674" s="1" t="s">
        <v>26</v>
      </c>
      <c r="M674">
        <v>4.3</v>
      </c>
      <c r="N674">
        <v>14728.31</v>
      </c>
      <c r="O674">
        <v>4225044.6100000003</v>
      </c>
      <c r="P674">
        <v>754452</v>
      </c>
      <c r="Q674" s="1" t="s">
        <v>2402</v>
      </c>
      <c r="R674">
        <v>34</v>
      </c>
      <c r="S674" s="1" t="s">
        <v>2403</v>
      </c>
      <c r="T674" t="b">
        <v>1</v>
      </c>
    </row>
    <row r="675" spans="1:20" x14ac:dyDescent="0.25">
      <c r="A675" s="1" t="s">
        <v>2404</v>
      </c>
      <c r="B675" s="1" t="s">
        <v>169</v>
      </c>
      <c r="C675" s="1" t="s">
        <v>1765</v>
      </c>
      <c r="D675" s="1" t="s">
        <v>244</v>
      </c>
      <c r="E675" s="1" t="s">
        <v>24</v>
      </c>
      <c r="F675" s="1" t="s">
        <v>25</v>
      </c>
      <c r="G675" s="2">
        <v>44975</v>
      </c>
      <c r="H675" s="2">
        <v>44979</v>
      </c>
      <c r="I675">
        <v>3</v>
      </c>
      <c r="J675">
        <v>4</v>
      </c>
      <c r="K675">
        <v>1</v>
      </c>
      <c r="L675" s="1" t="s">
        <v>26</v>
      </c>
      <c r="M675">
        <v>63.6</v>
      </c>
      <c r="N675">
        <v>154487.13</v>
      </c>
      <c r="O675">
        <v>4600192.5199999996</v>
      </c>
      <c r="P675">
        <v>842693.43</v>
      </c>
      <c r="Q675" s="1" t="s">
        <v>2405</v>
      </c>
      <c r="R675">
        <v>80</v>
      </c>
      <c r="S675" s="1" t="s">
        <v>2406</v>
      </c>
      <c r="T675" t="b">
        <v>0</v>
      </c>
    </row>
    <row r="676" spans="1:20" x14ac:dyDescent="0.25">
      <c r="A676" s="1" t="s">
        <v>2407</v>
      </c>
      <c r="B676" s="1" t="s">
        <v>158</v>
      </c>
      <c r="C676" s="1" t="s">
        <v>354</v>
      </c>
      <c r="D676" s="1" t="s">
        <v>726</v>
      </c>
      <c r="E676" s="1" t="s">
        <v>65</v>
      </c>
      <c r="F676" s="1" t="s">
        <v>50</v>
      </c>
      <c r="G676" s="2">
        <v>44614</v>
      </c>
      <c r="H676" s="2"/>
      <c r="I676">
        <v>4</v>
      </c>
      <c r="J676">
        <v>4</v>
      </c>
      <c r="K676">
        <v>0</v>
      </c>
      <c r="L676" s="1" t="s">
        <v>26</v>
      </c>
      <c r="M676">
        <v>34.299999999999997</v>
      </c>
      <c r="N676">
        <v>103119.3</v>
      </c>
      <c r="O676">
        <v>2001899.22</v>
      </c>
      <c r="P676">
        <v>253787.83</v>
      </c>
      <c r="Q676" s="1" t="s">
        <v>2408</v>
      </c>
      <c r="R676">
        <v>78</v>
      </c>
      <c r="S676" s="1" t="s">
        <v>2409</v>
      </c>
      <c r="T676" t="b">
        <v>1</v>
      </c>
    </row>
    <row r="677" spans="1:20" x14ac:dyDescent="0.25">
      <c r="A677" s="1" t="s">
        <v>2410</v>
      </c>
      <c r="B677" s="1" t="s">
        <v>348</v>
      </c>
      <c r="C677" s="1" t="s">
        <v>1740</v>
      </c>
      <c r="D677" s="1" t="s">
        <v>144</v>
      </c>
      <c r="E677" s="1" t="s">
        <v>57</v>
      </c>
      <c r="F677" s="1" t="s">
        <v>25</v>
      </c>
      <c r="G677" s="2">
        <v>44895</v>
      </c>
      <c r="H677" s="2">
        <v>44946</v>
      </c>
      <c r="I677">
        <v>40</v>
      </c>
      <c r="J677">
        <v>51</v>
      </c>
      <c r="K677">
        <v>11</v>
      </c>
      <c r="L677" s="1" t="s">
        <v>26</v>
      </c>
      <c r="M677">
        <v>657.3</v>
      </c>
      <c r="N677">
        <v>1819178.94</v>
      </c>
      <c r="O677">
        <v>4976834.2300000004</v>
      </c>
      <c r="P677">
        <v>961722.76</v>
      </c>
      <c r="Q677" s="1" t="s">
        <v>2411</v>
      </c>
      <c r="R677">
        <v>52</v>
      </c>
      <c r="S677" s="1" t="s">
        <v>2412</v>
      </c>
      <c r="T677" t="b">
        <v>1</v>
      </c>
    </row>
    <row r="678" spans="1:20" x14ac:dyDescent="0.25">
      <c r="A678" s="1" t="s">
        <v>2413</v>
      </c>
      <c r="B678" s="1" t="s">
        <v>286</v>
      </c>
      <c r="C678" s="1" t="s">
        <v>581</v>
      </c>
      <c r="D678" s="1" t="s">
        <v>268</v>
      </c>
      <c r="E678" s="1" t="s">
        <v>33</v>
      </c>
      <c r="F678" s="1" t="s">
        <v>25</v>
      </c>
      <c r="G678" s="2">
        <v>45497</v>
      </c>
      <c r="H678" s="2">
        <v>45509</v>
      </c>
      <c r="I678">
        <v>12</v>
      </c>
      <c r="J678">
        <v>12</v>
      </c>
      <c r="K678">
        <v>0</v>
      </c>
      <c r="L678" s="1" t="s">
        <v>26</v>
      </c>
      <c r="M678">
        <v>163.69999999999999</v>
      </c>
      <c r="N678">
        <v>471592.29</v>
      </c>
      <c r="O678">
        <v>4288890.4400000004</v>
      </c>
      <c r="P678">
        <v>644893.6</v>
      </c>
      <c r="Q678" s="1" t="s">
        <v>2414</v>
      </c>
      <c r="R678">
        <v>64</v>
      </c>
      <c r="S678" s="1" t="s">
        <v>2415</v>
      </c>
      <c r="T678" t="b">
        <v>1</v>
      </c>
    </row>
    <row r="679" spans="1:20" x14ac:dyDescent="0.25">
      <c r="A679" s="1" t="s">
        <v>2416</v>
      </c>
      <c r="B679" s="1" t="s">
        <v>403</v>
      </c>
      <c r="C679" s="1" t="s">
        <v>1780</v>
      </c>
      <c r="D679" s="1" t="s">
        <v>176</v>
      </c>
      <c r="E679" s="1" t="s">
        <v>65</v>
      </c>
      <c r="F679" s="1" t="s">
        <v>25</v>
      </c>
      <c r="G679" s="2">
        <v>45360</v>
      </c>
      <c r="H679" s="2">
        <v>45365</v>
      </c>
      <c r="I679">
        <v>4</v>
      </c>
      <c r="J679">
        <v>5</v>
      </c>
      <c r="K679">
        <v>0.5</v>
      </c>
      <c r="L679" s="1" t="s">
        <v>26</v>
      </c>
      <c r="M679">
        <v>63.8</v>
      </c>
      <c r="N679">
        <v>269414.27</v>
      </c>
      <c r="O679">
        <v>236393.77</v>
      </c>
      <c r="P679">
        <v>93443.73</v>
      </c>
      <c r="Q679" s="1" t="s">
        <v>2417</v>
      </c>
      <c r="R679">
        <v>64</v>
      </c>
      <c r="S679" s="1" t="s">
        <v>2418</v>
      </c>
      <c r="T679" t="b">
        <v>0</v>
      </c>
    </row>
    <row r="680" spans="1:20" x14ac:dyDescent="0.25">
      <c r="A680" s="1" t="s">
        <v>2419</v>
      </c>
      <c r="B680" s="1" t="s">
        <v>403</v>
      </c>
      <c r="C680" s="1" t="s">
        <v>2140</v>
      </c>
      <c r="D680" s="1" t="s">
        <v>288</v>
      </c>
      <c r="E680" s="1" t="s">
        <v>33</v>
      </c>
      <c r="F680" s="1" t="s">
        <v>66</v>
      </c>
      <c r="G680" s="2">
        <v>44641</v>
      </c>
      <c r="H680" s="2"/>
      <c r="I680">
        <v>12</v>
      </c>
      <c r="J680">
        <v>18</v>
      </c>
      <c r="K680">
        <v>6</v>
      </c>
      <c r="L680" s="1" t="s">
        <v>193</v>
      </c>
      <c r="M680">
        <v>117.3</v>
      </c>
      <c r="N680">
        <v>445457.64</v>
      </c>
      <c r="O680">
        <v>1472492.05</v>
      </c>
      <c r="P680">
        <v>310238.92</v>
      </c>
      <c r="Q680" s="1" t="s">
        <v>2420</v>
      </c>
      <c r="R680">
        <v>71</v>
      </c>
      <c r="S680" s="1" t="s">
        <v>2421</v>
      </c>
      <c r="T680" t="b">
        <v>1</v>
      </c>
    </row>
    <row r="681" spans="1:20" x14ac:dyDescent="0.25">
      <c r="A681" s="1" t="s">
        <v>2422</v>
      </c>
      <c r="B681" s="1" t="s">
        <v>54</v>
      </c>
      <c r="C681" s="1" t="s">
        <v>2423</v>
      </c>
      <c r="D681" s="1" t="s">
        <v>207</v>
      </c>
      <c r="E681" s="1" t="s">
        <v>33</v>
      </c>
      <c r="F681" s="1" t="s">
        <v>50</v>
      </c>
      <c r="G681" s="2">
        <v>45309</v>
      </c>
      <c r="H681" s="2"/>
      <c r="I681">
        <v>12</v>
      </c>
      <c r="J681">
        <v>8</v>
      </c>
      <c r="K681">
        <v>0</v>
      </c>
      <c r="L681" s="1" t="s">
        <v>26</v>
      </c>
      <c r="M681">
        <v>34.9</v>
      </c>
      <c r="N681">
        <v>82050.17</v>
      </c>
      <c r="O681">
        <v>2024234.94</v>
      </c>
      <c r="P681">
        <v>289231.73</v>
      </c>
      <c r="Q681" s="1" t="s">
        <v>2424</v>
      </c>
      <c r="R681">
        <v>21</v>
      </c>
      <c r="S681" s="1" t="s">
        <v>2425</v>
      </c>
      <c r="T681" t="b">
        <v>0</v>
      </c>
    </row>
    <row r="682" spans="1:20" x14ac:dyDescent="0.25">
      <c r="A682" s="1" t="s">
        <v>2426</v>
      </c>
      <c r="B682" s="1" t="s">
        <v>272</v>
      </c>
      <c r="C682" s="1" t="s">
        <v>267</v>
      </c>
      <c r="D682" s="1" t="s">
        <v>713</v>
      </c>
      <c r="E682" s="1" t="s">
        <v>41</v>
      </c>
      <c r="F682" s="1" t="s">
        <v>50</v>
      </c>
      <c r="G682" s="2">
        <v>44632</v>
      </c>
      <c r="H682" s="2"/>
      <c r="I682">
        <v>9</v>
      </c>
      <c r="J682">
        <v>5</v>
      </c>
      <c r="K682">
        <v>0</v>
      </c>
      <c r="L682" s="1" t="s">
        <v>26</v>
      </c>
      <c r="M682">
        <v>74.8</v>
      </c>
      <c r="N682">
        <v>144031.03</v>
      </c>
      <c r="O682">
        <v>1891413.49</v>
      </c>
      <c r="P682">
        <v>325367.33</v>
      </c>
      <c r="Q682" s="1" t="s">
        <v>2427</v>
      </c>
      <c r="R682">
        <v>34</v>
      </c>
      <c r="S682" s="1" t="s">
        <v>2428</v>
      </c>
      <c r="T682" t="b">
        <v>1</v>
      </c>
    </row>
    <row r="683" spans="1:20" x14ac:dyDescent="0.25">
      <c r="A683" s="1" t="s">
        <v>2429</v>
      </c>
      <c r="B683" s="1" t="s">
        <v>272</v>
      </c>
      <c r="C683" s="1" t="s">
        <v>1340</v>
      </c>
      <c r="D683" s="1" t="s">
        <v>350</v>
      </c>
      <c r="E683" s="1" t="s">
        <v>33</v>
      </c>
      <c r="F683" s="1" t="s">
        <v>25</v>
      </c>
      <c r="G683" s="2">
        <v>45421</v>
      </c>
      <c r="H683" s="2">
        <v>45434</v>
      </c>
      <c r="I683">
        <v>12</v>
      </c>
      <c r="J683">
        <v>13</v>
      </c>
      <c r="K683">
        <v>1</v>
      </c>
      <c r="L683" s="1" t="s">
        <v>26</v>
      </c>
      <c r="M683">
        <v>124.5</v>
      </c>
      <c r="N683">
        <v>363628.08</v>
      </c>
      <c r="O683">
        <v>4491735.5599999996</v>
      </c>
      <c r="P683">
        <v>699374.26</v>
      </c>
      <c r="Q683" s="1" t="s">
        <v>2430</v>
      </c>
      <c r="R683">
        <v>50</v>
      </c>
      <c r="S683" s="1" t="s">
        <v>2431</v>
      </c>
      <c r="T683" t="b">
        <v>0</v>
      </c>
    </row>
    <row r="684" spans="1:20" x14ac:dyDescent="0.25">
      <c r="A684" s="1" t="s">
        <v>2432</v>
      </c>
      <c r="B684" s="1" t="s">
        <v>111</v>
      </c>
      <c r="C684" s="1" t="s">
        <v>877</v>
      </c>
      <c r="D684" s="1" t="s">
        <v>268</v>
      </c>
      <c r="E684" s="1" t="s">
        <v>24</v>
      </c>
      <c r="F684" s="1" t="s">
        <v>34</v>
      </c>
      <c r="G684" s="2">
        <v>44824</v>
      </c>
      <c r="H684" s="2"/>
      <c r="I684">
        <v>3</v>
      </c>
      <c r="J684">
        <v>5</v>
      </c>
      <c r="K684">
        <v>2</v>
      </c>
      <c r="L684" s="1" t="s">
        <v>26</v>
      </c>
      <c r="M684">
        <v>41.9</v>
      </c>
      <c r="N684">
        <v>144837.65</v>
      </c>
      <c r="O684">
        <v>3584413.31</v>
      </c>
      <c r="P684">
        <v>551104.92000000004</v>
      </c>
      <c r="Q684" s="1" t="s">
        <v>2433</v>
      </c>
      <c r="R684">
        <v>52</v>
      </c>
      <c r="S684" s="1" t="s">
        <v>2434</v>
      </c>
      <c r="T684" t="b">
        <v>1</v>
      </c>
    </row>
    <row r="685" spans="1:20" x14ac:dyDescent="0.25">
      <c r="A685" s="1" t="s">
        <v>2435</v>
      </c>
      <c r="B685" s="1" t="s">
        <v>328</v>
      </c>
      <c r="C685" s="1" t="s">
        <v>1595</v>
      </c>
      <c r="D685" s="1" t="s">
        <v>405</v>
      </c>
      <c r="E685" s="1" t="s">
        <v>57</v>
      </c>
      <c r="F685" s="1" t="s">
        <v>34</v>
      </c>
      <c r="G685" s="2">
        <v>44854</v>
      </c>
      <c r="H685" s="2"/>
      <c r="I685">
        <v>40</v>
      </c>
      <c r="J685">
        <v>25</v>
      </c>
      <c r="K685">
        <v>0</v>
      </c>
      <c r="L685" s="1" t="s">
        <v>26</v>
      </c>
      <c r="M685">
        <v>323</v>
      </c>
      <c r="N685">
        <v>1206929.48</v>
      </c>
      <c r="O685">
        <v>1418675.89</v>
      </c>
      <c r="P685">
        <v>424039.09</v>
      </c>
      <c r="Q685" s="1" t="s">
        <v>2436</v>
      </c>
      <c r="R685">
        <v>49</v>
      </c>
      <c r="S685" s="1" t="s">
        <v>2437</v>
      </c>
      <c r="T685" t="b">
        <v>0</v>
      </c>
    </row>
    <row r="686" spans="1:20" x14ac:dyDescent="0.25">
      <c r="A686" s="1" t="s">
        <v>2438</v>
      </c>
      <c r="B686" s="1" t="s">
        <v>62</v>
      </c>
      <c r="C686" s="1" t="s">
        <v>521</v>
      </c>
      <c r="D686" s="1" t="s">
        <v>344</v>
      </c>
      <c r="E686" s="1" t="s">
        <v>24</v>
      </c>
      <c r="F686" s="1" t="s">
        <v>25</v>
      </c>
      <c r="G686" s="2">
        <v>44831</v>
      </c>
      <c r="H686" s="2">
        <v>44834</v>
      </c>
      <c r="I686">
        <v>3</v>
      </c>
      <c r="J686">
        <v>3</v>
      </c>
      <c r="K686">
        <v>0</v>
      </c>
      <c r="L686" s="1" t="s">
        <v>26</v>
      </c>
      <c r="M686">
        <v>35.799999999999997</v>
      </c>
      <c r="N686">
        <v>120441.76</v>
      </c>
      <c r="O686">
        <v>4673775.8099999996</v>
      </c>
      <c r="P686">
        <v>495830.12</v>
      </c>
      <c r="Q686" s="1" t="s">
        <v>2439</v>
      </c>
      <c r="R686">
        <v>20</v>
      </c>
      <c r="S686" s="1" t="s">
        <v>2440</v>
      </c>
      <c r="T686" t="b">
        <v>1</v>
      </c>
    </row>
    <row r="687" spans="1:20" x14ac:dyDescent="0.25">
      <c r="A687" s="1" t="s">
        <v>2441</v>
      </c>
      <c r="B687" s="1" t="s">
        <v>21</v>
      </c>
      <c r="C687" s="1" t="s">
        <v>1157</v>
      </c>
      <c r="D687" s="1" t="s">
        <v>372</v>
      </c>
      <c r="E687" s="1" t="s">
        <v>57</v>
      </c>
      <c r="F687" s="1" t="s">
        <v>25</v>
      </c>
      <c r="G687" s="2">
        <v>44631</v>
      </c>
      <c r="H687" s="2">
        <v>44676</v>
      </c>
      <c r="I687">
        <v>40</v>
      </c>
      <c r="J687">
        <v>45</v>
      </c>
      <c r="K687">
        <v>5</v>
      </c>
      <c r="L687" s="1" t="s">
        <v>26</v>
      </c>
      <c r="M687">
        <v>354.2</v>
      </c>
      <c r="N687">
        <v>1184669.43</v>
      </c>
      <c r="O687">
        <v>2424385.85</v>
      </c>
      <c r="P687">
        <v>485021.58</v>
      </c>
      <c r="Q687" s="1" t="s">
        <v>2442</v>
      </c>
      <c r="R687">
        <v>49</v>
      </c>
      <c r="S687" s="1" t="s">
        <v>2443</v>
      </c>
      <c r="T687" t="b">
        <v>0</v>
      </c>
    </row>
    <row r="688" spans="1:20" x14ac:dyDescent="0.25">
      <c r="A688" s="1" t="s">
        <v>2444</v>
      </c>
      <c r="B688" s="1" t="s">
        <v>30</v>
      </c>
      <c r="C688" s="1" t="s">
        <v>2286</v>
      </c>
      <c r="D688" s="1" t="s">
        <v>216</v>
      </c>
      <c r="E688" s="1" t="s">
        <v>33</v>
      </c>
      <c r="F688" s="1" t="s">
        <v>34</v>
      </c>
      <c r="G688" s="2">
        <v>45462</v>
      </c>
      <c r="H688" s="2"/>
      <c r="I688">
        <v>12</v>
      </c>
      <c r="J688">
        <v>10</v>
      </c>
      <c r="K688">
        <v>0</v>
      </c>
      <c r="L688" s="1" t="s">
        <v>26</v>
      </c>
      <c r="M688">
        <v>118.7</v>
      </c>
      <c r="N688">
        <v>378549.19</v>
      </c>
      <c r="O688">
        <v>1693378.2</v>
      </c>
      <c r="P688">
        <v>413698.78</v>
      </c>
      <c r="Q688" s="1" t="s">
        <v>2445</v>
      </c>
      <c r="R688">
        <v>62</v>
      </c>
      <c r="S688" s="1" t="s">
        <v>2446</v>
      </c>
      <c r="T688" t="b">
        <v>1</v>
      </c>
    </row>
    <row r="689" spans="1:20" x14ac:dyDescent="0.25">
      <c r="A689" s="1" t="s">
        <v>2447</v>
      </c>
      <c r="B689" s="1" t="s">
        <v>105</v>
      </c>
      <c r="C689" s="1" t="s">
        <v>869</v>
      </c>
      <c r="D689" s="1" t="s">
        <v>202</v>
      </c>
      <c r="E689" s="1" t="s">
        <v>49</v>
      </c>
      <c r="F689" s="1" t="s">
        <v>25</v>
      </c>
      <c r="G689" s="2">
        <v>45263</v>
      </c>
      <c r="H689" s="2">
        <v>45275</v>
      </c>
      <c r="I689">
        <v>25</v>
      </c>
      <c r="J689">
        <v>12</v>
      </c>
      <c r="K689">
        <v>0</v>
      </c>
      <c r="L689" s="1" t="s">
        <v>26</v>
      </c>
      <c r="M689">
        <v>160.6</v>
      </c>
      <c r="N689">
        <v>474025.23</v>
      </c>
      <c r="O689">
        <v>136815.81</v>
      </c>
      <c r="P689">
        <v>94272.25</v>
      </c>
      <c r="Q689" s="1" t="s">
        <v>2448</v>
      </c>
      <c r="R689">
        <v>65</v>
      </c>
      <c r="S689" s="1" t="s">
        <v>2449</v>
      </c>
      <c r="T689" t="b">
        <v>0</v>
      </c>
    </row>
    <row r="690" spans="1:20" x14ac:dyDescent="0.25">
      <c r="A690" s="1" t="s">
        <v>2450</v>
      </c>
      <c r="B690" s="1" t="s">
        <v>334</v>
      </c>
      <c r="C690" s="1" t="s">
        <v>823</v>
      </c>
      <c r="D690" s="1" t="s">
        <v>306</v>
      </c>
      <c r="E690" s="1" t="s">
        <v>24</v>
      </c>
      <c r="F690" s="1" t="s">
        <v>25</v>
      </c>
      <c r="G690" s="2">
        <v>44820</v>
      </c>
      <c r="H690" s="2">
        <v>44824</v>
      </c>
      <c r="I690">
        <v>3</v>
      </c>
      <c r="J690">
        <v>4</v>
      </c>
      <c r="K690">
        <v>1</v>
      </c>
      <c r="L690" s="1" t="s">
        <v>26</v>
      </c>
      <c r="M690">
        <v>36.9</v>
      </c>
      <c r="N690">
        <v>164486.97</v>
      </c>
      <c r="O690">
        <v>424006.55</v>
      </c>
      <c r="P690">
        <v>109869.83</v>
      </c>
      <c r="Q690" s="1" t="s">
        <v>2451</v>
      </c>
      <c r="R690">
        <v>73</v>
      </c>
      <c r="S690" s="1" t="s">
        <v>2452</v>
      </c>
      <c r="T690" t="b">
        <v>1</v>
      </c>
    </row>
    <row r="691" spans="1:20" x14ac:dyDescent="0.25">
      <c r="A691" s="1" t="s">
        <v>2453</v>
      </c>
      <c r="B691" s="1" t="s">
        <v>122</v>
      </c>
      <c r="C691" s="1" t="s">
        <v>363</v>
      </c>
      <c r="D691" s="1" t="s">
        <v>410</v>
      </c>
      <c r="E691" s="1" t="s">
        <v>57</v>
      </c>
      <c r="F691" s="1" t="s">
        <v>34</v>
      </c>
      <c r="G691" s="2">
        <v>44596</v>
      </c>
      <c r="H691" s="2"/>
      <c r="I691">
        <v>40</v>
      </c>
      <c r="J691">
        <v>42</v>
      </c>
      <c r="K691">
        <v>2</v>
      </c>
      <c r="L691" s="1" t="s">
        <v>26</v>
      </c>
      <c r="M691">
        <v>432.9</v>
      </c>
      <c r="N691">
        <v>1690834.57</v>
      </c>
      <c r="O691">
        <v>2818786.19</v>
      </c>
      <c r="P691">
        <v>690225.21</v>
      </c>
      <c r="Q691" s="1" t="s">
        <v>2454</v>
      </c>
      <c r="R691">
        <v>80</v>
      </c>
      <c r="S691" s="1" t="s">
        <v>2455</v>
      </c>
      <c r="T691" t="b">
        <v>1</v>
      </c>
    </row>
    <row r="692" spans="1:20" x14ac:dyDescent="0.25">
      <c r="A692" s="1" t="s">
        <v>2456</v>
      </c>
      <c r="B692" s="1" t="s">
        <v>253</v>
      </c>
      <c r="C692" s="1" t="s">
        <v>2232</v>
      </c>
      <c r="D692" s="1" t="s">
        <v>64</v>
      </c>
      <c r="E692" s="1" t="s">
        <v>57</v>
      </c>
      <c r="F692" s="1" t="s">
        <v>25</v>
      </c>
      <c r="G692" s="2">
        <v>45328</v>
      </c>
      <c r="H692" s="2">
        <v>45358</v>
      </c>
      <c r="I692">
        <v>40</v>
      </c>
      <c r="J692">
        <v>30</v>
      </c>
      <c r="K692">
        <v>0</v>
      </c>
      <c r="L692" s="1" t="s">
        <v>26</v>
      </c>
      <c r="M692">
        <v>348.6</v>
      </c>
      <c r="N692">
        <v>1435932.27</v>
      </c>
      <c r="O692">
        <v>1139024.8999999999</v>
      </c>
      <c r="P692">
        <v>497133.82</v>
      </c>
      <c r="Q692" s="1" t="s">
        <v>2457</v>
      </c>
      <c r="R692">
        <v>32</v>
      </c>
      <c r="S692" s="1" t="s">
        <v>2458</v>
      </c>
      <c r="T692" t="b">
        <v>0</v>
      </c>
    </row>
    <row r="693" spans="1:20" x14ac:dyDescent="0.25">
      <c r="A693" s="1" t="s">
        <v>2459</v>
      </c>
      <c r="B693" s="1" t="s">
        <v>272</v>
      </c>
      <c r="C693" s="1" t="s">
        <v>432</v>
      </c>
      <c r="D693" s="1" t="s">
        <v>144</v>
      </c>
      <c r="E693" s="1" t="s">
        <v>65</v>
      </c>
      <c r="F693" s="1" t="s">
        <v>25</v>
      </c>
      <c r="G693" s="2">
        <v>44662</v>
      </c>
      <c r="H693" s="2">
        <v>44669</v>
      </c>
      <c r="I693">
        <v>4</v>
      </c>
      <c r="J693">
        <v>7</v>
      </c>
      <c r="K693">
        <v>2.5</v>
      </c>
      <c r="L693" s="1" t="s">
        <v>26</v>
      </c>
      <c r="M693">
        <v>103.7</v>
      </c>
      <c r="N693">
        <v>458812.76</v>
      </c>
      <c r="O693">
        <v>4469785.03</v>
      </c>
      <c r="P693">
        <v>723520.2</v>
      </c>
      <c r="Q693" s="1" t="s">
        <v>2460</v>
      </c>
      <c r="R693">
        <v>65</v>
      </c>
      <c r="S693" s="1" t="s">
        <v>2461</v>
      </c>
      <c r="T693" t="b">
        <v>0</v>
      </c>
    </row>
    <row r="694" spans="1:20" x14ac:dyDescent="0.25">
      <c r="A694" s="1" t="s">
        <v>2462</v>
      </c>
      <c r="B694" s="1" t="s">
        <v>629</v>
      </c>
      <c r="C694" s="1" t="s">
        <v>745</v>
      </c>
      <c r="D694" s="1" t="s">
        <v>359</v>
      </c>
      <c r="E694" s="1" t="s">
        <v>41</v>
      </c>
      <c r="F694" s="1" t="s">
        <v>66</v>
      </c>
      <c r="G694" s="2">
        <v>44989</v>
      </c>
      <c r="H694" s="2"/>
      <c r="I694">
        <v>9</v>
      </c>
      <c r="J694">
        <v>12</v>
      </c>
      <c r="K694">
        <v>3</v>
      </c>
      <c r="L694" s="1" t="s">
        <v>26</v>
      </c>
      <c r="M694">
        <v>186.1</v>
      </c>
      <c r="N694">
        <v>364737.39</v>
      </c>
      <c r="O694">
        <v>2057773.89</v>
      </c>
      <c r="P694">
        <v>277084.79999999999</v>
      </c>
      <c r="Q694" s="1" t="s">
        <v>2463</v>
      </c>
      <c r="R694">
        <v>30</v>
      </c>
      <c r="S694" s="1" t="s">
        <v>2464</v>
      </c>
      <c r="T694" t="b">
        <v>0</v>
      </c>
    </row>
    <row r="695" spans="1:20" x14ac:dyDescent="0.25">
      <c r="A695" s="1" t="s">
        <v>2465</v>
      </c>
      <c r="B695" s="1" t="s">
        <v>220</v>
      </c>
      <c r="C695" s="1" t="s">
        <v>2140</v>
      </c>
      <c r="D695" s="1" t="s">
        <v>372</v>
      </c>
      <c r="E695" s="1" t="s">
        <v>49</v>
      </c>
      <c r="F695" s="1" t="s">
        <v>25</v>
      </c>
      <c r="G695" s="2">
        <v>45362</v>
      </c>
      <c r="H695" s="2">
        <v>45379</v>
      </c>
      <c r="I695">
        <v>25</v>
      </c>
      <c r="J695">
        <v>17</v>
      </c>
      <c r="K695">
        <v>0</v>
      </c>
      <c r="L695" s="1" t="s">
        <v>26</v>
      </c>
      <c r="M695">
        <v>238.2</v>
      </c>
      <c r="N695">
        <v>474121.72</v>
      </c>
      <c r="O695">
        <v>4817153.1500000004</v>
      </c>
      <c r="P695">
        <v>675281.96</v>
      </c>
      <c r="Q695" s="1" t="s">
        <v>2466</v>
      </c>
      <c r="R695">
        <v>48</v>
      </c>
      <c r="S695" s="1" t="s">
        <v>2467</v>
      </c>
      <c r="T695" t="b">
        <v>1</v>
      </c>
    </row>
    <row r="696" spans="1:20" x14ac:dyDescent="0.25">
      <c r="A696" s="1" t="s">
        <v>2468</v>
      </c>
      <c r="B696" s="1" t="s">
        <v>105</v>
      </c>
      <c r="C696" s="1" t="s">
        <v>2469</v>
      </c>
      <c r="D696" s="1" t="s">
        <v>288</v>
      </c>
      <c r="E696" s="1" t="s">
        <v>24</v>
      </c>
      <c r="F696" s="1" t="s">
        <v>25</v>
      </c>
      <c r="G696" s="2">
        <v>45126</v>
      </c>
      <c r="H696" s="2">
        <v>45127</v>
      </c>
      <c r="I696">
        <v>3</v>
      </c>
      <c r="J696">
        <v>1</v>
      </c>
      <c r="K696">
        <v>0</v>
      </c>
      <c r="L696" s="1" t="s">
        <v>26</v>
      </c>
      <c r="M696">
        <v>10.199999999999999</v>
      </c>
      <c r="N696">
        <v>32797.599999999999</v>
      </c>
      <c r="O696">
        <v>3860573.57</v>
      </c>
      <c r="P696">
        <v>622334.55000000005</v>
      </c>
      <c r="Q696" s="1" t="s">
        <v>2470</v>
      </c>
      <c r="R696">
        <v>59</v>
      </c>
      <c r="S696" s="1" t="s">
        <v>2471</v>
      </c>
      <c r="T696" t="b">
        <v>0</v>
      </c>
    </row>
    <row r="697" spans="1:20" x14ac:dyDescent="0.25">
      <c r="A697" s="1" t="s">
        <v>2472</v>
      </c>
      <c r="B697" s="1" t="s">
        <v>286</v>
      </c>
      <c r="C697" s="1" t="s">
        <v>896</v>
      </c>
      <c r="D697" s="1" t="s">
        <v>154</v>
      </c>
      <c r="E697" s="1" t="s">
        <v>33</v>
      </c>
      <c r="F697" s="1" t="s">
        <v>50</v>
      </c>
      <c r="G697" s="2">
        <v>44876</v>
      </c>
      <c r="H697" s="2"/>
      <c r="I697">
        <v>12</v>
      </c>
      <c r="J697">
        <v>17</v>
      </c>
      <c r="K697">
        <v>5</v>
      </c>
      <c r="L697" s="1" t="s">
        <v>26</v>
      </c>
      <c r="M697">
        <v>137.6</v>
      </c>
      <c r="N697">
        <v>348771.63</v>
      </c>
      <c r="O697">
        <v>4939917.4400000004</v>
      </c>
      <c r="P697">
        <v>730633.3</v>
      </c>
      <c r="Q697" s="1" t="s">
        <v>2473</v>
      </c>
      <c r="R697">
        <v>76</v>
      </c>
      <c r="S697" s="1" t="s">
        <v>2474</v>
      </c>
      <c r="T697" t="b">
        <v>0</v>
      </c>
    </row>
    <row r="698" spans="1:20" x14ac:dyDescent="0.25">
      <c r="A698" s="1" t="s">
        <v>2475</v>
      </c>
      <c r="B698" s="1" t="s">
        <v>30</v>
      </c>
      <c r="C698" s="1" t="s">
        <v>1164</v>
      </c>
      <c r="D698" s="1" t="s">
        <v>113</v>
      </c>
      <c r="E698" s="1" t="s">
        <v>57</v>
      </c>
      <c r="F698" s="1" t="s">
        <v>66</v>
      </c>
      <c r="G698" s="2">
        <v>45158</v>
      </c>
      <c r="H698" s="2"/>
      <c r="I698">
        <v>40</v>
      </c>
      <c r="J698">
        <v>26</v>
      </c>
      <c r="K698">
        <v>0</v>
      </c>
      <c r="L698" s="1" t="s">
        <v>26</v>
      </c>
      <c r="M698">
        <v>131.6</v>
      </c>
      <c r="N698">
        <v>496888.72</v>
      </c>
      <c r="O698">
        <v>4799074.84</v>
      </c>
      <c r="P698">
        <v>987742.26</v>
      </c>
      <c r="Q698" s="1" t="s">
        <v>2476</v>
      </c>
      <c r="R698">
        <v>23</v>
      </c>
      <c r="S698" s="1" t="s">
        <v>2477</v>
      </c>
      <c r="T698" t="b">
        <v>1</v>
      </c>
    </row>
    <row r="699" spans="1:20" x14ac:dyDescent="0.25">
      <c r="A699" s="1" t="s">
        <v>2478</v>
      </c>
      <c r="B699" s="1" t="s">
        <v>272</v>
      </c>
      <c r="C699" s="1" t="s">
        <v>1521</v>
      </c>
      <c r="D699" s="1" t="s">
        <v>405</v>
      </c>
      <c r="E699" s="1" t="s">
        <v>41</v>
      </c>
      <c r="F699" s="1" t="s">
        <v>34</v>
      </c>
      <c r="G699" s="2">
        <v>45135</v>
      </c>
      <c r="H699" s="2"/>
      <c r="I699">
        <v>9</v>
      </c>
      <c r="J699">
        <v>7</v>
      </c>
      <c r="K699">
        <v>0</v>
      </c>
      <c r="L699" s="1" t="s">
        <v>26</v>
      </c>
      <c r="M699">
        <v>104</v>
      </c>
      <c r="N699">
        <v>366986.53</v>
      </c>
      <c r="O699">
        <v>1650860.06</v>
      </c>
      <c r="P699">
        <v>336370.69</v>
      </c>
      <c r="Q699" s="1" t="s">
        <v>2479</v>
      </c>
      <c r="R699">
        <v>71</v>
      </c>
      <c r="S699" s="1" t="s">
        <v>2480</v>
      </c>
      <c r="T699" t="b">
        <v>0</v>
      </c>
    </row>
    <row r="700" spans="1:20" x14ac:dyDescent="0.25">
      <c r="A700" s="1" t="s">
        <v>2481</v>
      </c>
      <c r="B700" s="1" t="s">
        <v>185</v>
      </c>
      <c r="C700" s="1" t="s">
        <v>139</v>
      </c>
      <c r="D700" s="1" t="s">
        <v>72</v>
      </c>
      <c r="E700" s="1" t="s">
        <v>49</v>
      </c>
      <c r="F700" s="1" t="s">
        <v>25</v>
      </c>
      <c r="G700" s="2">
        <v>45059</v>
      </c>
      <c r="H700" s="2">
        <v>45076</v>
      </c>
      <c r="I700">
        <v>25</v>
      </c>
      <c r="J700">
        <v>17</v>
      </c>
      <c r="K700">
        <v>0</v>
      </c>
      <c r="L700" s="1" t="s">
        <v>26</v>
      </c>
      <c r="M700">
        <v>188.6</v>
      </c>
      <c r="N700">
        <v>678431.34</v>
      </c>
      <c r="O700">
        <v>528787.61</v>
      </c>
      <c r="P700">
        <v>214996.27</v>
      </c>
      <c r="Q700" s="1" t="s">
        <v>2482</v>
      </c>
      <c r="R700">
        <v>53</v>
      </c>
      <c r="S700" s="1" t="s">
        <v>2483</v>
      </c>
      <c r="T700" t="b">
        <v>0</v>
      </c>
    </row>
    <row r="701" spans="1:20" x14ac:dyDescent="0.25">
      <c r="A701" s="1" t="s">
        <v>2484</v>
      </c>
      <c r="B701" s="1" t="s">
        <v>220</v>
      </c>
      <c r="C701" s="1" t="s">
        <v>2485</v>
      </c>
      <c r="D701" s="1" t="s">
        <v>336</v>
      </c>
      <c r="E701" s="1" t="s">
        <v>49</v>
      </c>
      <c r="F701" s="1" t="s">
        <v>25</v>
      </c>
      <c r="G701" s="2">
        <v>44648</v>
      </c>
      <c r="H701" s="2">
        <v>44676</v>
      </c>
      <c r="I701">
        <v>25</v>
      </c>
      <c r="J701">
        <v>28</v>
      </c>
      <c r="K701">
        <v>3</v>
      </c>
      <c r="L701" s="1" t="s">
        <v>26</v>
      </c>
      <c r="M701">
        <v>393.6</v>
      </c>
      <c r="N701">
        <v>1391466.53</v>
      </c>
      <c r="O701">
        <v>501897.88</v>
      </c>
      <c r="P701">
        <v>207307.04</v>
      </c>
      <c r="Q701" s="1" t="s">
        <v>2486</v>
      </c>
      <c r="R701">
        <v>45</v>
      </c>
      <c r="S701" s="1" t="s">
        <v>2487</v>
      </c>
      <c r="T701" t="b">
        <v>1</v>
      </c>
    </row>
    <row r="702" spans="1:20" x14ac:dyDescent="0.25">
      <c r="A702" s="1" t="s">
        <v>2488</v>
      </c>
      <c r="B702" s="1" t="s">
        <v>286</v>
      </c>
      <c r="C702" s="1" t="s">
        <v>2423</v>
      </c>
      <c r="D702" s="1" t="s">
        <v>372</v>
      </c>
      <c r="E702" s="1" t="s">
        <v>41</v>
      </c>
      <c r="F702" s="1" t="s">
        <v>50</v>
      </c>
      <c r="G702" s="2">
        <v>45273</v>
      </c>
      <c r="H702" s="2"/>
      <c r="I702">
        <v>9</v>
      </c>
      <c r="J702">
        <v>10</v>
      </c>
      <c r="K702">
        <v>1</v>
      </c>
      <c r="L702" s="1" t="s">
        <v>26</v>
      </c>
      <c r="M702">
        <v>142.30000000000001</v>
      </c>
      <c r="N702">
        <v>476424.85</v>
      </c>
      <c r="O702">
        <v>2618599.2999999998</v>
      </c>
      <c r="P702">
        <v>600495.66</v>
      </c>
      <c r="Q702" s="1" t="s">
        <v>2489</v>
      </c>
      <c r="R702">
        <v>56</v>
      </c>
      <c r="S702" s="1" t="s">
        <v>2490</v>
      </c>
      <c r="T702" t="b">
        <v>1</v>
      </c>
    </row>
    <row r="703" spans="1:20" x14ac:dyDescent="0.25">
      <c r="A703" s="1" t="s">
        <v>2491</v>
      </c>
      <c r="B703" s="1" t="s">
        <v>358</v>
      </c>
      <c r="C703" s="1" t="s">
        <v>1049</v>
      </c>
      <c r="D703" s="1" t="s">
        <v>249</v>
      </c>
      <c r="E703" s="1" t="s">
        <v>41</v>
      </c>
      <c r="F703" s="1" t="s">
        <v>25</v>
      </c>
      <c r="G703" s="2">
        <v>44611</v>
      </c>
      <c r="H703" s="2">
        <v>44615</v>
      </c>
      <c r="I703">
        <v>9</v>
      </c>
      <c r="J703">
        <v>4</v>
      </c>
      <c r="K703">
        <v>0</v>
      </c>
      <c r="L703" s="1" t="s">
        <v>26</v>
      </c>
      <c r="M703">
        <v>30</v>
      </c>
      <c r="N703">
        <v>87383.66</v>
      </c>
      <c r="O703">
        <v>151589.16</v>
      </c>
      <c r="P703">
        <v>34809.33</v>
      </c>
      <c r="Q703" s="1" t="s">
        <v>2492</v>
      </c>
      <c r="R703">
        <v>37</v>
      </c>
      <c r="S703" s="1" t="s">
        <v>2493</v>
      </c>
      <c r="T703" t="b">
        <v>0</v>
      </c>
    </row>
    <row r="704" spans="1:20" x14ac:dyDescent="0.25">
      <c r="A704" s="1" t="s">
        <v>2494</v>
      </c>
      <c r="B704" s="1" t="s">
        <v>358</v>
      </c>
      <c r="C704" s="1" t="s">
        <v>71</v>
      </c>
      <c r="D704" s="1" t="s">
        <v>64</v>
      </c>
      <c r="E704" s="1" t="s">
        <v>24</v>
      </c>
      <c r="F704" s="1" t="s">
        <v>25</v>
      </c>
      <c r="G704" s="2">
        <v>44659</v>
      </c>
      <c r="H704" s="2">
        <v>44662</v>
      </c>
      <c r="I704">
        <v>3</v>
      </c>
      <c r="J704">
        <v>3</v>
      </c>
      <c r="K704">
        <v>0</v>
      </c>
      <c r="L704" s="1" t="s">
        <v>26</v>
      </c>
      <c r="M704">
        <v>39.700000000000003</v>
      </c>
      <c r="N704">
        <v>88673.87</v>
      </c>
      <c r="O704">
        <v>2796804.05</v>
      </c>
      <c r="P704">
        <v>537703.88</v>
      </c>
      <c r="Q704" s="1" t="s">
        <v>2495</v>
      </c>
      <c r="R704">
        <v>51</v>
      </c>
      <c r="S704" s="1" t="s">
        <v>2496</v>
      </c>
      <c r="T704" t="b">
        <v>1</v>
      </c>
    </row>
    <row r="705" spans="1:20" x14ac:dyDescent="0.25">
      <c r="A705" s="1" t="s">
        <v>2497</v>
      </c>
      <c r="B705" s="1" t="s">
        <v>21</v>
      </c>
      <c r="C705" s="1" t="s">
        <v>1394</v>
      </c>
      <c r="D705" s="1" t="s">
        <v>320</v>
      </c>
      <c r="E705" s="1" t="s">
        <v>24</v>
      </c>
      <c r="F705" s="1" t="s">
        <v>66</v>
      </c>
      <c r="G705" s="2">
        <v>45245</v>
      </c>
      <c r="H705" s="2"/>
      <c r="I705">
        <v>3</v>
      </c>
      <c r="J705">
        <v>5</v>
      </c>
      <c r="K705">
        <v>2</v>
      </c>
      <c r="L705" s="1" t="s">
        <v>26</v>
      </c>
      <c r="M705">
        <v>64.400000000000006</v>
      </c>
      <c r="N705">
        <v>261324.65</v>
      </c>
      <c r="O705">
        <v>1145578.9099999999</v>
      </c>
      <c r="P705">
        <v>257278.07999999999</v>
      </c>
      <c r="Q705" s="1" t="s">
        <v>2498</v>
      </c>
      <c r="R705">
        <v>51</v>
      </c>
      <c r="S705" s="1" t="s">
        <v>2499</v>
      </c>
      <c r="T705" t="b">
        <v>1</v>
      </c>
    </row>
    <row r="706" spans="1:20" x14ac:dyDescent="0.25">
      <c r="A706" s="1" t="s">
        <v>2500</v>
      </c>
      <c r="B706" s="1" t="s">
        <v>111</v>
      </c>
      <c r="C706" s="1" t="s">
        <v>769</v>
      </c>
      <c r="D706" s="1" t="s">
        <v>78</v>
      </c>
      <c r="E706" s="1" t="s">
        <v>57</v>
      </c>
      <c r="F706" s="1" t="s">
        <v>25</v>
      </c>
      <c r="G706" s="2">
        <v>45345</v>
      </c>
      <c r="H706" s="2">
        <v>45396</v>
      </c>
      <c r="I706">
        <v>40</v>
      </c>
      <c r="J706">
        <v>51</v>
      </c>
      <c r="K706">
        <v>11</v>
      </c>
      <c r="L706" s="1" t="s">
        <v>58</v>
      </c>
      <c r="M706">
        <v>418.6</v>
      </c>
      <c r="N706">
        <v>1664321.47</v>
      </c>
      <c r="O706">
        <v>4479943.3499999996</v>
      </c>
      <c r="P706">
        <v>1078177.68</v>
      </c>
      <c r="Q706" s="1" t="s">
        <v>2501</v>
      </c>
      <c r="R706">
        <v>78</v>
      </c>
      <c r="S706" s="1" t="s">
        <v>2502</v>
      </c>
      <c r="T706" t="b">
        <v>0</v>
      </c>
    </row>
    <row r="707" spans="1:20" x14ac:dyDescent="0.25">
      <c r="A707" s="1" t="s">
        <v>2503</v>
      </c>
      <c r="B707" s="1" t="s">
        <v>228</v>
      </c>
      <c r="C707" s="1" t="s">
        <v>932</v>
      </c>
      <c r="D707" s="1" t="s">
        <v>622</v>
      </c>
      <c r="E707" s="1" t="s">
        <v>65</v>
      </c>
      <c r="F707" s="1" t="s">
        <v>66</v>
      </c>
      <c r="G707" s="2">
        <v>44926</v>
      </c>
      <c r="H707" s="2"/>
      <c r="I707">
        <v>4</v>
      </c>
      <c r="J707">
        <v>2</v>
      </c>
      <c r="K707">
        <v>0</v>
      </c>
      <c r="L707" s="1" t="s">
        <v>26</v>
      </c>
      <c r="M707">
        <v>12.8</v>
      </c>
      <c r="N707">
        <v>26169.14</v>
      </c>
      <c r="O707">
        <v>2993867.22</v>
      </c>
      <c r="P707">
        <v>566840.61</v>
      </c>
      <c r="Q707" s="1" t="s">
        <v>2504</v>
      </c>
      <c r="R707">
        <v>45</v>
      </c>
      <c r="S707" s="1" t="s">
        <v>2505</v>
      </c>
      <c r="T707" t="b">
        <v>1</v>
      </c>
    </row>
    <row r="708" spans="1:20" x14ac:dyDescent="0.25">
      <c r="A708" s="1" t="s">
        <v>2506</v>
      </c>
      <c r="B708" s="1" t="s">
        <v>138</v>
      </c>
      <c r="C708" s="1" t="s">
        <v>2304</v>
      </c>
      <c r="D708" s="1" t="s">
        <v>202</v>
      </c>
      <c r="E708" s="1" t="s">
        <v>33</v>
      </c>
      <c r="F708" s="1" t="s">
        <v>50</v>
      </c>
      <c r="G708" s="2">
        <v>45350</v>
      </c>
      <c r="H708" s="2"/>
      <c r="I708">
        <v>12</v>
      </c>
      <c r="J708">
        <v>17</v>
      </c>
      <c r="K708">
        <v>5</v>
      </c>
      <c r="L708" s="1" t="s">
        <v>26</v>
      </c>
      <c r="M708">
        <v>234.2</v>
      </c>
      <c r="N708">
        <v>982730.83</v>
      </c>
      <c r="O708">
        <v>1476622.17</v>
      </c>
      <c r="P708">
        <v>386144.68</v>
      </c>
      <c r="Q708" s="1" t="s">
        <v>1138</v>
      </c>
      <c r="R708">
        <v>29</v>
      </c>
      <c r="S708" s="1" t="s">
        <v>2507</v>
      </c>
      <c r="T708" t="b">
        <v>0</v>
      </c>
    </row>
    <row r="709" spans="1:20" x14ac:dyDescent="0.25">
      <c r="A709" s="1" t="s">
        <v>2508</v>
      </c>
      <c r="B709" s="1" t="s">
        <v>54</v>
      </c>
      <c r="C709" s="1" t="s">
        <v>180</v>
      </c>
      <c r="D709" s="1" t="s">
        <v>244</v>
      </c>
      <c r="E709" s="1" t="s">
        <v>65</v>
      </c>
      <c r="F709" s="1" t="s">
        <v>25</v>
      </c>
      <c r="G709" s="2">
        <v>44615</v>
      </c>
      <c r="H709" s="2">
        <v>44619</v>
      </c>
      <c r="I709">
        <v>4</v>
      </c>
      <c r="J709">
        <v>4</v>
      </c>
      <c r="K709">
        <v>0</v>
      </c>
      <c r="L709" s="1" t="s">
        <v>26</v>
      </c>
      <c r="M709">
        <v>27.8</v>
      </c>
      <c r="N709">
        <v>66991</v>
      </c>
      <c r="O709">
        <v>3242996.31</v>
      </c>
      <c r="P709">
        <v>402483.9</v>
      </c>
      <c r="Q709" s="1" t="s">
        <v>2509</v>
      </c>
      <c r="R709">
        <v>48</v>
      </c>
      <c r="S709" s="1" t="s">
        <v>2510</v>
      </c>
      <c r="T709" t="b">
        <v>0</v>
      </c>
    </row>
    <row r="710" spans="1:20" x14ac:dyDescent="0.25">
      <c r="A710" s="1" t="s">
        <v>2511</v>
      </c>
      <c r="B710" s="1" t="s">
        <v>242</v>
      </c>
      <c r="C710" s="1" t="s">
        <v>762</v>
      </c>
      <c r="D710" s="1" t="s">
        <v>56</v>
      </c>
      <c r="E710" s="1" t="s">
        <v>65</v>
      </c>
      <c r="F710" s="1" t="s">
        <v>25</v>
      </c>
      <c r="G710" s="2">
        <v>44955</v>
      </c>
      <c r="H710" s="2">
        <v>44962</v>
      </c>
      <c r="I710">
        <v>4</v>
      </c>
      <c r="J710">
        <v>7</v>
      </c>
      <c r="K710">
        <v>2.5</v>
      </c>
      <c r="L710" s="1" t="s">
        <v>26</v>
      </c>
      <c r="M710">
        <v>80.7</v>
      </c>
      <c r="N710">
        <v>338877.96</v>
      </c>
      <c r="O710">
        <v>4895864.0999999996</v>
      </c>
      <c r="P710">
        <v>914400.96</v>
      </c>
      <c r="Q710" s="1" t="s">
        <v>2512</v>
      </c>
      <c r="R710">
        <v>43</v>
      </c>
      <c r="S710" s="1" t="s">
        <v>2513</v>
      </c>
      <c r="T710" t="b">
        <v>1</v>
      </c>
    </row>
    <row r="711" spans="1:20" x14ac:dyDescent="0.25">
      <c r="A711" s="1" t="s">
        <v>2514</v>
      </c>
      <c r="B711" s="1" t="s">
        <v>70</v>
      </c>
      <c r="C711" s="1" t="s">
        <v>819</v>
      </c>
      <c r="D711" s="1" t="s">
        <v>181</v>
      </c>
      <c r="E711" s="1" t="s">
        <v>49</v>
      </c>
      <c r="F711" s="1" t="s">
        <v>25</v>
      </c>
      <c r="G711" s="2">
        <v>45217</v>
      </c>
      <c r="H711" s="2">
        <v>45229</v>
      </c>
      <c r="I711">
        <v>25</v>
      </c>
      <c r="J711">
        <v>12</v>
      </c>
      <c r="K711">
        <v>0</v>
      </c>
      <c r="L711" s="1" t="s">
        <v>26</v>
      </c>
      <c r="M711">
        <v>186</v>
      </c>
      <c r="N711">
        <v>402342.29</v>
      </c>
      <c r="O711">
        <v>4301124.05</v>
      </c>
      <c r="P711">
        <v>934228.73</v>
      </c>
      <c r="Q711" s="1" t="s">
        <v>2515</v>
      </c>
      <c r="R711">
        <v>70</v>
      </c>
      <c r="S711" s="1" t="s">
        <v>2516</v>
      </c>
      <c r="T711" t="b">
        <v>0</v>
      </c>
    </row>
    <row r="712" spans="1:20" x14ac:dyDescent="0.25">
      <c r="A712" s="1" t="s">
        <v>2517</v>
      </c>
      <c r="B712" s="1" t="s">
        <v>117</v>
      </c>
      <c r="C712" s="1" t="s">
        <v>424</v>
      </c>
      <c r="D712" s="1" t="s">
        <v>244</v>
      </c>
      <c r="E712" s="1" t="s">
        <v>33</v>
      </c>
      <c r="F712" s="1" t="s">
        <v>50</v>
      </c>
      <c r="G712" s="2">
        <v>45204</v>
      </c>
      <c r="H712" s="2"/>
      <c r="I712">
        <v>12</v>
      </c>
      <c r="J712">
        <v>15</v>
      </c>
      <c r="K712">
        <v>3</v>
      </c>
      <c r="L712" s="1" t="s">
        <v>26</v>
      </c>
      <c r="M712">
        <v>101</v>
      </c>
      <c r="N712">
        <v>276793.08</v>
      </c>
      <c r="O712">
        <v>3513700.99</v>
      </c>
      <c r="P712">
        <v>749188.5</v>
      </c>
      <c r="Q712" s="1" t="s">
        <v>2518</v>
      </c>
      <c r="R712">
        <v>23</v>
      </c>
      <c r="S712" s="1" t="s">
        <v>2519</v>
      </c>
      <c r="T712" t="b">
        <v>0</v>
      </c>
    </row>
    <row r="713" spans="1:20" x14ac:dyDescent="0.25">
      <c r="A713" s="1" t="s">
        <v>2520</v>
      </c>
      <c r="B713" s="1" t="s">
        <v>451</v>
      </c>
      <c r="C713" s="1" t="s">
        <v>946</v>
      </c>
      <c r="D713" s="1" t="s">
        <v>159</v>
      </c>
      <c r="E713" s="1" t="s">
        <v>65</v>
      </c>
      <c r="F713" s="1" t="s">
        <v>66</v>
      </c>
      <c r="G713" s="2">
        <v>45458</v>
      </c>
      <c r="H713" s="2"/>
      <c r="I713">
        <v>4</v>
      </c>
      <c r="J713">
        <v>7</v>
      </c>
      <c r="K713">
        <v>2.5</v>
      </c>
      <c r="L713" s="1" t="s">
        <v>26</v>
      </c>
      <c r="M713">
        <v>33.4</v>
      </c>
      <c r="N713">
        <v>149920.22</v>
      </c>
      <c r="O713">
        <v>120354.76</v>
      </c>
      <c r="P713">
        <v>39148.47</v>
      </c>
      <c r="Q713" s="1" t="s">
        <v>2521</v>
      </c>
      <c r="R713">
        <v>63</v>
      </c>
      <c r="S713" s="1" t="s">
        <v>2522</v>
      </c>
      <c r="T713" t="b">
        <v>0</v>
      </c>
    </row>
    <row r="714" spans="1:20" x14ac:dyDescent="0.25">
      <c r="A714" s="1" t="s">
        <v>2523</v>
      </c>
      <c r="B714" s="1" t="s">
        <v>70</v>
      </c>
      <c r="C714" s="1" t="s">
        <v>476</v>
      </c>
      <c r="D714" s="1" t="s">
        <v>372</v>
      </c>
      <c r="E714" s="1" t="s">
        <v>41</v>
      </c>
      <c r="F714" s="1" t="s">
        <v>25</v>
      </c>
      <c r="G714" s="2">
        <v>44695</v>
      </c>
      <c r="H714" s="2">
        <v>44707</v>
      </c>
      <c r="I714">
        <v>9</v>
      </c>
      <c r="J714">
        <v>12</v>
      </c>
      <c r="K714">
        <v>3</v>
      </c>
      <c r="L714" s="1" t="s">
        <v>26</v>
      </c>
      <c r="M714">
        <v>84.3</v>
      </c>
      <c r="N714">
        <v>355798.95</v>
      </c>
      <c r="O714">
        <v>147609.1</v>
      </c>
      <c r="P714">
        <v>80431.44</v>
      </c>
      <c r="Q714" s="1" t="s">
        <v>2524</v>
      </c>
      <c r="R714">
        <v>62</v>
      </c>
      <c r="S714" s="1" t="s">
        <v>2525</v>
      </c>
      <c r="T714" t="b">
        <v>0</v>
      </c>
    </row>
    <row r="715" spans="1:20" x14ac:dyDescent="0.25">
      <c r="A715" s="1" t="s">
        <v>2526</v>
      </c>
      <c r="B715" s="1" t="s">
        <v>220</v>
      </c>
      <c r="C715" s="1" t="s">
        <v>459</v>
      </c>
      <c r="D715" s="1" t="s">
        <v>32</v>
      </c>
      <c r="E715" s="1" t="s">
        <v>49</v>
      </c>
      <c r="F715" s="1" t="s">
        <v>34</v>
      </c>
      <c r="G715" s="2">
        <v>45196</v>
      </c>
      <c r="H715" s="2"/>
      <c r="I715">
        <v>25</v>
      </c>
      <c r="J715">
        <v>31</v>
      </c>
      <c r="K715">
        <v>6</v>
      </c>
      <c r="L715" s="1" t="s">
        <v>101</v>
      </c>
      <c r="M715">
        <v>237.3</v>
      </c>
      <c r="N715">
        <v>576146.30000000005</v>
      </c>
      <c r="O715">
        <v>3994097.56</v>
      </c>
      <c r="P715">
        <v>689172.18</v>
      </c>
      <c r="Q715" s="1" t="s">
        <v>2527</v>
      </c>
      <c r="R715">
        <v>20</v>
      </c>
      <c r="S715" s="1" t="s">
        <v>2528</v>
      </c>
      <c r="T715" t="b">
        <v>1</v>
      </c>
    </row>
    <row r="716" spans="1:20" x14ac:dyDescent="0.25">
      <c r="A716" s="1" t="s">
        <v>2529</v>
      </c>
      <c r="B716" s="1" t="s">
        <v>46</v>
      </c>
      <c r="C716" s="1" t="s">
        <v>512</v>
      </c>
      <c r="D716" s="1" t="s">
        <v>505</v>
      </c>
      <c r="E716" s="1" t="s">
        <v>49</v>
      </c>
      <c r="F716" s="1" t="s">
        <v>25</v>
      </c>
      <c r="G716" s="2">
        <v>45295</v>
      </c>
      <c r="H716" s="2">
        <v>45329</v>
      </c>
      <c r="I716">
        <v>25</v>
      </c>
      <c r="J716">
        <v>34</v>
      </c>
      <c r="K716">
        <v>9</v>
      </c>
      <c r="L716" s="1" t="s">
        <v>26</v>
      </c>
      <c r="M716">
        <v>534.79999999999995</v>
      </c>
      <c r="N716">
        <v>1849015.51</v>
      </c>
      <c r="O716">
        <v>2653562.1800000002</v>
      </c>
      <c r="P716">
        <v>779117.19</v>
      </c>
      <c r="Q716" s="1" t="s">
        <v>2530</v>
      </c>
      <c r="R716">
        <v>61</v>
      </c>
      <c r="S716" s="1" t="s">
        <v>2531</v>
      </c>
      <c r="T716" t="b">
        <v>0</v>
      </c>
    </row>
    <row r="717" spans="1:20" x14ac:dyDescent="0.25">
      <c r="A717" s="1" t="s">
        <v>2532</v>
      </c>
      <c r="B717" s="1" t="s">
        <v>70</v>
      </c>
      <c r="C717" s="1" t="s">
        <v>112</v>
      </c>
      <c r="D717" s="1" t="s">
        <v>344</v>
      </c>
      <c r="E717" s="1" t="s">
        <v>24</v>
      </c>
      <c r="F717" s="1" t="s">
        <v>25</v>
      </c>
      <c r="G717" s="2">
        <v>44806</v>
      </c>
      <c r="H717" s="2">
        <v>44807</v>
      </c>
      <c r="I717">
        <v>3</v>
      </c>
      <c r="J717">
        <v>1</v>
      </c>
      <c r="K717">
        <v>0</v>
      </c>
      <c r="L717" s="1" t="s">
        <v>26</v>
      </c>
      <c r="M717">
        <v>15.4</v>
      </c>
      <c r="N717">
        <v>51587.040000000001</v>
      </c>
      <c r="O717">
        <v>4745659.1500000004</v>
      </c>
      <c r="P717">
        <v>665594.47</v>
      </c>
      <c r="Q717" s="1" t="s">
        <v>2533</v>
      </c>
      <c r="R717">
        <v>26</v>
      </c>
      <c r="S717" s="1" t="s">
        <v>2534</v>
      </c>
      <c r="T717" t="b">
        <v>0</v>
      </c>
    </row>
    <row r="718" spans="1:20" x14ac:dyDescent="0.25">
      <c r="A718" s="1" t="s">
        <v>2535</v>
      </c>
      <c r="B718" s="1" t="s">
        <v>158</v>
      </c>
      <c r="C718" s="1" t="s">
        <v>1241</v>
      </c>
      <c r="D718" s="1" t="s">
        <v>230</v>
      </c>
      <c r="E718" s="1" t="s">
        <v>57</v>
      </c>
      <c r="F718" s="1" t="s">
        <v>34</v>
      </c>
      <c r="G718" s="2">
        <v>45289</v>
      </c>
      <c r="H718" s="2"/>
      <c r="I718">
        <v>40</v>
      </c>
      <c r="J718">
        <v>47</v>
      </c>
      <c r="K718">
        <v>7</v>
      </c>
      <c r="L718" s="1" t="s">
        <v>101</v>
      </c>
      <c r="M718">
        <v>683.8</v>
      </c>
      <c r="N718">
        <v>2153382.56</v>
      </c>
      <c r="O718">
        <v>930986.24</v>
      </c>
      <c r="P718">
        <v>432252</v>
      </c>
      <c r="Q718" s="1" t="s">
        <v>2536</v>
      </c>
      <c r="R718">
        <v>68</v>
      </c>
      <c r="S718" s="1" t="s">
        <v>2537</v>
      </c>
      <c r="T718" t="b">
        <v>1</v>
      </c>
    </row>
    <row r="719" spans="1:20" x14ac:dyDescent="0.25">
      <c r="A719" s="1" t="s">
        <v>2538</v>
      </c>
      <c r="B719" s="1" t="s">
        <v>272</v>
      </c>
      <c r="C719" s="1" t="s">
        <v>1013</v>
      </c>
      <c r="D719" s="1" t="s">
        <v>758</v>
      </c>
      <c r="E719" s="1" t="s">
        <v>24</v>
      </c>
      <c r="F719" s="1" t="s">
        <v>25</v>
      </c>
      <c r="G719" s="2">
        <v>45634</v>
      </c>
      <c r="H719" s="2">
        <v>45639</v>
      </c>
      <c r="I719">
        <v>3</v>
      </c>
      <c r="J719">
        <v>5</v>
      </c>
      <c r="K719">
        <v>2</v>
      </c>
      <c r="L719" s="1" t="s">
        <v>26</v>
      </c>
      <c r="M719">
        <v>23.7</v>
      </c>
      <c r="N719">
        <v>78310.649999999994</v>
      </c>
      <c r="O719">
        <v>3416723.32</v>
      </c>
      <c r="P719">
        <v>382877.59</v>
      </c>
      <c r="Q719" s="1" t="s">
        <v>2539</v>
      </c>
      <c r="R719">
        <v>44</v>
      </c>
      <c r="S719" s="1" t="s">
        <v>2540</v>
      </c>
      <c r="T719" t="b">
        <v>0</v>
      </c>
    </row>
    <row r="720" spans="1:20" x14ac:dyDescent="0.25">
      <c r="A720" s="1" t="s">
        <v>2541</v>
      </c>
      <c r="B720" s="1" t="s">
        <v>358</v>
      </c>
      <c r="C720" s="1" t="s">
        <v>819</v>
      </c>
      <c r="D720" s="1" t="s">
        <v>32</v>
      </c>
      <c r="E720" s="1" t="s">
        <v>49</v>
      </c>
      <c r="F720" s="1" t="s">
        <v>66</v>
      </c>
      <c r="G720" s="2">
        <v>44618</v>
      </c>
      <c r="H720" s="2"/>
      <c r="I720">
        <v>25</v>
      </c>
      <c r="J720">
        <v>21</v>
      </c>
      <c r="K720">
        <v>0</v>
      </c>
      <c r="L720" s="1" t="s">
        <v>26</v>
      </c>
      <c r="M720">
        <v>300.60000000000002</v>
      </c>
      <c r="N720">
        <v>1316754.73</v>
      </c>
      <c r="O720">
        <v>950525.66</v>
      </c>
      <c r="P720">
        <v>367497.22</v>
      </c>
      <c r="Q720" s="1" t="s">
        <v>2542</v>
      </c>
      <c r="R720">
        <v>63</v>
      </c>
      <c r="S720" s="1" t="s">
        <v>2543</v>
      </c>
      <c r="T720" t="b">
        <v>1</v>
      </c>
    </row>
    <row r="721" spans="1:20" x14ac:dyDescent="0.25">
      <c r="A721" s="1" t="s">
        <v>2544</v>
      </c>
      <c r="B721" s="1" t="s">
        <v>138</v>
      </c>
      <c r="C721" s="1" t="s">
        <v>281</v>
      </c>
      <c r="D721" s="1" t="s">
        <v>48</v>
      </c>
      <c r="E721" s="1" t="s">
        <v>49</v>
      </c>
      <c r="F721" s="1" t="s">
        <v>25</v>
      </c>
      <c r="G721" s="2">
        <v>45328</v>
      </c>
      <c r="H721" s="2">
        <v>45366</v>
      </c>
      <c r="I721">
        <v>25</v>
      </c>
      <c r="J721">
        <v>38</v>
      </c>
      <c r="K721">
        <v>13</v>
      </c>
      <c r="L721" s="1" t="s">
        <v>26</v>
      </c>
      <c r="M721">
        <v>353</v>
      </c>
      <c r="N721">
        <v>1441696.92</v>
      </c>
      <c r="O721">
        <v>3862198.21</v>
      </c>
      <c r="P721">
        <v>799471.35</v>
      </c>
      <c r="Q721" s="1" t="s">
        <v>2545</v>
      </c>
      <c r="R721">
        <v>70</v>
      </c>
      <c r="S721" s="1" t="s">
        <v>2546</v>
      </c>
      <c r="T721" t="b">
        <v>1</v>
      </c>
    </row>
    <row r="722" spans="1:20" x14ac:dyDescent="0.25">
      <c r="A722" s="1" t="s">
        <v>2547</v>
      </c>
      <c r="B722" s="1" t="s">
        <v>253</v>
      </c>
      <c r="C722" s="1" t="s">
        <v>83</v>
      </c>
      <c r="D722" s="1" t="s">
        <v>216</v>
      </c>
      <c r="E722" s="1" t="s">
        <v>24</v>
      </c>
      <c r="F722" s="1" t="s">
        <v>25</v>
      </c>
      <c r="G722" s="2">
        <v>45200</v>
      </c>
      <c r="H722" s="2">
        <v>45203</v>
      </c>
      <c r="I722">
        <v>3</v>
      </c>
      <c r="J722">
        <v>3</v>
      </c>
      <c r="K722">
        <v>0</v>
      </c>
      <c r="L722" s="1" t="s">
        <v>26</v>
      </c>
      <c r="M722">
        <v>36.6</v>
      </c>
      <c r="N722">
        <v>124194.31</v>
      </c>
      <c r="O722">
        <v>845252.69</v>
      </c>
      <c r="P722">
        <v>106612.18</v>
      </c>
      <c r="Q722" s="1" t="s">
        <v>2548</v>
      </c>
      <c r="R722">
        <v>79</v>
      </c>
      <c r="S722" s="1" t="s">
        <v>2549</v>
      </c>
      <c r="T722" t="b">
        <v>0</v>
      </c>
    </row>
    <row r="723" spans="1:20" x14ac:dyDescent="0.25">
      <c r="A723" s="1" t="s">
        <v>2550</v>
      </c>
      <c r="B723" s="1" t="s">
        <v>138</v>
      </c>
      <c r="C723" s="1" t="s">
        <v>134</v>
      </c>
      <c r="D723" s="1" t="s">
        <v>107</v>
      </c>
      <c r="E723" s="1" t="s">
        <v>33</v>
      </c>
      <c r="F723" s="1" t="s">
        <v>34</v>
      </c>
      <c r="G723" s="2">
        <v>45479</v>
      </c>
      <c r="H723" s="2"/>
      <c r="I723">
        <v>12</v>
      </c>
      <c r="J723">
        <v>14</v>
      </c>
      <c r="K723">
        <v>2</v>
      </c>
      <c r="L723" s="1" t="s">
        <v>26</v>
      </c>
      <c r="M723">
        <v>67</v>
      </c>
      <c r="N723">
        <v>165141.59</v>
      </c>
      <c r="O723">
        <v>715493.07</v>
      </c>
      <c r="P723">
        <v>172638.48</v>
      </c>
      <c r="Q723" s="1" t="s">
        <v>2551</v>
      </c>
      <c r="R723">
        <v>78</v>
      </c>
      <c r="S723" s="1" t="s">
        <v>2552</v>
      </c>
      <c r="T723" t="b">
        <v>0</v>
      </c>
    </row>
    <row r="724" spans="1:20" x14ac:dyDescent="0.25">
      <c r="A724" s="1" t="s">
        <v>2553</v>
      </c>
      <c r="B724" s="1" t="s">
        <v>111</v>
      </c>
      <c r="C724" s="1" t="s">
        <v>1141</v>
      </c>
      <c r="D724" s="1" t="s">
        <v>758</v>
      </c>
      <c r="E724" s="1" t="s">
        <v>49</v>
      </c>
      <c r="F724" s="1" t="s">
        <v>25</v>
      </c>
      <c r="G724" s="2">
        <v>44764</v>
      </c>
      <c r="H724" s="2">
        <v>44795</v>
      </c>
      <c r="I724">
        <v>25</v>
      </c>
      <c r="J724">
        <v>31</v>
      </c>
      <c r="K724">
        <v>6</v>
      </c>
      <c r="L724" s="1" t="s">
        <v>101</v>
      </c>
      <c r="M724">
        <v>367.6</v>
      </c>
      <c r="N724">
        <v>1566726.26</v>
      </c>
      <c r="O724">
        <v>2819353.52</v>
      </c>
      <c r="P724">
        <v>746601.09</v>
      </c>
      <c r="Q724" s="1" t="s">
        <v>2554</v>
      </c>
      <c r="R724">
        <v>28</v>
      </c>
      <c r="S724" s="1" t="s">
        <v>2555</v>
      </c>
      <c r="T724" t="b">
        <v>0</v>
      </c>
    </row>
    <row r="725" spans="1:20" x14ac:dyDescent="0.25">
      <c r="A725" s="1" t="s">
        <v>2556</v>
      </c>
      <c r="B725" s="1" t="s">
        <v>128</v>
      </c>
      <c r="C725" s="1" t="s">
        <v>1360</v>
      </c>
      <c r="D725" s="1" t="s">
        <v>263</v>
      </c>
      <c r="E725" s="1" t="s">
        <v>24</v>
      </c>
      <c r="F725" s="1" t="s">
        <v>34</v>
      </c>
      <c r="G725" s="2">
        <v>44967</v>
      </c>
      <c r="H725" s="2"/>
      <c r="I725">
        <v>3</v>
      </c>
      <c r="J725">
        <v>4</v>
      </c>
      <c r="K725">
        <v>1</v>
      </c>
      <c r="L725" s="1" t="s">
        <v>26</v>
      </c>
      <c r="M725">
        <v>35.4</v>
      </c>
      <c r="N725">
        <v>99760.06</v>
      </c>
      <c r="O725">
        <v>2457422.06</v>
      </c>
      <c r="P725">
        <v>381337.07</v>
      </c>
      <c r="Q725" s="1" t="s">
        <v>2557</v>
      </c>
      <c r="R725">
        <v>70</v>
      </c>
      <c r="S725" s="1" t="s">
        <v>2558</v>
      </c>
      <c r="T725" t="b">
        <v>0</v>
      </c>
    </row>
    <row r="726" spans="1:20" x14ac:dyDescent="0.25">
      <c r="A726" s="1" t="s">
        <v>2559</v>
      </c>
      <c r="B726" s="1" t="s">
        <v>545</v>
      </c>
      <c r="C726" s="1" t="s">
        <v>986</v>
      </c>
      <c r="D726" s="1" t="s">
        <v>282</v>
      </c>
      <c r="E726" s="1" t="s">
        <v>49</v>
      </c>
      <c r="F726" s="1" t="s">
        <v>50</v>
      </c>
      <c r="G726" s="2">
        <v>44674</v>
      </c>
      <c r="H726" s="2"/>
      <c r="I726">
        <v>25</v>
      </c>
      <c r="J726">
        <v>11</v>
      </c>
      <c r="K726">
        <v>0</v>
      </c>
      <c r="L726" s="1" t="s">
        <v>26</v>
      </c>
      <c r="M726">
        <v>68.8</v>
      </c>
      <c r="N726">
        <v>140407.47</v>
      </c>
      <c r="O726">
        <v>4461541.76</v>
      </c>
      <c r="P726">
        <v>804352.33</v>
      </c>
      <c r="Q726" s="1" t="s">
        <v>2560</v>
      </c>
      <c r="R726">
        <v>21</v>
      </c>
      <c r="S726" s="1" t="s">
        <v>2561</v>
      </c>
      <c r="T726" t="b">
        <v>1</v>
      </c>
    </row>
    <row r="727" spans="1:20" x14ac:dyDescent="0.25">
      <c r="A727" s="1" t="s">
        <v>2562</v>
      </c>
      <c r="B727" s="1" t="s">
        <v>46</v>
      </c>
      <c r="C727" s="1" t="s">
        <v>1482</v>
      </c>
      <c r="D727" s="1" t="s">
        <v>56</v>
      </c>
      <c r="E727" s="1" t="s">
        <v>65</v>
      </c>
      <c r="F727" s="1" t="s">
        <v>25</v>
      </c>
      <c r="G727" s="2">
        <v>45182</v>
      </c>
      <c r="H727" s="2">
        <v>45188</v>
      </c>
      <c r="I727">
        <v>4</v>
      </c>
      <c r="J727">
        <v>6</v>
      </c>
      <c r="K727">
        <v>1.5</v>
      </c>
      <c r="L727" s="1" t="s">
        <v>26</v>
      </c>
      <c r="M727">
        <v>93.4</v>
      </c>
      <c r="N727">
        <v>181343.12</v>
      </c>
      <c r="O727">
        <v>4128717.34</v>
      </c>
      <c r="P727">
        <v>807578.27</v>
      </c>
      <c r="Q727" s="1" t="s">
        <v>2563</v>
      </c>
      <c r="R727">
        <v>63</v>
      </c>
      <c r="S727" s="1" t="s">
        <v>2564</v>
      </c>
      <c r="T727" t="b">
        <v>1</v>
      </c>
    </row>
    <row r="728" spans="1:20" x14ac:dyDescent="0.25">
      <c r="A728" s="1" t="s">
        <v>2565</v>
      </c>
      <c r="B728" s="1" t="s">
        <v>272</v>
      </c>
      <c r="C728" s="1" t="s">
        <v>1134</v>
      </c>
      <c r="D728" s="1" t="s">
        <v>297</v>
      </c>
      <c r="E728" s="1" t="s">
        <v>33</v>
      </c>
      <c r="F728" s="1" t="s">
        <v>25</v>
      </c>
      <c r="G728" s="2">
        <v>45001</v>
      </c>
      <c r="H728" s="2">
        <v>45009</v>
      </c>
      <c r="I728">
        <v>12</v>
      </c>
      <c r="J728">
        <v>8</v>
      </c>
      <c r="K728">
        <v>0</v>
      </c>
      <c r="L728" s="1" t="s">
        <v>26</v>
      </c>
      <c r="M728">
        <v>117.7</v>
      </c>
      <c r="N728">
        <v>438256.96</v>
      </c>
      <c r="O728">
        <v>374087.77</v>
      </c>
      <c r="P728">
        <v>97774.48</v>
      </c>
      <c r="Q728" s="1" t="s">
        <v>2566</v>
      </c>
      <c r="R728">
        <v>44</v>
      </c>
      <c r="S728" s="1" t="s">
        <v>2567</v>
      </c>
      <c r="T728" t="b">
        <v>1</v>
      </c>
    </row>
    <row r="729" spans="1:20" x14ac:dyDescent="0.25">
      <c r="A729" s="1" t="s">
        <v>2568</v>
      </c>
      <c r="B729" s="1" t="s">
        <v>21</v>
      </c>
      <c r="C729" s="1" t="s">
        <v>1442</v>
      </c>
      <c r="D729" s="1" t="s">
        <v>306</v>
      </c>
      <c r="E729" s="1" t="s">
        <v>24</v>
      </c>
      <c r="F729" s="1" t="s">
        <v>25</v>
      </c>
      <c r="G729" s="2">
        <v>44800</v>
      </c>
      <c r="H729" s="2">
        <v>44802</v>
      </c>
      <c r="I729">
        <v>3</v>
      </c>
      <c r="J729">
        <v>2</v>
      </c>
      <c r="K729">
        <v>0</v>
      </c>
      <c r="L729" s="1" t="s">
        <v>26</v>
      </c>
      <c r="M729">
        <v>23.8</v>
      </c>
      <c r="N729">
        <v>101653.64</v>
      </c>
      <c r="O729">
        <v>1660445.97</v>
      </c>
      <c r="P729">
        <v>207409.3</v>
      </c>
      <c r="Q729" s="1" t="s">
        <v>2569</v>
      </c>
      <c r="R729">
        <v>29</v>
      </c>
      <c r="S729" s="1" t="s">
        <v>2570</v>
      </c>
      <c r="T729" t="b">
        <v>1</v>
      </c>
    </row>
    <row r="730" spans="1:20" x14ac:dyDescent="0.25">
      <c r="A730" s="1" t="s">
        <v>2571</v>
      </c>
      <c r="B730" s="1" t="s">
        <v>38</v>
      </c>
      <c r="C730" s="1" t="s">
        <v>197</v>
      </c>
      <c r="D730" s="1" t="s">
        <v>84</v>
      </c>
      <c r="E730" s="1" t="s">
        <v>65</v>
      </c>
      <c r="F730" s="1" t="s">
        <v>34</v>
      </c>
      <c r="G730" s="2">
        <v>45090</v>
      </c>
      <c r="H730" s="2"/>
      <c r="I730">
        <v>4</v>
      </c>
      <c r="J730">
        <v>5</v>
      </c>
      <c r="K730">
        <v>0.5</v>
      </c>
      <c r="L730" s="1" t="s">
        <v>26</v>
      </c>
      <c r="M730">
        <v>32.299999999999997</v>
      </c>
      <c r="N730">
        <v>134769.76999999999</v>
      </c>
      <c r="O730">
        <v>3685801.51</v>
      </c>
      <c r="P730">
        <v>486211.61</v>
      </c>
      <c r="Q730" s="1" t="s">
        <v>2572</v>
      </c>
      <c r="R730">
        <v>73</v>
      </c>
      <c r="S730" s="1" t="s">
        <v>2573</v>
      </c>
      <c r="T730" t="b">
        <v>1</v>
      </c>
    </row>
    <row r="731" spans="1:20" x14ac:dyDescent="0.25">
      <c r="A731" s="1" t="s">
        <v>2574</v>
      </c>
      <c r="B731" s="1" t="s">
        <v>105</v>
      </c>
      <c r="C731" s="1" t="s">
        <v>950</v>
      </c>
      <c r="D731" s="1" t="s">
        <v>154</v>
      </c>
      <c r="E731" s="1" t="s">
        <v>24</v>
      </c>
      <c r="F731" s="1" t="s">
        <v>66</v>
      </c>
      <c r="G731" s="2">
        <v>45561</v>
      </c>
      <c r="H731" s="2"/>
      <c r="I731">
        <v>3</v>
      </c>
      <c r="J731">
        <v>1</v>
      </c>
      <c r="K731">
        <v>0</v>
      </c>
      <c r="L731" s="1" t="s">
        <v>26</v>
      </c>
      <c r="M731">
        <v>11.5</v>
      </c>
      <c r="N731">
        <v>32979.300000000003</v>
      </c>
      <c r="O731">
        <v>3483048.81</v>
      </c>
      <c r="P731">
        <v>509517.55</v>
      </c>
      <c r="Q731" s="1" t="s">
        <v>2551</v>
      </c>
      <c r="R731">
        <v>77</v>
      </c>
      <c r="S731" s="1" t="s">
        <v>2575</v>
      </c>
      <c r="T731" t="b">
        <v>0</v>
      </c>
    </row>
    <row r="732" spans="1:20" x14ac:dyDescent="0.25">
      <c r="A732" s="1" t="s">
        <v>2576</v>
      </c>
      <c r="B732" s="1" t="s">
        <v>163</v>
      </c>
      <c r="C732" s="1" t="s">
        <v>319</v>
      </c>
      <c r="D732" s="1" t="s">
        <v>64</v>
      </c>
      <c r="E732" s="1" t="s">
        <v>57</v>
      </c>
      <c r="F732" s="1" t="s">
        <v>66</v>
      </c>
      <c r="G732" s="2">
        <v>44698</v>
      </c>
      <c r="H732" s="2"/>
      <c r="I732">
        <v>40</v>
      </c>
      <c r="J732">
        <v>40</v>
      </c>
      <c r="K732">
        <v>0</v>
      </c>
      <c r="L732" s="1" t="s">
        <v>26</v>
      </c>
      <c r="M732">
        <v>240.3</v>
      </c>
      <c r="N732">
        <v>912719.7</v>
      </c>
      <c r="O732">
        <v>4777032.8499999996</v>
      </c>
      <c r="P732">
        <v>975805.86</v>
      </c>
      <c r="Q732" s="1" t="s">
        <v>2577</v>
      </c>
      <c r="R732">
        <v>56</v>
      </c>
      <c r="S732" s="1" t="s">
        <v>2578</v>
      </c>
      <c r="T732" t="b">
        <v>0</v>
      </c>
    </row>
    <row r="733" spans="1:20" x14ac:dyDescent="0.25">
      <c r="A733" s="1" t="s">
        <v>2579</v>
      </c>
      <c r="B733" s="1" t="s">
        <v>148</v>
      </c>
      <c r="C733" s="1" t="s">
        <v>175</v>
      </c>
      <c r="D733" s="1" t="s">
        <v>268</v>
      </c>
      <c r="E733" s="1" t="s">
        <v>33</v>
      </c>
      <c r="F733" s="1" t="s">
        <v>25</v>
      </c>
      <c r="G733" s="2">
        <v>44784</v>
      </c>
      <c r="H733" s="2">
        <v>44793</v>
      </c>
      <c r="I733">
        <v>12</v>
      </c>
      <c r="J733">
        <v>9</v>
      </c>
      <c r="K733">
        <v>0</v>
      </c>
      <c r="L733" s="1" t="s">
        <v>26</v>
      </c>
      <c r="M733">
        <v>138.6</v>
      </c>
      <c r="N733">
        <v>457078.54</v>
      </c>
      <c r="O733">
        <v>2494856.4</v>
      </c>
      <c r="P733">
        <v>332717.02</v>
      </c>
      <c r="Q733" s="1" t="s">
        <v>2580</v>
      </c>
      <c r="R733">
        <v>22</v>
      </c>
      <c r="S733" s="1" t="s">
        <v>2581</v>
      </c>
      <c r="T733" t="b">
        <v>0</v>
      </c>
    </row>
    <row r="734" spans="1:20" x14ac:dyDescent="0.25">
      <c r="A734" s="1" t="s">
        <v>2582</v>
      </c>
      <c r="B734" s="1" t="s">
        <v>334</v>
      </c>
      <c r="C734" s="1" t="s">
        <v>2583</v>
      </c>
      <c r="D734" s="1" t="s">
        <v>541</v>
      </c>
      <c r="E734" s="1" t="s">
        <v>33</v>
      </c>
      <c r="F734" s="1" t="s">
        <v>50</v>
      </c>
      <c r="G734" s="2">
        <v>44939</v>
      </c>
      <c r="H734" s="2"/>
      <c r="I734">
        <v>12</v>
      </c>
      <c r="J734">
        <v>17</v>
      </c>
      <c r="K734">
        <v>5</v>
      </c>
      <c r="L734" s="1" t="s">
        <v>58</v>
      </c>
      <c r="M734">
        <v>232.5</v>
      </c>
      <c r="N734">
        <v>570259.72</v>
      </c>
      <c r="O734">
        <v>3080450.93</v>
      </c>
      <c r="P734">
        <v>525011.81999999995</v>
      </c>
      <c r="Q734" s="1" t="s">
        <v>2584</v>
      </c>
      <c r="R734">
        <v>33</v>
      </c>
      <c r="S734" s="1" t="s">
        <v>2585</v>
      </c>
      <c r="T734" t="b">
        <v>0</v>
      </c>
    </row>
    <row r="735" spans="1:20" x14ac:dyDescent="0.25">
      <c r="A735" s="1" t="s">
        <v>2586</v>
      </c>
      <c r="B735" s="1" t="s">
        <v>21</v>
      </c>
      <c r="C735" s="1" t="s">
        <v>815</v>
      </c>
      <c r="D735" s="1" t="s">
        <v>306</v>
      </c>
      <c r="E735" s="1" t="s">
        <v>49</v>
      </c>
      <c r="F735" s="1" t="s">
        <v>25</v>
      </c>
      <c r="G735" s="2">
        <v>44651</v>
      </c>
      <c r="H735" s="2">
        <v>44691</v>
      </c>
      <c r="I735">
        <v>25</v>
      </c>
      <c r="J735">
        <v>40</v>
      </c>
      <c r="K735">
        <v>15</v>
      </c>
      <c r="L735" s="1" t="s">
        <v>58</v>
      </c>
      <c r="M735">
        <v>233.3</v>
      </c>
      <c r="N735">
        <v>961339.81</v>
      </c>
      <c r="O735">
        <v>1261502.81</v>
      </c>
      <c r="P735">
        <v>261301.6</v>
      </c>
      <c r="Q735" s="1" t="s">
        <v>2587</v>
      </c>
      <c r="R735">
        <v>80</v>
      </c>
      <c r="S735" s="1" t="s">
        <v>2588</v>
      </c>
      <c r="T735" t="b">
        <v>0</v>
      </c>
    </row>
    <row r="736" spans="1:20" x14ac:dyDescent="0.25">
      <c r="A736" s="1" t="s">
        <v>2589</v>
      </c>
      <c r="B736" s="1" t="s">
        <v>566</v>
      </c>
      <c r="C736" s="1" t="s">
        <v>808</v>
      </c>
      <c r="D736" s="1" t="s">
        <v>238</v>
      </c>
      <c r="E736" s="1" t="s">
        <v>33</v>
      </c>
      <c r="F736" s="1" t="s">
        <v>25</v>
      </c>
      <c r="G736" s="2">
        <v>45597</v>
      </c>
      <c r="H736" s="2">
        <v>45605</v>
      </c>
      <c r="I736">
        <v>12</v>
      </c>
      <c r="J736">
        <v>8</v>
      </c>
      <c r="K736">
        <v>0</v>
      </c>
      <c r="L736" s="1" t="s">
        <v>26</v>
      </c>
      <c r="M736">
        <v>92.2</v>
      </c>
      <c r="N736">
        <v>249576.12</v>
      </c>
      <c r="O736">
        <v>3608693.6</v>
      </c>
      <c r="P736">
        <v>395592.13</v>
      </c>
      <c r="Q736" s="1" t="s">
        <v>2590</v>
      </c>
      <c r="R736">
        <v>55</v>
      </c>
      <c r="S736" s="1" t="s">
        <v>2591</v>
      </c>
      <c r="T736" t="b">
        <v>1</v>
      </c>
    </row>
    <row r="737" spans="1:20" x14ac:dyDescent="0.25">
      <c r="A737" s="1" t="s">
        <v>2592</v>
      </c>
      <c r="B737" s="1" t="s">
        <v>545</v>
      </c>
      <c r="C737" s="1" t="s">
        <v>1254</v>
      </c>
      <c r="D737" s="1" t="s">
        <v>582</v>
      </c>
      <c r="E737" s="1" t="s">
        <v>49</v>
      </c>
      <c r="F737" s="1" t="s">
        <v>25</v>
      </c>
      <c r="G737" s="2">
        <v>44855</v>
      </c>
      <c r="H737" s="2">
        <v>44866</v>
      </c>
      <c r="I737">
        <v>25</v>
      </c>
      <c r="J737">
        <v>11</v>
      </c>
      <c r="K737">
        <v>0</v>
      </c>
      <c r="L737" s="1" t="s">
        <v>26</v>
      </c>
      <c r="M737">
        <v>58.7</v>
      </c>
      <c r="N737">
        <v>115982.67</v>
      </c>
      <c r="O737">
        <v>2595056.1</v>
      </c>
      <c r="P737">
        <v>275837.84000000003</v>
      </c>
      <c r="Q737" s="1" t="s">
        <v>2593</v>
      </c>
      <c r="R737">
        <v>29</v>
      </c>
      <c r="S737" s="1" t="s">
        <v>2594</v>
      </c>
      <c r="T737" t="b">
        <v>1</v>
      </c>
    </row>
    <row r="738" spans="1:20" x14ac:dyDescent="0.25">
      <c r="A738" s="1" t="s">
        <v>2595</v>
      </c>
      <c r="B738" s="1" t="s">
        <v>185</v>
      </c>
      <c r="C738" s="1" t="s">
        <v>1939</v>
      </c>
      <c r="D738" s="1" t="s">
        <v>159</v>
      </c>
      <c r="E738" s="1" t="s">
        <v>33</v>
      </c>
      <c r="F738" s="1" t="s">
        <v>25</v>
      </c>
      <c r="G738" s="2">
        <v>45040</v>
      </c>
      <c r="H738" s="2">
        <v>45046</v>
      </c>
      <c r="I738">
        <v>12</v>
      </c>
      <c r="J738">
        <v>6</v>
      </c>
      <c r="K738">
        <v>0</v>
      </c>
      <c r="L738" s="1" t="s">
        <v>26</v>
      </c>
      <c r="M738">
        <v>64.5</v>
      </c>
      <c r="N738">
        <v>257806.91</v>
      </c>
      <c r="O738">
        <v>3845790.21</v>
      </c>
      <c r="P738">
        <v>459456.01</v>
      </c>
      <c r="Q738" s="1" t="s">
        <v>2596</v>
      </c>
      <c r="R738">
        <v>21</v>
      </c>
      <c r="S738" s="1" t="s">
        <v>2597</v>
      </c>
      <c r="T738" t="b">
        <v>0</v>
      </c>
    </row>
    <row r="739" spans="1:20" x14ac:dyDescent="0.25">
      <c r="A739" s="1" t="s">
        <v>2598</v>
      </c>
      <c r="B739" s="1" t="s">
        <v>418</v>
      </c>
      <c r="C739" s="1" t="s">
        <v>914</v>
      </c>
      <c r="D739" s="1" t="s">
        <v>181</v>
      </c>
      <c r="E739" s="1" t="s">
        <v>24</v>
      </c>
      <c r="F739" s="1" t="s">
        <v>34</v>
      </c>
      <c r="G739" s="2">
        <v>45352</v>
      </c>
      <c r="H739" s="2"/>
      <c r="I739">
        <v>3</v>
      </c>
      <c r="J739">
        <v>5</v>
      </c>
      <c r="K739">
        <v>2</v>
      </c>
      <c r="L739" s="1" t="s">
        <v>26</v>
      </c>
      <c r="M739">
        <v>43.2</v>
      </c>
      <c r="N739">
        <v>183930.52</v>
      </c>
      <c r="O739">
        <v>1195968.55</v>
      </c>
      <c r="P739">
        <v>205682.56</v>
      </c>
      <c r="Q739" s="1" t="s">
        <v>2599</v>
      </c>
      <c r="R739">
        <v>77</v>
      </c>
      <c r="S739" s="1" t="s">
        <v>2600</v>
      </c>
      <c r="T739" t="b">
        <v>1</v>
      </c>
    </row>
    <row r="740" spans="1:20" x14ac:dyDescent="0.25">
      <c r="A740" s="1" t="s">
        <v>2601</v>
      </c>
      <c r="B740" s="1" t="s">
        <v>348</v>
      </c>
      <c r="C740" s="1" t="s">
        <v>1472</v>
      </c>
      <c r="D740" s="1" t="s">
        <v>595</v>
      </c>
      <c r="E740" s="1" t="s">
        <v>49</v>
      </c>
      <c r="F740" s="1" t="s">
        <v>25</v>
      </c>
      <c r="G740" s="2">
        <v>45492</v>
      </c>
      <c r="H740" s="2">
        <v>45509</v>
      </c>
      <c r="I740">
        <v>25</v>
      </c>
      <c r="J740">
        <v>17</v>
      </c>
      <c r="K740">
        <v>0</v>
      </c>
      <c r="L740" s="1" t="s">
        <v>26</v>
      </c>
      <c r="M740">
        <v>97.5</v>
      </c>
      <c r="N740">
        <v>343214.79</v>
      </c>
      <c r="O740">
        <v>880022.27</v>
      </c>
      <c r="P740">
        <v>240655.99</v>
      </c>
      <c r="Q740" s="1" t="s">
        <v>2602</v>
      </c>
      <c r="R740">
        <v>71</v>
      </c>
      <c r="S740" s="1" t="s">
        <v>2603</v>
      </c>
      <c r="T740" t="b">
        <v>0</v>
      </c>
    </row>
    <row r="741" spans="1:20" x14ac:dyDescent="0.25">
      <c r="A741" s="1" t="s">
        <v>2604</v>
      </c>
      <c r="B741" s="1" t="s">
        <v>21</v>
      </c>
      <c r="C741" s="1" t="s">
        <v>2485</v>
      </c>
      <c r="D741" s="1" t="s">
        <v>48</v>
      </c>
      <c r="E741" s="1" t="s">
        <v>33</v>
      </c>
      <c r="F741" s="1" t="s">
        <v>25</v>
      </c>
      <c r="G741" s="2">
        <v>44856</v>
      </c>
      <c r="H741" s="2">
        <v>44868</v>
      </c>
      <c r="I741">
        <v>12</v>
      </c>
      <c r="J741">
        <v>12</v>
      </c>
      <c r="K741">
        <v>0</v>
      </c>
      <c r="L741" s="1" t="s">
        <v>26</v>
      </c>
      <c r="M741">
        <v>150.30000000000001</v>
      </c>
      <c r="N741">
        <v>490285.52</v>
      </c>
      <c r="O741">
        <v>1142658.2</v>
      </c>
      <c r="P741">
        <v>228976.42</v>
      </c>
      <c r="Q741" s="1" t="s">
        <v>2605</v>
      </c>
      <c r="R741">
        <v>46</v>
      </c>
      <c r="S741" s="1" t="s">
        <v>2606</v>
      </c>
      <c r="T741" t="b">
        <v>0</v>
      </c>
    </row>
    <row r="742" spans="1:20" x14ac:dyDescent="0.25">
      <c r="A742" s="1" t="s">
        <v>2607</v>
      </c>
      <c r="B742" s="1" t="s">
        <v>185</v>
      </c>
      <c r="C742" s="1" t="s">
        <v>823</v>
      </c>
      <c r="D742" s="1" t="s">
        <v>32</v>
      </c>
      <c r="E742" s="1" t="s">
        <v>65</v>
      </c>
      <c r="F742" s="1" t="s">
        <v>25</v>
      </c>
      <c r="G742" s="2">
        <v>45488</v>
      </c>
      <c r="H742" s="2">
        <v>45496</v>
      </c>
      <c r="I742">
        <v>4</v>
      </c>
      <c r="J742">
        <v>8</v>
      </c>
      <c r="K742">
        <v>3.5</v>
      </c>
      <c r="L742" s="1" t="s">
        <v>193</v>
      </c>
      <c r="M742">
        <v>66.900000000000006</v>
      </c>
      <c r="N742">
        <v>179307.36</v>
      </c>
      <c r="O742">
        <v>2000426.47</v>
      </c>
      <c r="P742">
        <v>375635.21</v>
      </c>
      <c r="Q742" s="1" t="s">
        <v>2608</v>
      </c>
      <c r="R742">
        <v>66</v>
      </c>
      <c r="S742" s="1" t="s">
        <v>2609</v>
      </c>
      <c r="T742" t="b">
        <v>0</v>
      </c>
    </row>
    <row r="743" spans="1:20" x14ac:dyDescent="0.25">
      <c r="A743" s="1" t="s">
        <v>2610</v>
      </c>
      <c r="B743" s="1" t="s">
        <v>328</v>
      </c>
      <c r="C743" s="1" t="s">
        <v>638</v>
      </c>
      <c r="D743" s="1" t="s">
        <v>107</v>
      </c>
      <c r="E743" s="1" t="s">
        <v>49</v>
      </c>
      <c r="F743" s="1" t="s">
        <v>50</v>
      </c>
      <c r="G743" s="2">
        <v>45510</v>
      </c>
      <c r="H743" s="2"/>
      <c r="I743">
        <v>25</v>
      </c>
      <c r="J743">
        <v>34</v>
      </c>
      <c r="K743">
        <v>9</v>
      </c>
      <c r="L743" s="1" t="s">
        <v>26</v>
      </c>
      <c r="M743">
        <v>459.2</v>
      </c>
      <c r="N743">
        <v>1291272.6599999999</v>
      </c>
      <c r="O743">
        <v>1541425.92</v>
      </c>
      <c r="P743">
        <v>394546.63</v>
      </c>
      <c r="Q743" s="1" t="s">
        <v>2611</v>
      </c>
      <c r="R743">
        <v>32</v>
      </c>
      <c r="S743" s="1" t="s">
        <v>2612</v>
      </c>
      <c r="T743" t="b">
        <v>1</v>
      </c>
    </row>
    <row r="744" spans="1:20" x14ac:dyDescent="0.25">
      <c r="A744" s="1" t="s">
        <v>2613</v>
      </c>
      <c r="B744" s="1" t="s">
        <v>46</v>
      </c>
      <c r="C744" s="1" t="s">
        <v>738</v>
      </c>
      <c r="D744" s="1" t="s">
        <v>288</v>
      </c>
      <c r="E744" s="1" t="s">
        <v>49</v>
      </c>
      <c r="F744" s="1" t="s">
        <v>25</v>
      </c>
      <c r="G744" s="2">
        <v>45253</v>
      </c>
      <c r="H744" s="2">
        <v>45284</v>
      </c>
      <c r="I744">
        <v>25</v>
      </c>
      <c r="J744">
        <v>31</v>
      </c>
      <c r="K744">
        <v>6</v>
      </c>
      <c r="L744" s="1" t="s">
        <v>101</v>
      </c>
      <c r="M744">
        <v>267</v>
      </c>
      <c r="N744">
        <v>853666.37</v>
      </c>
      <c r="O744">
        <v>909773.01</v>
      </c>
      <c r="P744">
        <v>254460.84</v>
      </c>
      <c r="Q744" s="1" t="s">
        <v>2614</v>
      </c>
      <c r="R744">
        <v>63</v>
      </c>
      <c r="S744" s="1" t="s">
        <v>2615</v>
      </c>
      <c r="T744" t="b">
        <v>1</v>
      </c>
    </row>
    <row r="745" spans="1:20" x14ac:dyDescent="0.25">
      <c r="A745" s="1" t="s">
        <v>2616</v>
      </c>
      <c r="B745" s="1" t="s">
        <v>253</v>
      </c>
      <c r="C745" s="1" t="s">
        <v>2617</v>
      </c>
      <c r="D745" s="1" t="s">
        <v>288</v>
      </c>
      <c r="E745" s="1" t="s">
        <v>49</v>
      </c>
      <c r="F745" s="1" t="s">
        <v>50</v>
      </c>
      <c r="G745" s="2">
        <v>45385</v>
      </c>
      <c r="H745" s="2"/>
      <c r="I745">
        <v>25</v>
      </c>
      <c r="J745">
        <v>35</v>
      </c>
      <c r="K745">
        <v>10</v>
      </c>
      <c r="L745" s="1" t="s">
        <v>330</v>
      </c>
      <c r="M745">
        <v>223.1</v>
      </c>
      <c r="N745">
        <v>649328.6</v>
      </c>
      <c r="O745">
        <v>2348213.02</v>
      </c>
      <c r="P745">
        <v>559949.80000000005</v>
      </c>
      <c r="Q745" s="1" t="s">
        <v>2618</v>
      </c>
      <c r="R745">
        <v>60</v>
      </c>
      <c r="S745" s="1" t="s">
        <v>2619</v>
      </c>
      <c r="T745" t="b">
        <v>1</v>
      </c>
    </row>
    <row r="746" spans="1:20" x14ac:dyDescent="0.25">
      <c r="A746" s="1" t="s">
        <v>2620</v>
      </c>
      <c r="B746" s="1" t="s">
        <v>111</v>
      </c>
      <c r="C746" s="1" t="s">
        <v>2140</v>
      </c>
      <c r="D746" s="1" t="s">
        <v>372</v>
      </c>
      <c r="E746" s="1" t="s">
        <v>33</v>
      </c>
      <c r="F746" s="1" t="s">
        <v>25</v>
      </c>
      <c r="G746" s="2">
        <v>44760</v>
      </c>
      <c r="H746" s="2">
        <v>44766</v>
      </c>
      <c r="I746">
        <v>12</v>
      </c>
      <c r="J746">
        <v>6</v>
      </c>
      <c r="K746">
        <v>0</v>
      </c>
      <c r="L746" s="1" t="s">
        <v>26</v>
      </c>
      <c r="M746">
        <v>24.6</v>
      </c>
      <c r="N746">
        <v>101550.6</v>
      </c>
      <c r="O746">
        <v>273236</v>
      </c>
      <c r="P746">
        <v>69433</v>
      </c>
      <c r="Q746" s="1" t="s">
        <v>2144</v>
      </c>
      <c r="R746">
        <v>39</v>
      </c>
      <c r="S746" s="1" t="s">
        <v>2621</v>
      </c>
      <c r="T746" t="b">
        <v>1</v>
      </c>
    </row>
    <row r="747" spans="1:20" x14ac:dyDescent="0.25">
      <c r="A747" s="1" t="s">
        <v>2622</v>
      </c>
      <c r="B747" s="1" t="s">
        <v>174</v>
      </c>
      <c r="C747" s="1" t="s">
        <v>2140</v>
      </c>
      <c r="D747" s="1" t="s">
        <v>154</v>
      </c>
      <c r="E747" s="1" t="s">
        <v>49</v>
      </c>
      <c r="F747" s="1" t="s">
        <v>25</v>
      </c>
      <c r="G747" s="2">
        <v>45305</v>
      </c>
      <c r="H747" s="2">
        <v>45333</v>
      </c>
      <c r="I747">
        <v>25</v>
      </c>
      <c r="J747">
        <v>28</v>
      </c>
      <c r="K747">
        <v>3</v>
      </c>
      <c r="L747" s="1" t="s">
        <v>26</v>
      </c>
      <c r="M747">
        <v>415.9</v>
      </c>
      <c r="N747">
        <v>1250139.6599999999</v>
      </c>
      <c r="O747">
        <v>1699717.65</v>
      </c>
      <c r="P747">
        <v>346672.54</v>
      </c>
      <c r="Q747" s="1" t="s">
        <v>2623</v>
      </c>
      <c r="R747">
        <v>46</v>
      </c>
      <c r="S747" s="1" t="s">
        <v>2624</v>
      </c>
      <c r="T747" t="b">
        <v>1</v>
      </c>
    </row>
    <row r="748" spans="1:20" x14ac:dyDescent="0.25">
      <c r="A748" s="1" t="s">
        <v>2625</v>
      </c>
      <c r="B748" s="1" t="s">
        <v>105</v>
      </c>
      <c r="C748" s="1" t="s">
        <v>946</v>
      </c>
      <c r="D748" s="1" t="s">
        <v>181</v>
      </c>
      <c r="E748" s="1" t="s">
        <v>49</v>
      </c>
      <c r="F748" s="1" t="s">
        <v>25</v>
      </c>
      <c r="G748" s="2">
        <v>45652</v>
      </c>
      <c r="H748" s="2">
        <v>45667</v>
      </c>
      <c r="I748">
        <v>25</v>
      </c>
      <c r="J748">
        <v>15</v>
      </c>
      <c r="K748">
        <v>0</v>
      </c>
      <c r="L748" s="1" t="s">
        <v>26</v>
      </c>
      <c r="M748">
        <v>161.1</v>
      </c>
      <c r="N748">
        <v>563438.02</v>
      </c>
      <c r="O748">
        <v>3502314.44</v>
      </c>
      <c r="P748">
        <v>520918.28</v>
      </c>
      <c r="Q748" s="1" t="s">
        <v>2626</v>
      </c>
      <c r="R748">
        <v>48</v>
      </c>
      <c r="S748" s="1" t="s">
        <v>2627</v>
      </c>
      <c r="T748" t="b">
        <v>1</v>
      </c>
    </row>
    <row r="749" spans="1:20" x14ac:dyDescent="0.25">
      <c r="A749" s="1" t="s">
        <v>2628</v>
      </c>
      <c r="B749" s="1" t="s">
        <v>185</v>
      </c>
      <c r="C749" s="1" t="s">
        <v>100</v>
      </c>
      <c r="D749" s="1" t="s">
        <v>230</v>
      </c>
      <c r="E749" s="1" t="s">
        <v>57</v>
      </c>
      <c r="F749" s="1" t="s">
        <v>25</v>
      </c>
      <c r="G749" s="2">
        <v>44642</v>
      </c>
      <c r="H749" s="2">
        <v>44692</v>
      </c>
      <c r="I749">
        <v>40</v>
      </c>
      <c r="J749">
        <v>50</v>
      </c>
      <c r="K749">
        <v>10</v>
      </c>
      <c r="L749" s="1" t="s">
        <v>26</v>
      </c>
      <c r="M749">
        <v>427.6</v>
      </c>
      <c r="N749">
        <v>966477.12</v>
      </c>
      <c r="O749">
        <v>109571.06</v>
      </c>
      <c r="P749">
        <v>181650.01</v>
      </c>
      <c r="Q749" s="1" t="s">
        <v>2629</v>
      </c>
      <c r="R749">
        <v>77</v>
      </c>
      <c r="S749" s="1" t="s">
        <v>2630</v>
      </c>
      <c r="T749" t="b">
        <v>1</v>
      </c>
    </row>
    <row r="750" spans="1:20" x14ac:dyDescent="0.25">
      <c r="A750" s="1" t="s">
        <v>2631</v>
      </c>
      <c r="B750" s="1" t="s">
        <v>21</v>
      </c>
      <c r="C750" s="1" t="s">
        <v>858</v>
      </c>
      <c r="D750" s="1" t="s">
        <v>1022</v>
      </c>
      <c r="E750" s="1" t="s">
        <v>41</v>
      </c>
      <c r="F750" s="1" t="s">
        <v>66</v>
      </c>
      <c r="G750" s="2">
        <v>45569</v>
      </c>
      <c r="H750" s="2"/>
      <c r="I750">
        <v>9</v>
      </c>
      <c r="J750">
        <v>8</v>
      </c>
      <c r="K750">
        <v>0</v>
      </c>
      <c r="L750" s="1" t="s">
        <v>26</v>
      </c>
      <c r="M750">
        <v>117</v>
      </c>
      <c r="N750">
        <v>522650.85</v>
      </c>
      <c r="O750">
        <v>4433588.62</v>
      </c>
      <c r="P750">
        <v>529767.48</v>
      </c>
      <c r="Q750" s="1" t="s">
        <v>2632</v>
      </c>
      <c r="R750">
        <v>79</v>
      </c>
      <c r="S750" s="1" t="s">
        <v>2633</v>
      </c>
      <c r="T750" t="b">
        <v>1</v>
      </c>
    </row>
    <row r="751" spans="1:20" x14ac:dyDescent="0.25">
      <c r="A751" s="1" t="s">
        <v>2634</v>
      </c>
      <c r="B751" s="1" t="s">
        <v>348</v>
      </c>
      <c r="C751" s="1" t="s">
        <v>2635</v>
      </c>
      <c r="D751" s="1" t="s">
        <v>513</v>
      </c>
      <c r="E751" s="1" t="s">
        <v>24</v>
      </c>
      <c r="F751" s="1" t="s">
        <v>34</v>
      </c>
      <c r="G751" s="2">
        <v>45218</v>
      </c>
      <c r="H751" s="2"/>
      <c r="I751">
        <v>3</v>
      </c>
      <c r="J751">
        <v>1</v>
      </c>
      <c r="K751">
        <v>0</v>
      </c>
      <c r="L751" s="1" t="s">
        <v>26</v>
      </c>
      <c r="M751">
        <v>8.3000000000000007</v>
      </c>
      <c r="N751">
        <v>36981.82</v>
      </c>
      <c r="O751">
        <v>2478801.98</v>
      </c>
      <c r="P751">
        <v>408025.46</v>
      </c>
      <c r="Q751" s="1" t="s">
        <v>2636</v>
      </c>
      <c r="R751">
        <v>52</v>
      </c>
      <c r="S751" s="1" t="s">
        <v>2637</v>
      </c>
      <c r="T751" t="b">
        <v>0</v>
      </c>
    </row>
    <row r="752" spans="1:20" x14ac:dyDescent="0.25">
      <c r="A752" s="1" t="s">
        <v>2638</v>
      </c>
      <c r="B752" s="1" t="s">
        <v>138</v>
      </c>
      <c r="C752" s="1" t="s">
        <v>738</v>
      </c>
      <c r="D752" s="1" t="s">
        <v>288</v>
      </c>
      <c r="E752" s="1" t="s">
        <v>33</v>
      </c>
      <c r="F752" s="1" t="s">
        <v>25</v>
      </c>
      <c r="G752" s="2">
        <v>45627</v>
      </c>
      <c r="H752" s="2">
        <v>45638</v>
      </c>
      <c r="I752">
        <v>12</v>
      </c>
      <c r="J752">
        <v>11</v>
      </c>
      <c r="K752">
        <v>0</v>
      </c>
      <c r="L752" s="1" t="s">
        <v>26</v>
      </c>
      <c r="M752">
        <v>163.6</v>
      </c>
      <c r="N752">
        <v>317454.33</v>
      </c>
      <c r="O752">
        <v>1201631.6000000001</v>
      </c>
      <c r="P752">
        <v>198489.25</v>
      </c>
      <c r="Q752" s="1" t="s">
        <v>2639</v>
      </c>
      <c r="R752">
        <v>68</v>
      </c>
      <c r="S752" s="1" t="s">
        <v>2640</v>
      </c>
      <c r="T752" t="b">
        <v>0</v>
      </c>
    </row>
    <row r="753" spans="1:20" x14ac:dyDescent="0.25">
      <c r="A753" s="1" t="s">
        <v>2641</v>
      </c>
      <c r="B753" s="1" t="s">
        <v>451</v>
      </c>
      <c r="C753" s="1" t="s">
        <v>815</v>
      </c>
      <c r="D753" s="1" t="s">
        <v>293</v>
      </c>
      <c r="E753" s="1" t="s">
        <v>24</v>
      </c>
      <c r="F753" s="1" t="s">
        <v>66</v>
      </c>
      <c r="G753" s="2">
        <v>44726</v>
      </c>
      <c r="H753" s="2"/>
      <c r="I753">
        <v>3</v>
      </c>
      <c r="J753">
        <v>1</v>
      </c>
      <c r="K753">
        <v>0</v>
      </c>
      <c r="L753" s="1" t="s">
        <v>26</v>
      </c>
      <c r="M753">
        <v>5.6</v>
      </c>
      <c r="N753">
        <v>24871.119999999999</v>
      </c>
      <c r="O753">
        <v>3124606.58</v>
      </c>
      <c r="P753">
        <v>546321.4</v>
      </c>
      <c r="Q753" s="1" t="s">
        <v>2642</v>
      </c>
      <c r="R753">
        <v>22</v>
      </c>
      <c r="S753" s="1" t="s">
        <v>2643</v>
      </c>
      <c r="T753" t="b">
        <v>0</v>
      </c>
    </row>
    <row r="754" spans="1:20" x14ac:dyDescent="0.25">
      <c r="A754" s="1" t="s">
        <v>2644</v>
      </c>
      <c r="B754" s="1" t="s">
        <v>99</v>
      </c>
      <c r="C754" s="1" t="s">
        <v>47</v>
      </c>
      <c r="D754" s="1" t="s">
        <v>263</v>
      </c>
      <c r="E754" s="1" t="s">
        <v>24</v>
      </c>
      <c r="F754" s="1" t="s">
        <v>25</v>
      </c>
      <c r="G754" s="2">
        <v>45330</v>
      </c>
      <c r="H754" s="2">
        <v>45335</v>
      </c>
      <c r="I754">
        <v>3</v>
      </c>
      <c r="J754">
        <v>5</v>
      </c>
      <c r="K754">
        <v>2</v>
      </c>
      <c r="L754" s="1" t="s">
        <v>26</v>
      </c>
      <c r="M754">
        <v>71.2</v>
      </c>
      <c r="N754">
        <v>278899.3</v>
      </c>
      <c r="O754">
        <v>2041903.23</v>
      </c>
      <c r="P754">
        <v>311481.57</v>
      </c>
      <c r="Q754" s="1" t="s">
        <v>2645</v>
      </c>
      <c r="R754">
        <v>38</v>
      </c>
      <c r="S754" s="1" t="s">
        <v>2646</v>
      </c>
      <c r="T754" t="b">
        <v>0</v>
      </c>
    </row>
    <row r="755" spans="1:20" x14ac:dyDescent="0.25">
      <c r="A755" s="1" t="s">
        <v>2647</v>
      </c>
      <c r="B755" s="1" t="s">
        <v>148</v>
      </c>
      <c r="C755" s="1" t="s">
        <v>2217</v>
      </c>
      <c r="D755" s="1" t="s">
        <v>159</v>
      </c>
      <c r="E755" s="1" t="s">
        <v>65</v>
      </c>
      <c r="F755" s="1" t="s">
        <v>34</v>
      </c>
      <c r="G755" s="2">
        <v>44732</v>
      </c>
      <c r="H755" s="2"/>
      <c r="I755">
        <v>4</v>
      </c>
      <c r="J755">
        <v>2</v>
      </c>
      <c r="K755">
        <v>0</v>
      </c>
      <c r="L755" s="1" t="s">
        <v>26</v>
      </c>
      <c r="M755">
        <v>27.3</v>
      </c>
      <c r="N755">
        <v>116462.42</v>
      </c>
      <c r="O755">
        <v>4308780.8899999997</v>
      </c>
      <c r="P755">
        <v>838946.1</v>
      </c>
      <c r="Q755" s="1" t="s">
        <v>2648</v>
      </c>
      <c r="R755">
        <v>31</v>
      </c>
      <c r="S755" s="1" t="s">
        <v>2649</v>
      </c>
      <c r="T755" t="b">
        <v>0</v>
      </c>
    </row>
    <row r="756" spans="1:20" x14ac:dyDescent="0.25">
      <c r="A756" s="1" t="s">
        <v>2650</v>
      </c>
      <c r="B756" s="1" t="s">
        <v>253</v>
      </c>
      <c r="C756" s="1" t="s">
        <v>287</v>
      </c>
      <c r="D756" s="1" t="s">
        <v>306</v>
      </c>
      <c r="E756" s="1" t="s">
        <v>57</v>
      </c>
      <c r="F756" s="1" t="s">
        <v>66</v>
      </c>
      <c r="G756" s="2">
        <v>44695</v>
      </c>
      <c r="H756" s="2"/>
      <c r="I756">
        <v>40</v>
      </c>
      <c r="J756">
        <v>35</v>
      </c>
      <c r="K756">
        <v>0</v>
      </c>
      <c r="L756" s="1" t="s">
        <v>26</v>
      </c>
      <c r="M756">
        <v>467.1</v>
      </c>
      <c r="N756">
        <v>1930040.42</v>
      </c>
      <c r="O756">
        <v>58129.77</v>
      </c>
      <c r="P756">
        <v>201490.56</v>
      </c>
      <c r="Q756" s="1" t="s">
        <v>2651</v>
      </c>
      <c r="R756">
        <v>57</v>
      </c>
      <c r="S756" s="1" t="s">
        <v>2652</v>
      </c>
      <c r="T756" t="b">
        <v>0</v>
      </c>
    </row>
    <row r="757" spans="1:20" x14ac:dyDescent="0.25">
      <c r="A757" s="1" t="s">
        <v>2653</v>
      </c>
      <c r="B757" s="1" t="s">
        <v>158</v>
      </c>
      <c r="C757" s="1" t="s">
        <v>1671</v>
      </c>
      <c r="D757" s="1" t="s">
        <v>595</v>
      </c>
      <c r="E757" s="1" t="s">
        <v>41</v>
      </c>
      <c r="F757" s="1" t="s">
        <v>25</v>
      </c>
      <c r="G757" s="2">
        <v>45239</v>
      </c>
      <c r="H757" s="2">
        <v>45251</v>
      </c>
      <c r="I757">
        <v>9</v>
      </c>
      <c r="J757">
        <v>12</v>
      </c>
      <c r="K757">
        <v>3</v>
      </c>
      <c r="L757" s="1" t="s">
        <v>26</v>
      </c>
      <c r="M757">
        <v>65.599999999999994</v>
      </c>
      <c r="N757">
        <v>242798.63</v>
      </c>
      <c r="O757">
        <v>1005611.34</v>
      </c>
      <c r="P757">
        <v>217980.38</v>
      </c>
      <c r="Q757" s="1" t="s">
        <v>2654</v>
      </c>
      <c r="R757">
        <v>70</v>
      </c>
      <c r="S757" s="1" t="s">
        <v>2655</v>
      </c>
      <c r="T757" t="b">
        <v>1</v>
      </c>
    </row>
    <row r="758" spans="1:20" x14ac:dyDescent="0.25">
      <c r="A758" s="1" t="s">
        <v>2656</v>
      </c>
      <c r="B758" s="1" t="s">
        <v>46</v>
      </c>
      <c r="C758" s="1" t="s">
        <v>106</v>
      </c>
      <c r="D758" s="1" t="s">
        <v>238</v>
      </c>
      <c r="E758" s="1" t="s">
        <v>33</v>
      </c>
      <c r="F758" s="1" t="s">
        <v>34</v>
      </c>
      <c r="G758" s="2">
        <v>44992</v>
      </c>
      <c r="H758" s="2"/>
      <c r="I758">
        <v>12</v>
      </c>
      <c r="J758">
        <v>7</v>
      </c>
      <c r="K758">
        <v>0</v>
      </c>
      <c r="L758" s="1" t="s">
        <v>26</v>
      </c>
      <c r="M758">
        <v>60.5</v>
      </c>
      <c r="N758">
        <v>211067.54</v>
      </c>
      <c r="O758">
        <v>971266.55</v>
      </c>
      <c r="P758">
        <v>214895.24</v>
      </c>
      <c r="Q758" s="1" t="s">
        <v>2657</v>
      </c>
      <c r="R758">
        <v>66</v>
      </c>
      <c r="S758" s="1" t="s">
        <v>2658</v>
      </c>
      <c r="T758" t="b">
        <v>1</v>
      </c>
    </row>
    <row r="759" spans="1:20" x14ac:dyDescent="0.25">
      <c r="A759" s="1" t="s">
        <v>2659</v>
      </c>
      <c r="B759" s="1" t="s">
        <v>105</v>
      </c>
      <c r="C759" s="1" t="s">
        <v>432</v>
      </c>
      <c r="D759" s="1" t="s">
        <v>513</v>
      </c>
      <c r="E759" s="1" t="s">
        <v>57</v>
      </c>
      <c r="F759" s="1" t="s">
        <v>66</v>
      </c>
      <c r="G759" s="2">
        <v>45468</v>
      </c>
      <c r="H759" s="2"/>
      <c r="I759">
        <v>40</v>
      </c>
      <c r="J759">
        <v>20</v>
      </c>
      <c r="K759">
        <v>0</v>
      </c>
      <c r="L759" s="1" t="s">
        <v>26</v>
      </c>
      <c r="M759">
        <v>99.1</v>
      </c>
      <c r="N759">
        <v>439044.11</v>
      </c>
      <c r="O759">
        <v>1323675.3600000001</v>
      </c>
      <c r="P759">
        <v>331069.84999999998</v>
      </c>
      <c r="Q759" s="1" t="s">
        <v>2660</v>
      </c>
      <c r="R759">
        <v>31</v>
      </c>
      <c r="S759" s="1" t="s">
        <v>2661</v>
      </c>
      <c r="T759" t="b">
        <v>0</v>
      </c>
    </row>
    <row r="760" spans="1:20" x14ac:dyDescent="0.25">
      <c r="A760" s="1" t="s">
        <v>2662</v>
      </c>
      <c r="B760" s="1" t="s">
        <v>629</v>
      </c>
      <c r="C760" s="1" t="s">
        <v>2617</v>
      </c>
      <c r="D760" s="1" t="s">
        <v>192</v>
      </c>
      <c r="E760" s="1" t="s">
        <v>57</v>
      </c>
      <c r="F760" s="1" t="s">
        <v>25</v>
      </c>
      <c r="G760" s="2">
        <v>45028</v>
      </c>
      <c r="H760" s="2">
        <v>45088</v>
      </c>
      <c r="I760">
        <v>40</v>
      </c>
      <c r="J760">
        <v>60</v>
      </c>
      <c r="K760">
        <v>20</v>
      </c>
      <c r="L760" s="1" t="s">
        <v>330</v>
      </c>
      <c r="M760">
        <v>841.9</v>
      </c>
      <c r="N760">
        <v>2189901.9900000002</v>
      </c>
      <c r="O760">
        <v>2067287.11</v>
      </c>
      <c r="P760">
        <v>698432.31</v>
      </c>
      <c r="Q760" s="1" t="s">
        <v>2663</v>
      </c>
      <c r="R760">
        <v>61</v>
      </c>
      <c r="S760" s="1" t="s">
        <v>2664</v>
      </c>
      <c r="T760" t="b">
        <v>0</v>
      </c>
    </row>
    <row r="761" spans="1:20" x14ac:dyDescent="0.25">
      <c r="A761" s="1" t="s">
        <v>2665</v>
      </c>
      <c r="B761" s="1" t="s">
        <v>169</v>
      </c>
      <c r="C761" s="1" t="s">
        <v>2038</v>
      </c>
      <c r="D761" s="1" t="s">
        <v>288</v>
      </c>
      <c r="E761" s="1" t="s">
        <v>57</v>
      </c>
      <c r="F761" s="1" t="s">
        <v>25</v>
      </c>
      <c r="G761" s="2">
        <v>45138</v>
      </c>
      <c r="H761" s="2">
        <v>45161</v>
      </c>
      <c r="I761">
        <v>40</v>
      </c>
      <c r="J761">
        <v>23</v>
      </c>
      <c r="K761">
        <v>0</v>
      </c>
      <c r="L761" s="1" t="s">
        <v>26</v>
      </c>
      <c r="M761">
        <v>109.3</v>
      </c>
      <c r="N761">
        <v>298323.71999999997</v>
      </c>
      <c r="O761">
        <v>3667241.76</v>
      </c>
      <c r="P761">
        <v>642360.30000000005</v>
      </c>
      <c r="Q761" s="1" t="s">
        <v>2666</v>
      </c>
      <c r="R761">
        <v>63</v>
      </c>
      <c r="S761" s="1" t="s">
        <v>2667</v>
      </c>
      <c r="T761" t="b">
        <v>1</v>
      </c>
    </row>
    <row r="762" spans="1:20" x14ac:dyDescent="0.25">
      <c r="A762" s="1" t="s">
        <v>2668</v>
      </c>
      <c r="B762" s="1" t="s">
        <v>169</v>
      </c>
      <c r="C762" s="1" t="s">
        <v>134</v>
      </c>
      <c r="D762" s="1" t="s">
        <v>288</v>
      </c>
      <c r="E762" s="1" t="s">
        <v>49</v>
      </c>
      <c r="F762" s="1" t="s">
        <v>50</v>
      </c>
      <c r="G762" s="2">
        <v>45214</v>
      </c>
      <c r="H762" s="2"/>
      <c r="I762">
        <v>25</v>
      </c>
      <c r="J762">
        <v>39</v>
      </c>
      <c r="K762">
        <v>14</v>
      </c>
      <c r="L762" s="1" t="s">
        <v>330</v>
      </c>
      <c r="M762">
        <v>584</v>
      </c>
      <c r="N762">
        <v>2151926.2000000002</v>
      </c>
      <c r="O762">
        <v>3031479.22</v>
      </c>
      <c r="P762">
        <v>1015582.6</v>
      </c>
      <c r="Q762" s="1" t="s">
        <v>2669</v>
      </c>
      <c r="R762">
        <v>71</v>
      </c>
      <c r="S762" s="1" t="s">
        <v>2670</v>
      </c>
      <c r="T762" t="b">
        <v>0</v>
      </c>
    </row>
    <row r="763" spans="1:20" x14ac:dyDescent="0.25">
      <c r="A763" s="1" t="s">
        <v>2671</v>
      </c>
      <c r="B763" s="1" t="s">
        <v>418</v>
      </c>
      <c r="C763" s="1" t="s">
        <v>753</v>
      </c>
      <c r="D763" s="1" t="s">
        <v>297</v>
      </c>
      <c r="E763" s="1" t="s">
        <v>65</v>
      </c>
      <c r="F763" s="1" t="s">
        <v>25</v>
      </c>
      <c r="G763" s="2">
        <v>45320</v>
      </c>
      <c r="H763" s="2">
        <v>45328</v>
      </c>
      <c r="I763">
        <v>4</v>
      </c>
      <c r="J763">
        <v>8</v>
      </c>
      <c r="K763">
        <v>3.5</v>
      </c>
      <c r="L763" s="1" t="s">
        <v>26</v>
      </c>
      <c r="M763">
        <v>62.1</v>
      </c>
      <c r="N763">
        <v>279298.67</v>
      </c>
      <c r="O763">
        <v>959522.4</v>
      </c>
      <c r="P763">
        <v>196629.29</v>
      </c>
      <c r="Q763" s="1" t="s">
        <v>2672</v>
      </c>
      <c r="R763">
        <v>70</v>
      </c>
      <c r="S763" s="1" t="s">
        <v>2673</v>
      </c>
      <c r="T763" t="b">
        <v>0</v>
      </c>
    </row>
    <row r="764" spans="1:20" x14ac:dyDescent="0.25">
      <c r="A764" s="1" t="s">
        <v>2674</v>
      </c>
      <c r="B764" s="1" t="s">
        <v>471</v>
      </c>
      <c r="C764" s="1" t="s">
        <v>2266</v>
      </c>
      <c r="D764" s="1" t="s">
        <v>56</v>
      </c>
      <c r="E764" s="1" t="s">
        <v>65</v>
      </c>
      <c r="F764" s="1" t="s">
        <v>25</v>
      </c>
      <c r="G764" s="2">
        <v>45511</v>
      </c>
      <c r="H764" s="2">
        <v>45514</v>
      </c>
      <c r="I764">
        <v>4</v>
      </c>
      <c r="J764">
        <v>3</v>
      </c>
      <c r="K764">
        <v>0</v>
      </c>
      <c r="L764" s="1" t="s">
        <v>26</v>
      </c>
      <c r="M764">
        <v>17.100000000000001</v>
      </c>
      <c r="N764">
        <v>65432.99</v>
      </c>
      <c r="O764">
        <v>2103789.85</v>
      </c>
      <c r="P764">
        <v>222232.5</v>
      </c>
      <c r="Q764" s="1" t="s">
        <v>2675</v>
      </c>
      <c r="R764">
        <v>20</v>
      </c>
      <c r="S764" s="1" t="s">
        <v>2676</v>
      </c>
      <c r="T764" t="b">
        <v>0</v>
      </c>
    </row>
    <row r="765" spans="1:20" x14ac:dyDescent="0.25">
      <c r="A765" s="1" t="s">
        <v>2677</v>
      </c>
      <c r="B765" s="1" t="s">
        <v>174</v>
      </c>
      <c r="C765" s="1" t="s">
        <v>558</v>
      </c>
      <c r="D765" s="1" t="s">
        <v>244</v>
      </c>
      <c r="E765" s="1" t="s">
        <v>57</v>
      </c>
      <c r="F765" s="1" t="s">
        <v>66</v>
      </c>
      <c r="G765" s="2">
        <v>44915</v>
      </c>
      <c r="H765" s="2"/>
      <c r="I765">
        <v>40</v>
      </c>
      <c r="J765">
        <v>31</v>
      </c>
      <c r="K765">
        <v>0</v>
      </c>
      <c r="L765" s="1" t="s">
        <v>26</v>
      </c>
      <c r="M765">
        <v>204.7</v>
      </c>
      <c r="N765">
        <v>377518.24</v>
      </c>
      <c r="O765">
        <v>2366718.23</v>
      </c>
      <c r="P765">
        <v>348762.29</v>
      </c>
      <c r="Q765" s="1" t="s">
        <v>2678</v>
      </c>
      <c r="R765">
        <v>74</v>
      </c>
      <c r="S765" s="1" t="s">
        <v>2679</v>
      </c>
      <c r="T765" t="b">
        <v>0</v>
      </c>
    </row>
    <row r="766" spans="1:20" x14ac:dyDescent="0.25">
      <c r="A766" s="1" t="s">
        <v>2680</v>
      </c>
      <c r="B766" s="1" t="s">
        <v>82</v>
      </c>
      <c r="C766" s="1" t="s">
        <v>1130</v>
      </c>
      <c r="D766" s="1" t="s">
        <v>405</v>
      </c>
      <c r="E766" s="1" t="s">
        <v>57</v>
      </c>
      <c r="F766" s="1" t="s">
        <v>25</v>
      </c>
      <c r="G766" s="2">
        <v>45028</v>
      </c>
      <c r="H766" s="2">
        <v>45086</v>
      </c>
      <c r="I766">
        <v>40</v>
      </c>
      <c r="J766">
        <v>58</v>
      </c>
      <c r="K766">
        <v>18</v>
      </c>
      <c r="L766" s="1" t="s">
        <v>58</v>
      </c>
      <c r="M766">
        <v>735.7</v>
      </c>
      <c r="N766">
        <v>2184081.31</v>
      </c>
      <c r="O766">
        <v>4737181.1500000004</v>
      </c>
      <c r="P766">
        <v>802742.31</v>
      </c>
      <c r="Q766" s="1" t="s">
        <v>2681</v>
      </c>
      <c r="R766">
        <v>50</v>
      </c>
      <c r="S766" s="1" t="s">
        <v>2682</v>
      </c>
      <c r="T766" t="b">
        <v>0</v>
      </c>
    </row>
    <row r="767" spans="1:20" x14ac:dyDescent="0.25">
      <c r="A767" s="1" t="s">
        <v>2683</v>
      </c>
      <c r="B767" s="1" t="s">
        <v>253</v>
      </c>
      <c r="C767" s="1" t="s">
        <v>258</v>
      </c>
      <c r="D767" s="1" t="s">
        <v>320</v>
      </c>
      <c r="E767" s="1" t="s">
        <v>57</v>
      </c>
      <c r="F767" s="1" t="s">
        <v>66</v>
      </c>
      <c r="G767" s="2">
        <v>44851</v>
      </c>
      <c r="H767" s="2"/>
      <c r="I767">
        <v>40</v>
      </c>
      <c r="J767">
        <v>51</v>
      </c>
      <c r="K767">
        <v>11</v>
      </c>
      <c r="L767" s="1" t="s">
        <v>101</v>
      </c>
      <c r="M767">
        <v>695.8</v>
      </c>
      <c r="N767">
        <v>2034611.47</v>
      </c>
      <c r="O767">
        <v>74708.289999999994</v>
      </c>
      <c r="P767">
        <v>275900.64</v>
      </c>
      <c r="Q767" s="1" t="s">
        <v>2623</v>
      </c>
      <c r="R767">
        <v>27</v>
      </c>
      <c r="S767" s="1" t="s">
        <v>2684</v>
      </c>
      <c r="T767" t="b">
        <v>1</v>
      </c>
    </row>
    <row r="768" spans="1:20" x14ac:dyDescent="0.25">
      <c r="A768" s="1" t="s">
        <v>2685</v>
      </c>
      <c r="B768" s="1" t="s">
        <v>38</v>
      </c>
      <c r="C768" s="1" t="s">
        <v>907</v>
      </c>
      <c r="D768" s="1" t="s">
        <v>372</v>
      </c>
      <c r="E768" s="1" t="s">
        <v>24</v>
      </c>
      <c r="F768" s="1" t="s">
        <v>25</v>
      </c>
      <c r="G768" s="2">
        <v>45646</v>
      </c>
      <c r="H768" s="2">
        <v>45649</v>
      </c>
      <c r="I768">
        <v>3</v>
      </c>
      <c r="J768">
        <v>3</v>
      </c>
      <c r="K768">
        <v>0</v>
      </c>
      <c r="L768" s="1" t="s">
        <v>26</v>
      </c>
      <c r="M768">
        <v>41.1</v>
      </c>
      <c r="N768">
        <v>169868.9</v>
      </c>
      <c r="O768">
        <v>1854142.02</v>
      </c>
      <c r="P768">
        <v>398817.33</v>
      </c>
      <c r="Q768" s="1" t="s">
        <v>2686</v>
      </c>
      <c r="R768">
        <v>80</v>
      </c>
      <c r="S768" s="1" t="s">
        <v>2687</v>
      </c>
      <c r="T768" t="b">
        <v>0</v>
      </c>
    </row>
    <row r="769" spans="1:20" x14ac:dyDescent="0.25">
      <c r="A769" s="1" t="s">
        <v>2688</v>
      </c>
      <c r="B769" s="1" t="s">
        <v>545</v>
      </c>
      <c r="C769" s="1" t="s">
        <v>630</v>
      </c>
      <c r="D769" s="1" t="s">
        <v>181</v>
      </c>
      <c r="E769" s="1" t="s">
        <v>24</v>
      </c>
      <c r="F769" s="1" t="s">
        <v>34</v>
      </c>
      <c r="G769" s="2">
        <v>45040</v>
      </c>
      <c r="H769" s="2"/>
      <c r="I769">
        <v>3</v>
      </c>
      <c r="J769">
        <v>4</v>
      </c>
      <c r="K769">
        <v>1</v>
      </c>
      <c r="L769" s="1" t="s">
        <v>26</v>
      </c>
      <c r="M769">
        <v>53.8</v>
      </c>
      <c r="N769">
        <v>177458.68</v>
      </c>
      <c r="O769">
        <v>2890326.79</v>
      </c>
      <c r="P769">
        <v>408340.87</v>
      </c>
      <c r="Q769" s="1" t="s">
        <v>2689</v>
      </c>
      <c r="R769">
        <v>34</v>
      </c>
      <c r="S769" s="1" t="s">
        <v>2690</v>
      </c>
      <c r="T769" t="b">
        <v>1</v>
      </c>
    </row>
    <row r="770" spans="1:20" x14ac:dyDescent="0.25">
      <c r="A770" s="1" t="s">
        <v>2691</v>
      </c>
      <c r="B770" s="1" t="s">
        <v>30</v>
      </c>
      <c r="C770" s="1" t="s">
        <v>314</v>
      </c>
      <c r="D770" s="1" t="s">
        <v>72</v>
      </c>
      <c r="E770" s="1" t="s">
        <v>65</v>
      </c>
      <c r="F770" s="1" t="s">
        <v>66</v>
      </c>
      <c r="G770" s="2">
        <v>45072</v>
      </c>
      <c r="H770" s="2"/>
      <c r="I770">
        <v>4</v>
      </c>
      <c r="J770">
        <v>8</v>
      </c>
      <c r="K770">
        <v>3.5</v>
      </c>
      <c r="L770" s="1" t="s">
        <v>26</v>
      </c>
      <c r="M770">
        <v>117.5</v>
      </c>
      <c r="N770">
        <v>310945.2</v>
      </c>
      <c r="O770">
        <v>4404833.54</v>
      </c>
      <c r="P770">
        <v>652731.38</v>
      </c>
      <c r="Q770" s="1" t="s">
        <v>2692</v>
      </c>
      <c r="R770">
        <v>77</v>
      </c>
      <c r="S770" s="1" t="s">
        <v>2693</v>
      </c>
      <c r="T770" t="b">
        <v>0</v>
      </c>
    </row>
    <row r="771" spans="1:20" x14ac:dyDescent="0.25">
      <c r="A771" s="1" t="s">
        <v>2694</v>
      </c>
      <c r="B771" s="1" t="s">
        <v>272</v>
      </c>
      <c r="C771" s="1" t="s">
        <v>1368</v>
      </c>
      <c r="D771" s="1" t="s">
        <v>622</v>
      </c>
      <c r="E771" s="1" t="s">
        <v>65</v>
      </c>
      <c r="F771" s="1" t="s">
        <v>25</v>
      </c>
      <c r="G771" s="2">
        <v>44699</v>
      </c>
      <c r="H771" s="2">
        <v>44703</v>
      </c>
      <c r="I771">
        <v>4</v>
      </c>
      <c r="J771">
        <v>4</v>
      </c>
      <c r="K771">
        <v>0</v>
      </c>
      <c r="L771" s="1" t="s">
        <v>26</v>
      </c>
      <c r="M771">
        <v>54</v>
      </c>
      <c r="N771">
        <v>137471.47</v>
      </c>
      <c r="O771">
        <v>723985.96</v>
      </c>
      <c r="P771">
        <v>159177.76</v>
      </c>
      <c r="Q771" s="1" t="s">
        <v>2695</v>
      </c>
      <c r="R771">
        <v>72</v>
      </c>
      <c r="S771" s="1" t="s">
        <v>2696</v>
      </c>
      <c r="T771" t="b">
        <v>0</v>
      </c>
    </row>
    <row r="772" spans="1:20" x14ac:dyDescent="0.25">
      <c r="A772" s="1" t="s">
        <v>2697</v>
      </c>
      <c r="B772" s="1" t="s">
        <v>566</v>
      </c>
      <c r="C772" s="1" t="s">
        <v>869</v>
      </c>
      <c r="D772" s="1" t="s">
        <v>238</v>
      </c>
      <c r="E772" s="1" t="s">
        <v>24</v>
      </c>
      <c r="F772" s="1" t="s">
        <v>25</v>
      </c>
      <c r="G772" s="2">
        <v>44861</v>
      </c>
      <c r="H772" s="2">
        <v>44865</v>
      </c>
      <c r="I772">
        <v>3</v>
      </c>
      <c r="J772">
        <v>4</v>
      </c>
      <c r="K772">
        <v>1</v>
      </c>
      <c r="L772" s="1" t="s">
        <v>26</v>
      </c>
      <c r="M772">
        <v>63.3</v>
      </c>
      <c r="N772">
        <v>217301.42</v>
      </c>
      <c r="O772">
        <v>2686187.74</v>
      </c>
      <c r="P772">
        <v>529636.04</v>
      </c>
      <c r="Q772" s="1" t="s">
        <v>2698</v>
      </c>
      <c r="R772">
        <v>66</v>
      </c>
      <c r="S772" s="1" t="s">
        <v>2699</v>
      </c>
      <c r="T772" t="b">
        <v>1</v>
      </c>
    </row>
    <row r="773" spans="1:20" x14ac:dyDescent="0.25">
      <c r="A773" s="1" t="s">
        <v>2700</v>
      </c>
      <c r="B773" s="1" t="s">
        <v>471</v>
      </c>
      <c r="C773" s="1" t="s">
        <v>153</v>
      </c>
      <c r="D773" s="1" t="s">
        <v>505</v>
      </c>
      <c r="E773" s="1" t="s">
        <v>49</v>
      </c>
      <c r="F773" s="1" t="s">
        <v>50</v>
      </c>
      <c r="G773" s="2">
        <v>44961</v>
      </c>
      <c r="H773" s="2"/>
      <c r="I773">
        <v>25</v>
      </c>
      <c r="J773">
        <v>26</v>
      </c>
      <c r="K773">
        <v>1</v>
      </c>
      <c r="L773" s="1" t="s">
        <v>26</v>
      </c>
      <c r="M773">
        <v>192.1</v>
      </c>
      <c r="N773">
        <v>755897.2</v>
      </c>
      <c r="O773">
        <v>2120726.7200000002</v>
      </c>
      <c r="P773">
        <v>523138.95</v>
      </c>
      <c r="Q773" s="1" t="s">
        <v>1385</v>
      </c>
      <c r="R773">
        <v>21</v>
      </c>
      <c r="S773" s="1" t="s">
        <v>2701</v>
      </c>
      <c r="T773" t="b">
        <v>0</v>
      </c>
    </row>
    <row r="774" spans="1:20" x14ac:dyDescent="0.25">
      <c r="A774" s="1" t="s">
        <v>2702</v>
      </c>
      <c r="B774" s="1" t="s">
        <v>418</v>
      </c>
      <c r="C774" s="1" t="s">
        <v>884</v>
      </c>
      <c r="D774" s="1" t="s">
        <v>513</v>
      </c>
      <c r="E774" s="1" t="s">
        <v>24</v>
      </c>
      <c r="F774" s="1" t="s">
        <v>25</v>
      </c>
      <c r="G774" s="2">
        <v>44723</v>
      </c>
      <c r="H774" s="2">
        <v>44725</v>
      </c>
      <c r="I774">
        <v>3</v>
      </c>
      <c r="J774">
        <v>2</v>
      </c>
      <c r="K774">
        <v>0</v>
      </c>
      <c r="L774" s="1" t="s">
        <v>26</v>
      </c>
      <c r="M774">
        <v>18.7</v>
      </c>
      <c r="N774">
        <v>52948.160000000003</v>
      </c>
      <c r="O774">
        <v>793322.31</v>
      </c>
      <c r="P774">
        <v>122213.24</v>
      </c>
      <c r="Q774" s="1" t="s">
        <v>2703</v>
      </c>
      <c r="R774">
        <v>65</v>
      </c>
      <c r="S774" s="1" t="s">
        <v>2704</v>
      </c>
      <c r="T774" t="b">
        <v>0</v>
      </c>
    </row>
    <row r="775" spans="1:20" x14ac:dyDescent="0.25">
      <c r="A775" s="1" t="s">
        <v>2705</v>
      </c>
      <c r="B775" s="1" t="s">
        <v>128</v>
      </c>
      <c r="C775" s="1" t="s">
        <v>2286</v>
      </c>
      <c r="D775" s="1" t="s">
        <v>505</v>
      </c>
      <c r="E775" s="1" t="s">
        <v>57</v>
      </c>
      <c r="F775" s="1" t="s">
        <v>66</v>
      </c>
      <c r="G775" s="2">
        <v>45145</v>
      </c>
      <c r="H775" s="2"/>
      <c r="I775">
        <v>40</v>
      </c>
      <c r="J775">
        <v>28</v>
      </c>
      <c r="K775">
        <v>0</v>
      </c>
      <c r="L775" s="1" t="s">
        <v>26</v>
      </c>
      <c r="M775">
        <v>220.5</v>
      </c>
      <c r="N775">
        <v>406994.88</v>
      </c>
      <c r="O775">
        <v>271593.18</v>
      </c>
      <c r="P775">
        <v>90017.29</v>
      </c>
      <c r="Q775" s="1" t="s">
        <v>1596</v>
      </c>
      <c r="R775">
        <v>60</v>
      </c>
      <c r="S775" s="1" t="s">
        <v>2706</v>
      </c>
      <c r="T775" t="b">
        <v>0</v>
      </c>
    </row>
    <row r="776" spans="1:20" x14ac:dyDescent="0.25">
      <c r="A776" s="1" t="s">
        <v>2707</v>
      </c>
      <c r="B776" s="1" t="s">
        <v>334</v>
      </c>
      <c r="C776" s="1" t="s">
        <v>2338</v>
      </c>
      <c r="D776" s="1" t="s">
        <v>124</v>
      </c>
      <c r="E776" s="1" t="s">
        <v>65</v>
      </c>
      <c r="F776" s="1" t="s">
        <v>25</v>
      </c>
      <c r="G776" s="2">
        <v>45225</v>
      </c>
      <c r="H776" s="2">
        <v>45231</v>
      </c>
      <c r="I776">
        <v>4</v>
      </c>
      <c r="J776">
        <v>6</v>
      </c>
      <c r="K776">
        <v>1.5</v>
      </c>
      <c r="L776" s="1" t="s">
        <v>26</v>
      </c>
      <c r="M776">
        <v>68.099999999999994</v>
      </c>
      <c r="N776">
        <v>262418.93</v>
      </c>
      <c r="O776">
        <v>3221668.68</v>
      </c>
      <c r="P776">
        <v>461298.13</v>
      </c>
      <c r="Q776" s="1" t="s">
        <v>2708</v>
      </c>
      <c r="R776">
        <v>65</v>
      </c>
      <c r="S776" s="1" t="s">
        <v>2709</v>
      </c>
      <c r="T776" t="b">
        <v>1</v>
      </c>
    </row>
    <row r="777" spans="1:20" x14ac:dyDescent="0.25">
      <c r="A777" s="1" t="s">
        <v>2710</v>
      </c>
      <c r="B777" s="1" t="s">
        <v>228</v>
      </c>
      <c r="C777" s="1" t="s">
        <v>922</v>
      </c>
      <c r="D777" s="1" t="s">
        <v>113</v>
      </c>
      <c r="E777" s="1" t="s">
        <v>33</v>
      </c>
      <c r="F777" s="1" t="s">
        <v>25</v>
      </c>
      <c r="G777" s="2">
        <v>45579</v>
      </c>
      <c r="H777" s="2">
        <v>45587</v>
      </c>
      <c r="I777">
        <v>12</v>
      </c>
      <c r="J777">
        <v>8</v>
      </c>
      <c r="K777">
        <v>0</v>
      </c>
      <c r="L777" s="1" t="s">
        <v>26</v>
      </c>
      <c r="M777">
        <v>46.6</v>
      </c>
      <c r="N777">
        <v>149656.25</v>
      </c>
      <c r="O777">
        <v>4701212.71</v>
      </c>
      <c r="P777">
        <v>599088.91</v>
      </c>
      <c r="Q777" s="1" t="s">
        <v>2293</v>
      </c>
      <c r="R777">
        <v>41</v>
      </c>
      <c r="S777" s="1" t="s">
        <v>2711</v>
      </c>
      <c r="T777" t="b">
        <v>1</v>
      </c>
    </row>
    <row r="778" spans="1:20" x14ac:dyDescent="0.25">
      <c r="A778" s="1" t="s">
        <v>2712</v>
      </c>
      <c r="B778" s="1" t="s">
        <v>169</v>
      </c>
      <c r="C778" s="1" t="s">
        <v>343</v>
      </c>
      <c r="D778" s="1" t="s">
        <v>1022</v>
      </c>
      <c r="E778" s="1" t="s">
        <v>65</v>
      </c>
      <c r="F778" s="1" t="s">
        <v>66</v>
      </c>
      <c r="G778" s="2">
        <v>45570</v>
      </c>
      <c r="H778" s="2"/>
      <c r="I778">
        <v>4</v>
      </c>
      <c r="J778">
        <v>1</v>
      </c>
      <c r="K778">
        <v>0</v>
      </c>
      <c r="L778" s="1" t="s">
        <v>26</v>
      </c>
      <c r="M778">
        <v>10.3</v>
      </c>
      <c r="N778">
        <v>36388.980000000003</v>
      </c>
      <c r="O778">
        <v>1985990.94</v>
      </c>
      <c r="P778">
        <v>233581.65</v>
      </c>
      <c r="Q778" s="1" t="s">
        <v>2713</v>
      </c>
      <c r="R778">
        <v>68</v>
      </c>
      <c r="S778" s="1" t="s">
        <v>2714</v>
      </c>
      <c r="T778" t="b">
        <v>0</v>
      </c>
    </row>
    <row r="779" spans="1:20" x14ac:dyDescent="0.25">
      <c r="A779" s="1" t="s">
        <v>2715</v>
      </c>
      <c r="B779" s="1" t="s">
        <v>70</v>
      </c>
      <c r="C779" s="1" t="s">
        <v>594</v>
      </c>
      <c r="D779" s="1" t="s">
        <v>758</v>
      </c>
      <c r="E779" s="1" t="s">
        <v>57</v>
      </c>
      <c r="F779" s="1" t="s">
        <v>25</v>
      </c>
      <c r="G779" s="2">
        <v>45027</v>
      </c>
      <c r="H779" s="2">
        <v>45082</v>
      </c>
      <c r="I779">
        <v>40</v>
      </c>
      <c r="J779">
        <v>55</v>
      </c>
      <c r="K779">
        <v>15</v>
      </c>
      <c r="L779" s="1" t="s">
        <v>193</v>
      </c>
      <c r="M779">
        <v>236</v>
      </c>
      <c r="N779">
        <v>834457.51</v>
      </c>
      <c r="O779">
        <v>3489465.97</v>
      </c>
      <c r="P779">
        <v>639375.64</v>
      </c>
      <c r="Q779" s="1" t="s">
        <v>2716</v>
      </c>
      <c r="R779">
        <v>40</v>
      </c>
      <c r="S779" s="1" t="s">
        <v>2717</v>
      </c>
      <c r="T779" t="b">
        <v>0</v>
      </c>
    </row>
    <row r="780" spans="1:20" x14ac:dyDescent="0.25">
      <c r="A780" s="1" t="s">
        <v>2718</v>
      </c>
      <c r="B780" s="1" t="s">
        <v>76</v>
      </c>
      <c r="C780" s="1" t="s">
        <v>363</v>
      </c>
      <c r="D780" s="1" t="s">
        <v>130</v>
      </c>
      <c r="E780" s="1" t="s">
        <v>33</v>
      </c>
      <c r="F780" s="1" t="s">
        <v>66</v>
      </c>
      <c r="G780" s="2">
        <v>45372</v>
      </c>
      <c r="H780" s="2"/>
      <c r="I780">
        <v>12</v>
      </c>
      <c r="J780">
        <v>18</v>
      </c>
      <c r="K780">
        <v>6</v>
      </c>
      <c r="L780" s="1" t="s">
        <v>58</v>
      </c>
      <c r="M780">
        <v>134.6</v>
      </c>
      <c r="N780">
        <v>250825.14</v>
      </c>
      <c r="O780">
        <v>3576563.45</v>
      </c>
      <c r="P780">
        <v>541552.03</v>
      </c>
      <c r="Q780" s="1" t="s">
        <v>2719</v>
      </c>
      <c r="R780">
        <v>51</v>
      </c>
      <c r="S780" s="1" t="s">
        <v>2720</v>
      </c>
      <c r="T780" t="b">
        <v>1</v>
      </c>
    </row>
    <row r="781" spans="1:20" x14ac:dyDescent="0.25">
      <c r="A781" s="1" t="s">
        <v>2721</v>
      </c>
      <c r="B781" s="1" t="s">
        <v>253</v>
      </c>
      <c r="C781" s="1" t="s">
        <v>1141</v>
      </c>
      <c r="D781" s="1" t="s">
        <v>84</v>
      </c>
      <c r="E781" s="1" t="s">
        <v>41</v>
      </c>
      <c r="F781" s="1" t="s">
        <v>25</v>
      </c>
      <c r="G781" s="2">
        <v>45277</v>
      </c>
      <c r="H781" s="2">
        <v>45289</v>
      </c>
      <c r="I781">
        <v>9</v>
      </c>
      <c r="J781">
        <v>12</v>
      </c>
      <c r="K781">
        <v>3</v>
      </c>
      <c r="L781" s="1" t="s">
        <v>26</v>
      </c>
      <c r="M781">
        <v>175</v>
      </c>
      <c r="N781">
        <v>555572.73</v>
      </c>
      <c r="O781">
        <v>4146893.02</v>
      </c>
      <c r="P781">
        <v>657019.81000000006</v>
      </c>
      <c r="Q781" s="1" t="s">
        <v>2722</v>
      </c>
      <c r="R781">
        <v>55</v>
      </c>
      <c r="S781" s="1" t="s">
        <v>2723</v>
      </c>
      <c r="T781" t="b">
        <v>0</v>
      </c>
    </row>
    <row r="782" spans="1:20" x14ac:dyDescent="0.25">
      <c r="A782" s="1" t="s">
        <v>2724</v>
      </c>
      <c r="B782" s="1" t="s">
        <v>169</v>
      </c>
      <c r="C782" s="1" t="s">
        <v>999</v>
      </c>
      <c r="D782" s="1" t="s">
        <v>230</v>
      </c>
      <c r="E782" s="1" t="s">
        <v>65</v>
      </c>
      <c r="F782" s="1" t="s">
        <v>25</v>
      </c>
      <c r="G782" s="2">
        <v>45608</v>
      </c>
      <c r="H782" s="2">
        <v>45612</v>
      </c>
      <c r="I782">
        <v>4</v>
      </c>
      <c r="J782">
        <v>4</v>
      </c>
      <c r="K782">
        <v>0</v>
      </c>
      <c r="L782" s="1" t="s">
        <v>26</v>
      </c>
      <c r="M782">
        <v>52.2</v>
      </c>
      <c r="N782">
        <v>130079.85</v>
      </c>
      <c r="O782">
        <v>986904.45</v>
      </c>
      <c r="P782">
        <v>211995.59</v>
      </c>
      <c r="Q782" s="1" t="s">
        <v>2725</v>
      </c>
      <c r="R782">
        <v>58</v>
      </c>
      <c r="S782" s="1" t="s">
        <v>2726</v>
      </c>
      <c r="T782" t="b">
        <v>0</v>
      </c>
    </row>
    <row r="783" spans="1:20" x14ac:dyDescent="0.25">
      <c r="A783" s="1" t="s">
        <v>2727</v>
      </c>
      <c r="B783" s="1" t="s">
        <v>328</v>
      </c>
      <c r="C783" s="1" t="s">
        <v>1017</v>
      </c>
      <c r="D783" s="1" t="s">
        <v>48</v>
      </c>
      <c r="E783" s="1" t="s">
        <v>57</v>
      </c>
      <c r="F783" s="1" t="s">
        <v>25</v>
      </c>
      <c r="G783" s="2">
        <v>44981</v>
      </c>
      <c r="H783" s="2">
        <v>45003</v>
      </c>
      <c r="I783">
        <v>40</v>
      </c>
      <c r="J783">
        <v>22</v>
      </c>
      <c r="K783">
        <v>0</v>
      </c>
      <c r="L783" s="1" t="s">
        <v>26</v>
      </c>
      <c r="M783">
        <v>190.3</v>
      </c>
      <c r="N783">
        <v>397378.75</v>
      </c>
      <c r="O783">
        <v>4666086.87</v>
      </c>
      <c r="P783">
        <v>610442.9</v>
      </c>
      <c r="Q783" s="1" t="s">
        <v>2728</v>
      </c>
      <c r="R783">
        <v>57</v>
      </c>
      <c r="S783" s="1" t="s">
        <v>2729</v>
      </c>
      <c r="T783" t="b">
        <v>0</v>
      </c>
    </row>
    <row r="784" spans="1:20" x14ac:dyDescent="0.25">
      <c r="A784" s="1" t="s">
        <v>2730</v>
      </c>
      <c r="B784" s="1" t="s">
        <v>46</v>
      </c>
      <c r="C784" s="1" t="s">
        <v>1949</v>
      </c>
      <c r="D784" s="1" t="s">
        <v>372</v>
      </c>
      <c r="E784" s="1" t="s">
        <v>65</v>
      </c>
      <c r="F784" s="1" t="s">
        <v>25</v>
      </c>
      <c r="G784" s="2">
        <v>45301</v>
      </c>
      <c r="H784" s="2">
        <v>45305</v>
      </c>
      <c r="I784">
        <v>4</v>
      </c>
      <c r="J784">
        <v>4</v>
      </c>
      <c r="K784">
        <v>0</v>
      </c>
      <c r="L784" s="1" t="s">
        <v>26</v>
      </c>
      <c r="M784">
        <v>43.2</v>
      </c>
      <c r="N784">
        <v>180914.13</v>
      </c>
      <c r="O784">
        <v>1269139.56</v>
      </c>
      <c r="P784">
        <v>219117.52</v>
      </c>
      <c r="Q784" s="1" t="s">
        <v>2731</v>
      </c>
      <c r="R784">
        <v>51</v>
      </c>
      <c r="S784" s="1" t="s">
        <v>2732</v>
      </c>
      <c r="T784" t="b">
        <v>0</v>
      </c>
    </row>
    <row r="785" spans="1:20" x14ac:dyDescent="0.25">
      <c r="A785" s="1" t="s">
        <v>2733</v>
      </c>
      <c r="B785" s="1" t="s">
        <v>82</v>
      </c>
      <c r="C785" s="1" t="s">
        <v>757</v>
      </c>
      <c r="D785" s="1" t="s">
        <v>48</v>
      </c>
      <c r="E785" s="1" t="s">
        <v>65</v>
      </c>
      <c r="F785" s="1" t="s">
        <v>25</v>
      </c>
      <c r="G785" s="2">
        <v>45232</v>
      </c>
      <c r="H785" s="2">
        <v>45235</v>
      </c>
      <c r="I785">
        <v>4</v>
      </c>
      <c r="J785">
        <v>3</v>
      </c>
      <c r="K785">
        <v>0</v>
      </c>
      <c r="L785" s="1" t="s">
        <v>26</v>
      </c>
      <c r="M785">
        <v>45.1</v>
      </c>
      <c r="N785">
        <v>139650.98000000001</v>
      </c>
      <c r="O785">
        <v>2987734.47</v>
      </c>
      <c r="P785">
        <v>561366.68000000005</v>
      </c>
      <c r="Q785" s="1" t="s">
        <v>2734</v>
      </c>
      <c r="R785">
        <v>20</v>
      </c>
      <c r="S785" s="1" t="s">
        <v>2735</v>
      </c>
      <c r="T785" t="b">
        <v>1</v>
      </c>
    </row>
    <row r="786" spans="1:20" x14ac:dyDescent="0.25">
      <c r="A786" s="1" t="s">
        <v>2736</v>
      </c>
      <c r="B786" s="1" t="s">
        <v>111</v>
      </c>
      <c r="C786" s="1" t="s">
        <v>1321</v>
      </c>
      <c r="D786" s="1" t="s">
        <v>288</v>
      </c>
      <c r="E786" s="1" t="s">
        <v>33</v>
      </c>
      <c r="F786" s="1" t="s">
        <v>25</v>
      </c>
      <c r="G786" s="2">
        <v>44664</v>
      </c>
      <c r="H786" s="2">
        <v>44670</v>
      </c>
      <c r="I786">
        <v>12</v>
      </c>
      <c r="J786">
        <v>6</v>
      </c>
      <c r="K786">
        <v>0</v>
      </c>
      <c r="L786" s="1" t="s">
        <v>26</v>
      </c>
      <c r="M786">
        <v>45.8</v>
      </c>
      <c r="N786">
        <v>129606.51</v>
      </c>
      <c r="O786">
        <v>2844873.45</v>
      </c>
      <c r="P786">
        <v>344887.14</v>
      </c>
      <c r="Q786" s="1" t="s">
        <v>2737</v>
      </c>
      <c r="R786">
        <v>76</v>
      </c>
      <c r="S786" s="1" t="s">
        <v>2738</v>
      </c>
      <c r="T786" t="b">
        <v>0</v>
      </c>
    </row>
    <row r="787" spans="1:20" x14ac:dyDescent="0.25">
      <c r="A787" s="1" t="s">
        <v>2739</v>
      </c>
      <c r="B787" s="1" t="s">
        <v>76</v>
      </c>
      <c r="C787" s="1" t="s">
        <v>869</v>
      </c>
      <c r="D787" s="1" t="s">
        <v>181</v>
      </c>
      <c r="E787" s="1" t="s">
        <v>24</v>
      </c>
      <c r="F787" s="1" t="s">
        <v>25</v>
      </c>
      <c r="G787" s="2">
        <v>44717</v>
      </c>
      <c r="H787" s="2">
        <v>44718</v>
      </c>
      <c r="I787">
        <v>3</v>
      </c>
      <c r="J787">
        <v>1</v>
      </c>
      <c r="K787">
        <v>0</v>
      </c>
      <c r="L787" s="1" t="s">
        <v>26</v>
      </c>
      <c r="M787">
        <v>7.6</v>
      </c>
      <c r="N787">
        <v>14398.05</v>
      </c>
      <c r="O787">
        <v>609181.81999999995</v>
      </c>
      <c r="P787">
        <v>71202.720000000001</v>
      </c>
      <c r="Q787" s="1" t="s">
        <v>2740</v>
      </c>
      <c r="R787">
        <v>60</v>
      </c>
      <c r="S787" s="1" t="s">
        <v>2741</v>
      </c>
      <c r="T787" t="b">
        <v>1</v>
      </c>
    </row>
    <row r="788" spans="1:20" x14ac:dyDescent="0.25">
      <c r="A788" s="1" t="s">
        <v>2742</v>
      </c>
      <c r="B788" s="1" t="s">
        <v>185</v>
      </c>
      <c r="C788" s="1" t="s">
        <v>914</v>
      </c>
      <c r="D788" s="1" t="s">
        <v>159</v>
      </c>
      <c r="E788" s="1" t="s">
        <v>57</v>
      </c>
      <c r="F788" s="1" t="s">
        <v>25</v>
      </c>
      <c r="G788" s="2">
        <v>45537</v>
      </c>
      <c r="H788" s="2">
        <v>45564</v>
      </c>
      <c r="I788">
        <v>40</v>
      </c>
      <c r="J788">
        <v>27</v>
      </c>
      <c r="K788">
        <v>0</v>
      </c>
      <c r="L788" s="1" t="s">
        <v>26</v>
      </c>
      <c r="M788">
        <v>135.9</v>
      </c>
      <c r="N788">
        <v>330776.2</v>
      </c>
      <c r="O788">
        <v>4350261.03</v>
      </c>
      <c r="P788">
        <v>739499.5</v>
      </c>
      <c r="Q788" s="1" t="s">
        <v>2743</v>
      </c>
      <c r="R788">
        <v>66</v>
      </c>
      <c r="S788" s="1" t="s">
        <v>2744</v>
      </c>
      <c r="T788" t="b">
        <v>1</v>
      </c>
    </row>
    <row r="789" spans="1:20" x14ac:dyDescent="0.25">
      <c r="A789" s="1" t="s">
        <v>2745</v>
      </c>
      <c r="B789" s="1" t="s">
        <v>82</v>
      </c>
      <c r="C789" s="1" t="s">
        <v>444</v>
      </c>
      <c r="D789" s="1" t="s">
        <v>405</v>
      </c>
      <c r="E789" s="1" t="s">
        <v>33</v>
      </c>
      <c r="F789" s="1" t="s">
        <v>25</v>
      </c>
      <c r="G789" s="2">
        <v>45003</v>
      </c>
      <c r="H789" s="2">
        <v>45019</v>
      </c>
      <c r="I789">
        <v>12</v>
      </c>
      <c r="J789">
        <v>16</v>
      </c>
      <c r="K789">
        <v>4</v>
      </c>
      <c r="L789" s="1" t="s">
        <v>58</v>
      </c>
      <c r="M789">
        <v>136.5</v>
      </c>
      <c r="N789">
        <v>259395.75</v>
      </c>
      <c r="O789">
        <v>2168112.7400000002</v>
      </c>
      <c r="P789">
        <v>355800.3</v>
      </c>
      <c r="Q789" s="1" t="s">
        <v>2746</v>
      </c>
      <c r="R789">
        <v>38</v>
      </c>
      <c r="S789" s="1" t="s">
        <v>2747</v>
      </c>
      <c r="T789" t="b">
        <v>0</v>
      </c>
    </row>
    <row r="790" spans="1:20" x14ac:dyDescent="0.25">
      <c r="A790" s="1" t="s">
        <v>2748</v>
      </c>
      <c r="B790" s="1" t="s">
        <v>185</v>
      </c>
      <c r="C790" s="1" t="s">
        <v>1560</v>
      </c>
      <c r="D790" s="1" t="s">
        <v>202</v>
      </c>
      <c r="E790" s="1" t="s">
        <v>24</v>
      </c>
      <c r="F790" s="1" t="s">
        <v>25</v>
      </c>
      <c r="G790" s="2">
        <v>44977</v>
      </c>
      <c r="H790" s="2">
        <v>44980</v>
      </c>
      <c r="I790">
        <v>3</v>
      </c>
      <c r="J790">
        <v>3</v>
      </c>
      <c r="K790">
        <v>0</v>
      </c>
      <c r="L790" s="1" t="s">
        <v>26</v>
      </c>
      <c r="M790">
        <v>46.7</v>
      </c>
      <c r="N790">
        <v>107773.72</v>
      </c>
      <c r="O790">
        <v>3451479.25</v>
      </c>
      <c r="P790">
        <v>644350.76</v>
      </c>
      <c r="Q790" s="1" t="s">
        <v>2749</v>
      </c>
      <c r="R790">
        <v>80</v>
      </c>
      <c r="S790" s="1" t="s">
        <v>2750</v>
      </c>
      <c r="T790" t="b">
        <v>0</v>
      </c>
    </row>
    <row r="791" spans="1:20" x14ac:dyDescent="0.25">
      <c r="A791" s="1" t="s">
        <v>2751</v>
      </c>
      <c r="B791" s="1" t="s">
        <v>348</v>
      </c>
      <c r="C791" s="1" t="s">
        <v>1311</v>
      </c>
      <c r="D791" s="1" t="s">
        <v>282</v>
      </c>
      <c r="E791" s="1" t="s">
        <v>41</v>
      </c>
      <c r="F791" s="1" t="s">
        <v>50</v>
      </c>
      <c r="G791" s="2">
        <v>45036</v>
      </c>
      <c r="H791" s="2"/>
      <c r="I791">
        <v>9</v>
      </c>
      <c r="J791">
        <v>14</v>
      </c>
      <c r="K791">
        <v>5</v>
      </c>
      <c r="L791" s="1" t="s">
        <v>101</v>
      </c>
      <c r="M791">
        <v>63.9</v>
      </c>
      <c r="N791">
        <v>177826.92</v>
      </c>
      <c r="O791">
        <v>2994264.89</v>
      </c>
      <c r="P791">
        <v>461938.24</v>
      </c>
      <c r="Q791" s="1" t="s">
        <v>2752</v>
      </c>
      <c r="R791">
        <v>29</v>
      </c>
      <c r="S791" s="1" t="s">
        <v>2753</v>
      </c>
      <c r="T791" t="b">
        <v>0</v>
      </c>
    </row>
    <row r="792" spans="1:20" x14ac:dyDescent="0.25">
      <c r="A792" s="1" t="s">
        <v>2754</v>
      </c>
      <c r="B792" s="1" t="s">
        <v>122</v>
      </c>
      <c r="C792" s="1" t="s">
        <v>292</v>
      </c>
      <c r="D792" s="1" t="s">
        <v>56</v>
      </c>
      <c r="E792" s="1" t="s">
        <v>65</v>
      </c>
      <c r="F792" s="1" t="s">
        <v>25</v>
      </c>
      <c r="G792" s="2">
        <v>45272</v>
      </c>
      <c r="H792" s="2">
        <v>45279</v>
      </c>
      <c r="I792">
        <v>4</v>
      </c>
      <c r="J792">
        <v>7</v>
      </c>
      <c r="K792">
        <v>2.5</v>
      </c>
      <c r="L792" s="1" t="s">
        <v>26</v>
      </c>
      <c r="M792">
        <v>59.3</v>
      </c>
      <c r="N792">
        <v>264210.23</v>
      </c>
      <c r="O792">
        <v>3838893.31</v>
      </c>
      <c r="P792">
        <v>470885.78</v>
      </c>
      <c r="Q792" s="1" t="s">
        <v>2755</v>
      </c>
      <c r="R792">
        <v>47</v>
      </c>
      <c r="S792" s="1" t="s">
        <v>2756</v>
      </c>
      <c r="T792" t="b">
        <v>1</v>
      </c>
    </row>
    <row r="793" spans="1:20" x14ac:dyDescent="0.25">
      <c r="A793" s="1" t="s">
        <v>2757</v>
      </c>
      <c r="B793" s="1" t="s">
        <v>471</v>
      </c>
      <c r="C793" s="1" t="s">
        <v>709</v>
      </c>
      <c r="D793" s="1" t="s">
        <v>282</v>
      </c>
      <c r="E793" s="1" t="s">
        <v>57</v>
      </c>
      <c r="F793" s="1" t="s">
        <v>25</v>
      </c>
      <c r="G793" s="2">
        <v>45080</v>
      </c>
      <c r="H793" s="2">
        <v>45122</v>
      </c>
      <c r="I793">
        <v>40</v>
      </c>
      <c r="J793">
        <v>42</v>
      </c>
      <c r="K793">
        <v>2</v>
      </c>
      <c r="L793" s="1" t="s">
        <v>26</v>
      </c>
      <c r="M793">
        <v>493.3</v>
      </c>
      <c r="N793">
        <v>1488323.4</v>
      </c>
      <c r="O793">
        <v>2700666.85</v>
      </c>
      <c r="P793">
        <v>703891.81</v>
      </c>
      <c r="Q793" s="1" t="s">
        <v>2758</v>
      </c>
      <c r="R793">
        <v>60</v>
      </c>
      <c r="S793" s="1" t="s">
        <v>2759</v>
      </c>
      <c r="T793" t="b">
        <v>1</v>
      </c>
    </row>
    <row r="794" spans="1:20" x14ac:dyDescent="0.25">
      <c r="A794" s="1" t="s">
        <v>2760</v>
      </c>
      <c r="B794" s="1" t="s">
        <v>242</v>
      </c>
      <c r="C794" s="1" t="s">
        <v>2286</v>
      </c>
      <c r="D794" s="1" t="s">
        <v>187</v>
      </c>
      <c r="E794" s="1" t="s">
        <v>57</v>
      </c>
      <c r="F794" s="1" t="s">
        <v>50</v>
      </c>
      <c r="G794" s="2">
        <v>44847</v>
      </c>
      <c r="H794" s="2"/>
      <c r="I794">
        <v>40</v>
      </c>
      <c r="J794">
        <v>45</v>
      </c>
      <c r="K794">
        <v>5</v>
      </c>
      <c r="L794" s="1" t="s">
        <v>58</v>
      </c>
      <c r="M794">
        <v>224.1</v>
      </c>
      <c r="N794">
        <v>656889.85</v>
      </c>
      <c r="O794">
        <v>568281</v>
      </c>
      <c r="P794">
        <v>183945.15</v>
      </c>
      <c r="Q794" s="1" t="s">
        <v>2761</v>
      </c>
      <c r="R794">
        <v>80</v>
      </c>
      <c r="S794" s="1" t="s">
        <v>2762</v>
      </c>
      <c r="T794" t="b">
        <v>1</v>
      </c>
    </row>
    <row r="795" spans="1:20" x14ac:dyDescent="0.25">
      <c r="A795" s="1" t="s">
        <v>2763</v>
      </c>
      <c r="B795" s="1" t="s">
        <v>21</v>
      </c>
      <c r="C795" s="1" t="s">
        <v>301</v>
      </c>
      <c r="D795" s="1" t="s">
        <v>420</v>
      </c>
      <c r="E795" s="1" t="s">
        <v>41</v>
      </c>
      <c r="F795" s="1" t="s">
        <v>34</v>
      </c>
      <c r="G795" s="2">
        <v>45026</v>
      </c>
      <c r="H795" s="2"/>
      <c r="I795">
        <v>9</v>
      </c>
      <c r="J795">
        <v>15</v>
      </c>
      <c r="K795">
        <v>6</v>
      </c>
      <c r="L795" s="1" t="s">
        <v>101</v>
      </c>
      <c r="M795">
        <v>120.3</v>
      </c>
      <c r="N795">
        <v>254517.22</v>
      </c>
      <c r="O795">
        <v>3661954.94</v>
      </c>
      <c r="P795">
        <v>703755.97</v>
      </c>
      <c r="Q795" s="1" t="s">
        <v>2764</v>
      </c>
      <c r="R795">
        <v>42</v>
      </c>
      <c r="S795" s="1" t="s">
        <v>2765</v>
      </c>
      <c r="T795" t="b">
        <v>0</v>
      </c>
    </row>
    <row r="796" spans="1:20" x14ac:dyDescent="0.25">
      <c r="A796" s="1" t="s">
        <v>2766</v>
      </c>
      <c r="B796" s="1" t="s">
        <v>148</v>
      </c>
      <c r="C796" s="1" t="s">
        <v>1903</v>
      </c>
      <c r="D796" s="1" t="s">
        <v>306</v>
      </c>
      <c r="E796" s="1" t="s">
        <v>57</v>
      </c>
      <c r="F796" s="1" t="s">
        <v>34</v>
      </c>
      <c r="G796" s="2">
        <v>44779</v>
      </c>
      <c r="H796" s="2"/>
      <c r="I796">
        <v>40</v>
      </c>
      <c r="J796">
        <v>49</v>
      </c>
      <c r="K796">
        <v>9</v>
      </c>
      <c r="L796" s="1" t="s">
        <v>42</v>
      </c>
      <c r="M796">
        <v>287.60000000000002</v>
      </c>
      <c r="N796">
        <v>1056540.49</v>
      </c>
      <c r="O796">
        <v>3769061.46</v>
      </c>
      <c r="P796">
        <v>828170.72</v>
      </c>
      <c r="Q796" s="1" t="s">
        <v>2767</v>
      </c>
      <c r="R796">
        <v>78</v>
      </c>
      <c r="S796" s="1" t="s">
        <v>2768</v>
      </c>
      <c r="T796" t="b">
        <v>1</v>
      </c>
    </row>
    <row r="797" spans="1:20" x14ac:dyDescent="0.25">
      <c r="A797" s="1" t="s">
        <v>2769</v>
      </c>
      <c r="B797" s="1" t="s">
        <v>105</v>
      </c>
      <c r="C797" s="1" t="s">
        <v>1574</v>
      </c>
      <c r="D797" s="1" t="s">
        <v>344</v>
      </c>
      <c r="E797" s="1" t="s">
        <v>57</v>
      </c>
      <c r="F797" s="1" t="s">
        <v>50</v>
      </c>
      <c r="G797" s="2">
        <v>45189</v>
      </c>
      <c r="H797" s="2"/>
      <c r="I797">
        <v>40</v>
      </c>
      <c r="J797">
        <v>45</v>
      </c>
      <c r="K797">
        <v>5</v>
      </c>
      <c r="L797" s="1" t="s">
        <v>330</v>
      </c>
      <c r="M797">
        <v>343.5</v>
      </c>
      <c r="N797">
        <v>812363.37</v>
      </c>
      <c r="O797">
        <v>3194860.59</v>
      </c>
      <c r="P797">
        <v>782030.02</v>
      </c>
      <c r="Q797" s="1" t="s">
        <v>2770</v>
      </c>
      <c r="R797">
        <v>72</v>
      </c>
      <c r="S797" s="1" t="s">
        <v>2771</v>
      </c>
      <c r="T797" t="b">
        <v>1</v>
      </c>
    </row>
    <row r="798" spans="1:20" x14ac:dyDescent="0.25">
      <c r="A798" s="1" t="s">
        <v>2772</v>
      </c>
      <c r="B798" s="1" t="s">
        <v>76</v>
      </c>
      <c r="C798" s="1" t="s">
        <v>558</v>
      </c>
      <c r="D798" s="1" t="s">
        <v>595</v>
      </c>
      <c r="E798" s="1" t="s">
        <v>24</v>
      </c>
      <c r="F798" s="1" t="s">
        <v>25</v>
      </c>
      <c r="G798" s="2">
        <v>44699</v>
      </c>
      <c r="H798" s="2">
        <v>44700</v>
      </c>
      <c r="I798">
        <v>3</v>
      </c>
      <c r="J798">
        <v>1</v>
      </c>
      <c r="K798">
        <v>0</v>
      </c>
      <c r="L798" s="1" t="s">
        <v>26</v>
      </c>
      <c r="M798">
        <v>9.1</v>
      </c>
      <c r="N798">
        <v>25164.13</v>
      </c>
      <c r="O798">
        <v>2020974.04</v>
      </c>
      <c r="P798">
        <v>347397.13</v>
      </c>
      <c r="Q798" s="1" t="s">
        <v>2773</v>
      </c>
      <c r="R798">
        <v>59</v>
      </c>
      <c r="S798" s="1" t="s">
        <v>2774</v>
      </c>
      <c r="T798" t="b">
        <v>0</v>
      </c>
    </row>
    <row r="799" spans="1:20" x14ac:dyDescent="0.25">
      <c r="A799" s="1" t="s">
        <v>2775</v>
      </c>
      <c r="B799" s="1" t="s">
        <v>148</v>
      </c>
      <c r="C799" s="1" t="s">
        <v>1321</v>
      </c>
      <c r="D799" s="1" t="s">
        <v>410</v>
      </c>
      <c r="E799" s="1" t="s">
        <v>41</v>
      </c>
      <c r="F799" s="1" t="s">
        <v>25</v>
      </c>
      <c r="G799" s="2">
        <v>44647</v>
      </c>
      <c r="H799" s="2">
        <v>44650</v>
      </c>
      <c r="I799">
        <v>9</v>
      </c>
      <c r="J799">
        <v>3</v>
      </c>
      <c r="K799">
        <v>0</v>
      </c>
      <c r="L799" s="1" t="s">
        <v>26</v>
      </c>
      <c r="M799">
        <v>30</v>
      </c>
      <c r="N799">
        <v>82471.25</v>
      </c>
      <c r="O799">
        <v>1286353.06</v>
      </c>
      <c r="P799">
        <v>201709.61</v>
      </c>
      <c r="Q799" s="1" t="s">
        <v>2776</v>
      </c>
      <c r="R799">
        <v>57</v>
      </c>
      <c r="S799" s="1" t="s">
        <v>2777</v>
      </c>
      <c r="T799" t="b">
        <v>0</v>
      </c>
    </row>
    <row r="800" spans="1:20" x14ac:dyDescent="0.25">
      <c r="A800" s="1" t="s">
        <v>2778</v>
      </c>
      <c r="B800" s="1" t="s">
        <v>148</v>
      </c>
      <c r="C800" s="1" t="s">
        <v>206</v>
      </c>
      <c r="D800" s="1" t="s">
        <v>293</v>
      </c>
      <c r="E800" s="1" t="s">
        <v>33</v>
      </c>
      <c r="F800" s="1" t="s">
        <v>25</v>
      </c>
      <c r="G800" s="2">
        <v>45566</v>
      </c>
      <c r="H800" s="2">
        <v>45572</v>
      </c>
      <c r="I800">
        <v>12</v>
      </c>
      <c r="J800">
        <v>6</v>
      </c>
      <c r="K800">
        <v>0</v>
      </c>
      <c r="L800" s="1" t="s">
        <v>26</v>
      </c>
      <c r="M800">
        <v>93.3</v>
      </c>
      <c r="N800">
        <v>359152.15</v>
      </c>
      <c r="O800">
        <v>443274.83</v>
      </c>
      <c r="P800">
        <v>100476.41</v>
      </c>
      <c r="Q800" s="1" t="s">
        <v>2779</v>
      </c>
      <c r="R800">
        <v>67</v>
      </c>
      <c r="S800" s="1" t="s">
        <v>2780</v>
      </c>
      <c r="T800" t="b">
        <v>0</v>
      </c>
    </row>
    <row r="801" spans="1:20" x14ac:dyDescent="0.25">
      <c r="A801" s="1" t="s">
        <v>2781</v>
      </c>
      <c r="B801" s="1" t="s">
        <v>70</v>
      </c>
      <c r="C801" s="1" t="s">
        <v>999</v>
      </c>
      <c r="D801" s="1" t="s">
        <v>297</v>
      </c>
      <c r="E801" s="1" t="s">
        <v>49</v>
      </c>
      <c r="F801" s="1" t="s">
        <v>25</v>
      </c>
      <c r="G801" s="2">
        <v>45056</v>
      </c>
      <c r="H801" s="2">
        <v>45067</v>
      </c>
      <c r="I801">
        <v>25</v>
      </c>
      <c r="J801">
        <v>11</v>
      </c>
      <c r="K801">
        <v>0</v>
      </c>
      <c r="L801" s="1" t="s">
        <v>26</v>
      </c>
      <c r="M801">
        <v>86.6</v>
      </c>
      <c r="N801">
        <v>285094.96000000002</v>
      </c>
      <c r="O801">
        <v>3523160.03</v>
      </c>
      <c r="P801">
        <v>552653.57999999996</v>
      </c>
      <c r="Q801" s="1" t="s">
        <v>2096</v>
      </c>
      <c r="R801">
        <v>52</v>
      </c>
      <c r="S801" s="1" t="s">
        <v>2782</v>
      </c>
      <c r="T801" t="b">
        <v>0</v>
      </c>
    </row>
    <row r="802" spans="1:20" x14ac:dyDescent="0.25">
      <c r="A802" s="1" t="s">
        <v>2783</v>
      </c>
      <c r="B802" s="1" t="s">
        <v>105</v>
      </c>
      <c r="C802" s="1" t="s">
        <v>409</v>
      </c>
      <c r="D802" s="1" t="s">
        <v>263</v>
      </c>
      <c r="E802" s="1" t="s">
        <v>49</v>
      </c>
      <c r="F802" s="1" t="s">
        <v>25</v>
      </c>
      <c r="G802" s="2">
        <v>44703</v>
      </c>
      <c r="H802" s="2">
        <v>44727</v>
      </c>
      <c r="I802">
        <v>25</v>
      </c>
      <c r="J802">
        <v>24</v>
      </c>
      <c r="K802">
        <v>0</v>
      </c>
      <c r="L802" s="1" t="s">
        <v>26</v>
      </c>
      <c r="M802">
        <v>175.1</v>
      </c>
      <c r="N802">
        <v>582318.67000000004</v>
      </c>
      <c r="O802">
        <v>4008525.31</v>
      </c>
      <c r="P802">
        <v>704998.89</v>
      </c>
      <c r="Q802" s="1" t="s">
        <v>2784</v>
      </c>
      <c r="R802">
        <v>31</v>
      </c>
      <c r="S802" s="1" t="s">
        <v>2785</v>
      </c>
      <c r="T802" t="b">
        <v>0</v>
      </c>
    </row>
    <row r="803" spans="1:20" x14ac:dyDescent="0.25">
      <c r="A803" s="1" t="s">
        <v>2786</v>
      </c>
      <c r="B803" s="1" t="s">
        <v>629</v>
      </c>
      <c r="C803" s="1" t="s">
        <v>1013</v>
      </c>
      <c r="D803" s="1" t="s">
        <v>293</v>
      </c>
      <c r="E803" s="1" t="s">
        <v>57</v>
      </c>
      <c r="F803" s="1" t="s">
        <v>25</v>
      </c>
      <c r="G803" s="2">
        <v>45162</v>
      </c>
      <c r="H803" s="2">
        <v>45200</v>
      </c>
      <c r="I803">
        <v>40</v>
      </c>
      <c r="J803">
        <v>38</v>
      </c>
      <c r="K803">
        <v>0</v>
      </c>
      <c r="L803" s="1" t="s">
        <v>26</v>
      </c>
      <c r="M803">
        <v>426.1</v>
      </c>
      <c r="N803">
        <v>1257921.9099999999</v>
      </c>
      <c r="O803">
        <v>3437168.72</v>
      </c>
      <c r="P803">
        <v>924259</v>
      </c>
      <c r="Q803" s="1" t="s">
        <v>2787</v>
      </c>
      <c r="R803">
        <v>69</v>
      </c>
      <c r="S803" s="1" t="s">
        <v>2788</v>
      </c>
      <c r="T803" t="b">
        <v>1</v>
      </c>
    </row>
    <row r="804" spans="1:20" x14ac:dyDescent="0.25">
      <c r="A804" s="1" t="s">
        <v>2789</v>
      </c>
      <c r="B804" s="1" t="s">
        <v>105</v>
      </c>
      <c r="C804" s="1" t="s">
        <v>1521</v>
      </c>
      <c r="D804" s="1" t="s">
        <v>154</v>
      </c>
      <c r="E804" s="1" t="s">
        <v>33</v>
      </c>
      <c r="F804" s="1" t="s">
        <v>25</v>
      </c>
      <c r="G804" s="2">
        <v>45333</v>
      </c>
      <c r="H804" s="2">
        <v>45341</v>
      </c>
      <c r="I804">
        <v>12</v>
      </c>
      <c r="J804">
        <v>8</v>
      </c>
      <c r="K804">
        <v>0</v>
      </c>
      <c r="L804" s="1" t="s">
        <v>26</v>
      </c>
      <c r="M804">
        <v>53.4</v>
      </c>
      <c r="N804">
        <v>220917.25</v>
      </c>
      <c r="O804">
        <v>2922013.38</v>
      </c>
      <c r="P804">
        <v>469349.87</v>
      </c>
      <c r="Q804" s="1" t="s">
        <v>2790</v>
      </c>
      <c r="R804">
        <v>28</v>
      </c>
      <c r="S804" s="1" t="s">
        <v>2791</v>
      </c>
      <c r="T804" t="b">
        <v>1</v>
      </c>
    </row>
    <row r="805" spans="1:20" x14ac:dyDescent="0.25">
      <c r="A805" s="1" t="s">
        <v>2792</v>
      </c>
      <c r="B805" s="1" t="s">
        <v>38</v>
      </c>
      <c r="C805" s="1" t="s">
        <v>800</v>
      </c>
      <c r="D805" s="1" t="s">
        <v>582</v>
      </c>
      <c r="E805" s="1" t="s">
        <v>65</v>
      </c>
      <c r="F805" s="1" t="s">
        <v>25</v>
      </c>
      <c r="G805" s="2">
        <v>44610</v>
      </c>
      <c r="H805" s="2">
        <v>44616</v>
      </c>
      <c r="I805">
        <v>4</v>
      </c>
      <c r="J805">
        <v>6</v>
      </c>
      <c r="K805">
        <v>1.5</v>
      </c>
      <c r="L805" s="1" t="s">
        <v>26</v>
      </c>
      <c r="M805">
        <v>81.2</v>
      </c>
      <c r="N805">
        <v>240427.38</v>
      </c>
      <c r="O805">
        <v>3544959.95</v>
      </c>
      <c r="P805">
        <v>718348.97</v>
      </c>
      <c r="Q805" s="1" t="s">
        <v>2793</v>
      </c>
      <c r="R805">
        <v>37</v>
      </c>
      <c r="S805" s="1" t="s">
        <v>2794</v>
      </c>
      <c r="T805" t="b">
        <v>0</v>
      </c>
    </row>
    <row r="806" spans="1:20" x14ac:dyDescent="0.25">
      <c r="A806" s="1" t="s">
        <v>2795</v>
      </c>
      <c r="B806" s="1" t="s">
        <v>70</v>
      </c>
      <c r="C806" s="1" t="s">
        <v>869</v>
      </c>
      <c r="D806" s="1" t="s">
        <v>505</v>
      </c>
      <c r="E806" s="1" t="s">
        <v>33</v>
      </c>
      <c r="F806" s="1" t="s">
        <v>25</v>
      </c>
      <c r="G806" s="2">
        <v>45426</v>
      </c>
      <c r="H806" s="2">
        <v>45433</v>
      </c>
      <c r="I806">
        <v>12</v>
      </c>
      <c r="J806">
        <v>7</v>
      </c>
      <c r="K806">
        <v>0</v>
      </c>
      <c r="L806" s="1" t="s">
        <v>26</v>
      </c>
      <c r="M806">
        <v>50.1</v>
      </c>
      <c r="N806">
        <v>218505.51</v>
      </c>
      <c r="O806">
        <v>1794636.51</v>
      </c>
      <c r="P806">
        <v>282107.02</v>
      </c>
      <c r="Q806" s="1" t="s">
        <v>2796</v>
      </c>
      <c r="R806">
        <v>30</v>
      </c>
      <c r="S806" s="1" t="s">
        <v>2797</v>
      </c>
      <c r="T806" t="b">
        <v>1</v>
      </c>
    </row>
    <row r="807" spans="1:20" x14ac:dyDescent="0.25">
      <c r="A807" s="1" t="s">
        <v>2798</v>
      </c>
      <c r="B807" s="1" t="s">
        <v>220</v>
      </c>
      <c r="C807" s="1" t="s">
        <v>638</v>
      </c>
      <c r="D807" s="1" t="s">
        <v>1022</v>
      </c>
      <c r="E807" s="1" t="s">
        <v>41</v>
      </c>
      <c r="F807" s="1" t="s">
        <v>25</v>
      </c>
      <c r="G807" s="2">
        <v>44944</v>
      </c>
      <c r="H807" s="2">
        <v>44954</v>
      </c>
      <c r="I807">
        <v>9</v>
      </c>
      <c r="J807">
        <v>10</v>
      </c>
      <c r="K807">
        <v>1</v>
      </c>
      <c r="L807" s="1" t="s">
        <v>26</v>
      </c>
      <c r="M807">
        <v>119.2</v>
      </c>
      <c r="N807">
        <v>390258.54</v>
      </c>
      <c r="O807">
        <v>2791268.69</v>
      </c>
      <c r="P807">
        <v>470191.46</v>
      </c>
      <c r="Q807" s="1" t="s">
        <v>2799</v>
      </c>
      <c r="R807">
        <v>55</v>
      </c>
      <c r="S807" s="1" t="s">
        <v>2800</v>
      </c>
      <c r="T807" t="b">
        <v>1</v>
      </c>
    </row>
    <row r="808" spans="1:20" x14ac:dyDescent="0.25">
      <c r="A808" s="1" t="s">
        <v>2801</v>
      </c>
      <c r="B808" s="1" t="s">
        <v>117</v>
      </c>
      <c r="C808" s="1" t="s">
        <v>896</v>
      </c>
      <c r="D808" s="1" t="s">
        <v>655</v>
      </c>
      <c r="E808" s="1" t="s">
        <v>57</v>
      </c>
      <c r="F808" s="1" t="s">
        <v>25</v>
      </c>
      <c r="G808" s="2">
        <v>45037</v>
      </c>
      <c r="H808" s="2">
        <v>45076</v>
      </c>
      <c r="I808">
        <v>40</v>
      </c>
      <c r="J808">
        <v>39</v>
      </c>
      <c r="K808">
        <v>0</v>
      </c>
      <c r="L808" s="1" t="s">
        <v>26</v>
      </c>
      <c r="M808">
        <v>218.3</v>
      </c>
      <c r="N808">
        <v>806395.73</v>
      </c>
      <c r="O808">
        <v>65856.17</v>
      </c>
      <c r="P808">
        <v>92458.18</v>
      </c>
      <c r="Q808" s="1" t="s">
        <v>2802</v>
      </c>
      <c r="R808">
        <v>20</v>
      </c>
      <c r="S808" s="1" t="s">
        <v>2803</v>
      </c>
      <c r="T808" t="b">
        <v>0</v>
      </c>
    </row>
    <row r="809" spans="1:20" x14ac:dyDescent="0.25">
      <c r="A809" s="1" t="s">
        <v>2804</v>
      </c>
      <c r="B809" s="1" t="s">
        <v>122</v>
      </c>
      <c r="C809" s="1" t="s">
        <v>287</v>
      </c>
      <c r="D809" s="1" t="s">
        <v>306</v>
      </c>
      <c r="E809" s="1" t="s">
        <v>24</v>
      </c>
      <c r="F809" s="1" t="s">
        <v>25</v>
      </c>
      <c r="G809" s="2">
        <v>44842</v>
      </c>
      <c r="H809" s="2">
        <v>44846</v>
      </c>
      <c r="I809">
        <v>3</v>
      </c>
      <c r="J809">
        <v>4</v>
      </c>
      <c r="K809">
        <v>1</v>
      </c>
      <c r="L809" s="1" t="s">
        <v>26</v>
      </c>
      <c r="M809">
        <v>54.5</v>
      </c>
      <c r="N809">
        <v>125862.35</v>
      </c>
      <c r="O809">
        <v>2379050.17</v>
      </c>
      <c r="P809">
        <v>370410.02</v>
      </c>
      <c r="Q809" s="1" t="s">
        <v>2805</v>
      </c>
      <c r="R809">
        <v>62</v>
      </c>
      <c r="S809" s="1" t="s">
        <v>2806</v>
      </c>
      <c r="T809" t="b">
        <v>1</v>
      </c>
    </row>
    <row r="810" spans="1:20" x14ac:dyDescent="0.25">
      <c r="A810" s="1" t="s">
        <v>2807</v>
      </c>
      <c r="B810" s="1" t="s">
        <v>348</v>
      </c>
      <c r="C810" s="1" t="s">
        <v>1983</v>
      </c>
      <c r="D810" s="1" t="s">
        <v>336</v>
      </c>
      <c r="E810" s="1" t="s">
        <v>57</v>
      </c>
      <c r="F810" s="1" t="s">
        <v>50</v>
      </c>
      <c r="G810" s="2">
        <v>45606</v>
      </c>
      <c r="H810" s="2"/>
      <c r="I810">
        <v>40</v>
      </c>
      <c r="J810">
        <v>24</v>
      </c>
      <c r="K810">
        <v>0</v>
      </c>
      <c r="L810" s="1" t="s">
        <v>26</v>
      </c>
      <c r="M810">
        <v>233.6</v>
      </c>
      <c r="N810">
        <v>1044808.87</v>
      </c>
      <c r="O810">
        <v>372224.57</v>
      </c>
      <c r="P810">
        <v>165046.51999999999</v>
      </c>
      <c r="Q810" s="1" t="s">
        <v>2808</v>
      </c>
      <c r="R810">
        <v>36</v>
      </c>
      <c r="S810" s="1" t="s">
        <v>2809</v>
      </c>
      <c r="T810" t="b">
        <v>0</v>
      </c>
    </row>
    <row r="811" spans="1:20" x14ac:dyDescent="0.25">
      <c r="A811" s="1" t="s">
        <v>2810</v>
      </c>
      <c r="B811" s="1" t="s">
        <v>93</v>
      </c>
      <c r="C811" s="1" t="s">
        <v>2811</v>
      </c>
      <c r="D811" s="1" t="s">
        <v>350</v>
      </c>
      <c r="E811" s="1" t="s">
        <v>65</v>
      </c>
      <c r="F811" s="1" t="s">
        <v>25</v>
      </c>
      <c r="G811" s="2">
        <v>44684</v>
      </c>
      <c r="H811" s="2">
        <v>44690</v>
      </c>
      <c r="I811">
        <v>4</v>
      </c>
      <c r="J811">
        <v>6</v>
      </c>
      <c r="K811">
        <v>1.5</v>
      </c>
      <c r="L811" s="1" t="s">
        <v>26</v>
      </c>
      <c r="M811">
        <v>80.2</v>
      </c>
      <c r="N811">
        <v>150350.63</v>
      </c>
      <c r="O811">
        <v>3361563.34</v>
      </c>
      <c r="P811">
        <v>678073.32</v>
      </c>
      <c r="Q811" s="1" t="s">
        <v>2812</v>
      </c>
      <c r="R811">
        <v>59</v>
      </c>
      <c r="S811" s="1" t="s">
        <v>2813</v>
      </c>
      <c r="T811" t="b">
        <v>0</v>
      </c>
    </row>
    <row r="812" spans="1:20" x14ac:dyDescent="0.25">
      <c r="A812" s="1" t="s">
        <v>2814</v>
      </c>
      <c r="B812" s="1" t="s">
        <v>471</v>
      </c>
      <c r="C812" s="1" t="s">
        <v>2815</v>
      </c>
      <c r="D812" s="1" t="s">
        <v>56</v>
      </c>
      <c r="E812" s="1" t="s">
        <v>57</v>
      </c>
      <c r="F812" s="1" t="s">
        <v>66</v>
      </c>
      <c r="G812" s="2">
        <v>44884</v>
      </c>
      <c r="H812" s="2"/>
      <c r="I812">
        <v>40</v>
      </c>
      <c r="J812">
        <v>53</v>
      </c>
      <c r="K812">
        <v>13</v>
      </c>
      <c r="L812" s="1" t="s">
        <v>42</v>
      </c>
      <c r="M812">
        <v>394.9</v>
      </c>
      <c r="N812">
        <v>1535121.53</v>
      </c>
      <c r="O812">
        <v>2169380.2200000002</v>
      </c>
      <c r="P812">
        <v>381902.28</v>
      </c>
      <c r="Q812" s="1" t="s">
        <v>2816</v>
      </c>
      <c r="R812">
        <v>37</v>
      </c>
      <c r="S812" s="1" t="s">
        <v>2817</v>
      </c>
      <c r="T812" t="b">
        <v>0</v>
      </c>
    </row>
    <row r="813" spans="1:20" x14ac:dyDescent="0.25">
      <c r="A813" s="1" t="s">
        <v>2818</v>
      </c>
      <c r="B813" s="1" t="s">
        <v>128</v>
      </c>
      <c r="C813" s="1" t="s">
        <v>2819</v>
      </c>
      <c r="D813" s="1" t="s">
        <v>297</v>
      </c>
      <c r="E813" s="1" t="s">
        <v>65</v>
      </c>
      <c r="F813" s="1" t="s">
        <v>34</v>
      </c>
      <c r="G813" s="2">
        <v>45137</v>
      </c>
      <c r="H813" s="2"/>
      <c r="I813">
        <v>4</v>
      </c>
      <c r="J813">
        <v>6</v>
      </c>
      <c r="K813">
        <v>1.5</v>
      </c>
      <c r="L813" s="1" t="s">
        <v>26</v>
      </c>
      <c r="M813">
        <v>45.9</v>
      </c>
      <c r="N813">
        <v>148958.60999999999</v>
      </c>
      <c r="O813">
        <v>1642167.96</v>
      </c>
      <c r="P813">
        <v>234304.76</v>
      </c>
      <c r="Q813" s="1" t="s">
        <v>160</v>
      </c>
      <c r="R813">
        <v>63</v>
      </c>
      <c r="S813" s="1" t="s">
        <v>2820</v>
      </c>
      <c r="T813" t="b">
        <v>1</v>
      </c>
    </row>
    <row r="814" spans="1:20" x14ac:dyDescent="0.25">
      <c r="A814" s="1" t="s">
        <v>2821</v>
      </c>
      <c r="B814" s="1" t="s">
        <v>163</v>
      </c>
      <c r="C814" s="1" t="s">
        <v>310</v>
      </c>
      <c r="D814" s="1" t="s">
        <v>268</v>
      </c>
      <c r="E814" s="1" t="s">
        <v>24</v>
      </c>
      <c r="F814" s="1" t="s">
        <v>25</v>
      </c>
      <c r="G814" s="2">
        <v>45523</v>
      </c>
      <c r="H814" s="2">
        <v>45527</v>
      </c>
      <c r="I814">
        <v>3</v>
      </c>
      <c r="J814">
        <v>4</v>
      </c>
      <c r="K814">
        <v>1</v>
      </c>
      <c r="L814" s="1" t="s">
        <v>26</v>
      </c>
      <c r="M814">
        <v>62.8</v>
      </c>
      <c r="N814">
        <v>203371.24</v>
      </c>
      <c r="O814">
        <v>3085669.63</v>
      </c>
      <c r="P814">
        <v>349603.46</v>
      </c>
      <c r="Q814" s="1" t="s">
        <v>2822</v>
      </c>
      <c r="R814">
        <v>40</v>
      </c>
      <c r="S814" s="1" t="s">
        <v>2823</v>
      </c>
      <c r="T814" t="b">
        <v>0</v>
      </c>
    </row>
    <row r="815" spans="1:20" x14ac:dyDescent="0.25">
      <c r="A815" s="1" t="s">
        <v>2824</v>
      </c>
      <c r="B815" s="1" t="s">
        <v>111</v>
      </c>
      <c r="C815" s="1" t="s">
        <v>1999</v>
      </c>
      <c r="D815" s="1" t="s">
        <v>165</v>
      </c>
      <c r="E815" s="1" t="s">
        <v>49</v>
      </c>
      <c r="F815" s="1" t="s">
        <v>25</v>
      </c>
      <c r="G815" s="2">
        <v>45052</v>
      </c>
      <c r="H815" s="2">
        <v>45073</v>
      </c>
      <c r="I815">
        <v>25</v>
      </c>
      <c r="J815">
        <v>21</v>
      </c>
      <c r="K815">
        <v>0</v>
      </c>
      <c r="L815" s="1" t="s">
        <v>26</v>
      </c>
      <c r="M815">
        <v>329</v>
      </c>
      <c r="N815">
        <v>762617.28</v>
      </c>
      <c r="O815">
        <v>1681642.44</v>
      </c>
      <c r="P815">
        <v>409682.4</v>
      </c>
      <c r="Q815" s="1" t="s">
        <v>2825</v>
      </c>
      <c r="R815">
        <v>69</v>
      </c>
      <c r="S815" s="1" t="s">
        <v>2826</v>
      </c>
      <c r="T815" t="b">
        <v>0</v>
      </c>
    </row>
    <row r="816" spans="1:20" x14ac:dyDescent="0.25">
      <c r="A816" s="1" t="s">
        <v>2827</v>
      </c>
      <c r="B816" s="1" t="s">
        <v>163</v>
      </c>
      <c r="C816" s="1" t="s">
        <v>907</v>
      </c>
      <c r="D816" s="1" t="s">
        <v>372</v>
      </c>
      <c r="E816" s="1" t="s">
        <v>41</v>
      </c>
      <c r="F816" s="1" t="s">
        <v>34</v>
      </c>
      <c r="G816" s="2">
        <v>44951</v>
      </c>
      <c r="H816" s="2"/>
      <c r="I816">
        <v>9</v>
      </c>
      <c r="J816">
        <v>8</v>
      </c>
      <c r="K816">
        <v>0</v>
      </c>
      <c r="L816" s="1" t="s">
        <v>26</v>
      </c>
      <c r="M816">
        <v>100.4</v>
      </c>
      <c r="N816">
        <v>330601</v>
      </c>
      <c r="O816">
        <v>1030277.79</v>
      </c>
      <c r="P816">
        <v>199054.44</v>
      </c>
      <c r="Q816" s="1" t="s">
        <v>2828</v>
      </c>
      <c r="R816">
        <v>58</v>
      </c>
      <c r="S816" s="1" t="s">
        <v>2829</v>
      </c>
      <c r="T816" t="b">
        <v>0</v>
      </c>
    </row>
    <row r="817" spans="1:20" x14ac:dyDescent="0.25">
      <c r="A817" s="1" t="s">
        <v>2830</v>
      </c>
      <c r="B817" s="1" t="s">
        <v>242</v>
      </c>
      <c r="C817" s="1" t="s">
        <v>287</v>
      </c>
      <c r="D817" s="1" t="s">
        <v>144</v>
      </c>
      <c r="E817" s="1" t="s">
        <v>41</v>
      </c>
      <c r="F817" s="1" t="s">
        <v>50</v>
      </c>
      <c r="G817" s="2">
        <v>44936</v>
      </c>
      <c r="H817" s="2"/>
      <c r="I817">
        <v>9</v>
      </c>
      <c r="J817">
        <v>10</v>
      </c>
      <c r="K817">
        <v>1</v>
      </c>
      <c r="L817" s="1" t="s">
        <v>26</v>
      </c>
      <c r="M817">
        <v>85</v>
      </c>
      <c r="N817">
        <v>242879.14</v>
      </c>
      <c r="O817">
        <v>3588036.83</v>
      </c>
      <c r="P817">
        <v>740318.35</v>
      </c>
      <c r="Q817" s="1" t="s">
        <v>2831</v>
      </c>
      <c r="R817">
        <v>27</v>
      </c>
      <c r="S817" s="1" t="s">
        <v>2832</v>
      </c>
      <c r="T817" t="b">
        <v>0</v>
      </c>
    </row>
    <row r="818" spans="1:20" x14ac:dyDescent="0.25">
      <c r="A818" s="1" t="s">
        <v>2833</v>
      </c>
      <c r="B818" s="1" t="s">
        <v>334</v>
      </c>
      <c r="C818" s="1" t="s">
        <v>1286</v>
      </c>
      <c r="D818" s="1" t="s">
        <v>113</v>
      </c>
      <c r="E818" s="1" t="s">
        <v>33</v>
      </c>
      <c r="F818" s="1" t="s">
        <v>25</v>
      </c>
      <c r="G818" s="2">
        <v>45367</v>
      </c>
      <c r="H818" s="2">
        <v>45376</v>
      </c>
      <c r="I818">
        <v>12</v>
      </c>
      <c r="J818">
        <v>9</v>
      </c>
      <c r="K818">
        <v>0</v>
      </c>
      <c r="L818" s="1" t="s">
        <v>26</v>
      </c>
      <c r="M818">
        <v>123.7</v>
      </c>
      <c r="N818">
        <v>307764.28000000003</v>
      </c>
      <c r="O818">
        <v>2480327.4700000002</v>
      </c>
      <c r="P818">
        <v>539426.34</v>
      </c>
      <c r="Q818" s="1" t="s">
        <v>2834</v>
      </c>
      <c r="R818">
        <v>32</v>
      </c>
      <c r="S818" s="1" t="s">
        <v>2835</v>
      </c>
      <c r="T818" t="b">
        <v>0</v>
      </c>
    </row>
    <row r="819" spans="1:20" x14ac:dyDescent="0.25">
      <c r="A819" s="1" t="s">
        <v>2836</v>
      </c>
      <c r="B819" s="1" t="s">
        <v>62</v>
      </c>
      <c r="C819" s="1" t="s">
        <v>1216</v>
      </c>
      <c r="D819" s="1" t="s">
        <v>64</v>
      </c>
      <c r="E819" s="1" t="s">
        <v>65</v>
      </c>
      <c r="F819" s="1" t="s">
        <v>34</v>
      </c>
      <c r="G819" s="2">
        <v>44666</v>
      </c>
      <c r="H819" s="2"/>
      <c r="I819">
        <v>4</v>
      </c>
      <c r="J819">
        <v>8</v>
      </c>
      <c r="K819">
        <v>3.5</v>
      </c>
      <c r="L819" s="1" t="s">
        <v>42</v>
      </c>
      <c r="M819">
        <v>89.1</v>
      </c>
      <c r="N819">
        <v>274979.89</v>
      </c>
      <c r="O819">
        <v>1940554.61</v>
      </c>
      <c r="P819">
        <v>248016.85</v>
      </c>
      <c r="Q819" s="1" t="s">
        <v>2837</v>
      </c>
      <c r="R819">
        <v>24</v>
      </c>
      <c r="S819" s="1" t="s">
        <v>2838</v>
      </c>
      <c r="T819" t="b">
        <v>0</v>
      </c>
    </row>
    <row r="820" spans="1:20" x14ac:dyDescent="0.25">
      <c r="A820" s="1" t="s">
        <v>2839</v>
      </c>
      <c r="B820" s="1" t="s">
        <v>62</v>
      </c>
      <c r="C820" s="1" t="s">
        <v>586</v>
      </c>
      <c r="D820" s="1" t="s">
        <v>1022</v>
      </c>
      <c r="E820" s="1" t="s">
        <v>49</v>
      </c>
      <c r="F820" s="1" t="s">
        <v>66</v>
      </c>
      <c r="G820" s="2">
        <v>44782</v>
      </c>
      <c r="H820" s="2"/>
      <c r="I820">
        <v>25</v>
      </c>
      <c r="J820">
        <v>18</v>
      </c>
      <c r="K820">
        <v>0</v>
      </c>
      <c r="L820" s="1" t="s">
        <v>26</v>
      </c>
      <c r="M820">
        <v>99.5</v>
      </c>
      <c r="N820">
        <v>204861.02</v>
      </c>
      <c r="O820">
        <v>3717685.39</v>
      </c>
      <c r="P820">
        <v>558281.86</v>
      </c>
      <c r="Q820" s="1" t="s">
        <v>2840</v>
      </c>
      <c r="R820">
        <v>41</v>
      </c>
      <c r="S820" s="1" t="s">
        <v>2841</v>
      </c>
      <c r="T820" t="b">
        <v>0</v>
      </c>
    </row>
    <row r="821" spans="1:20" x14ac:dyDescent="0.25">
      <c r="A821" s="1" t="s">
        <v>2842</v>
      </c>
      <c r="B821" s="1" t="s">
        <v>54</v>
      </c>
      <c r="C821" s="1" t="s">
        <v>536</v>
      </c>
      <c r="D821" s="1" t="s">
        <v>130</v>
      </c>
      <c r="E821" s="1" t="s">
        <v>65</v>
      </c>
      <c r="F821" s="1" t="s">
        <v>25</v>
      </c>
      <c r="G821" s="2">
        <v>45144</v>
      </c>
      <c r="H821" s="2">
        <v>45148</v>
      </c>
      <c r="I821">
        <v>4</v>
      </c>
      <c r="J821">
        <v>4</v>
      </c>
      <c r="K821">
        <v>0</v>
      </c>
      <c r="L821" s="1" t="s">
        <v>26</v>
      </c>
      <c r="M821">
        <v>26.6</v>
      </c>
      <c r="N821">
        <v>91234.95</v>
      </c>
      <c r="O821">
        <v>3761115.55</v>
      </c>
      <c r="P821">
        <v>742675.98</v>
      </c>
      <c r="Q821" s="1" t="s">
        <v>2843</v>
      </c>
      <c r="R821">
        <v>40</v>
      </c>
      <c r="S821" s="1" t="s">
        <v>2844</v>
      </c>
      <c r="T821" t="b">
        <v>1</v>
      </c>
    </row>
    <row r="822" spans="1:20" x14ac:dyDescent="0.25">
      <c r="A822" s="1" t="s">
        <v>2845</v>
      </c>
      <c r="B822" s="1" t="s">
        <v>148</v>
      </c>
      <c r="C822" s="1" t="s">
        <v>907</v>
      </c>
      <c r="D822" s="1" t="s">
        <v>64</v>
      </c>
      <c r="E822" s="1" t="s">
        <v>65</v>
      </c>
      <c r="F822" s="1" t="s">
        <v>25</v>
      </c>
      <c r="G822" s="2">
        <v>44913</v>
      </c>
      <c r="H822" s="2">
        <v>44914</v>
      </c>
      <c r="I822">
        <v>4</v>
      </c>
      <c r="J822">
        <v>1</v>
      </c>
      <c r="K822">
        <v>0</v>
      </c>
      <c r="L822" s="1" t="s">
        <v>26</v>
      </c>
      <c r="M822">
        <v>15.5</v>
      </c>
      <c r="N822">
        <v>31715.79</v>
      </c>
      <c r="O822">
        <v>3704875.98</v>
      </c>
      <c r="P822">
        <v>739349.14</v>
      </c>
      <c r="Q822" s="1" t="s">
        <v>2846</v>
      </c>
      <c r="R822">
        <v>46</v>
      </c>
      <c r="S822" s="1" t="s">
        <v>2847</v>
      </c>
      <c r="T822" t="b">
        <v>1</v>
      </c>
    </row>
    <row r="823" spans="1:20" x14ac:dyDescent="0.25">
      <c r="A823" s="1" t="s">
        <v>2848</v>
      </c>
      <c r="B823" s="1" t="s">
        <v>566</v>
      </c>
      <c r="C823" s="1" t="s">
        <v>2849</v>
      </c>
      <c r="D823" s="1" t="s">
        <v>230</v>
      </c>
      <c r="E823" s="1" t="s">
        <v>65</v>
      </c>
      <c r="F823" s="1" t="s">
        <v>66</v>
      </c>
      <c r="G823" s="2">
        <v>45057</v>
      </c>
      <c r="H823" s="2"/>
      <c r="I823">
        <v>4</v>
      </c>
      <c r="J823">
        <v>3</v>
      </c>
      <c r="K823">
        <v>0</v>
      </c>
      <c r="L823" s="1" t="s">
        <v>26</v>
      </c>
      <c r="M823">
        <v>44.1</v>
      </c>
      <c r="N823">
        <v>188641.67</v>
      </c>
      <c r="O823">
        <v>1404558.71</v>
      </c>
      <c r="P823">
        <v>159824.82</v>
      </c>
      <c r="Q823" s="1" t="s">
        <v>2045</v>
      </c>
      <c r="R823">
        <v>33</v>
      </c>
      <c r="S823" s="1" t="s">
        <v>2850</v>
      </c>
      <c r="T823" t="b">
        <v>1</v>
      </c>
    </row>
    <row r="824" spans="1:20" x14ac:dyDescent="0.25">
      <c r="A824" s="1" t="s">
        <v>2851</v>
      </c>
      <c r="B824" s="1" t="s">
        <v>117</v>
      </c>
      <c r="C824" s="1" t="s">
        <v>2852</v>
      </c>
      <c r="D824" s="1" t="s">
        <v>48</v>
      </c>
      <c r="E824" s="1" t="s">
        <v>33</v>
      </c>
      <c r="F824" s="1" t="s">
        <v>25</v>
      </c>
      <c r="G824" s="2">
        <v>44767</v>
      </c>
      <c r="H824" s="2">
        <v>44784</v>
      </c>
      <c r="I824">
        <v>12</v>
      </c>
      <c r="J824">
        <v>17</v>
      </c>
      <c r="K824">
        <v>5</v>
      </c>
      <c r="L824" s="1" t="s">
        <v>42</v>
      </c>
      <c r="M824">
        <v>158.6</v>
      </c>
      <c r="N824">
        <v>349878.09</v>
      </c>
      <c r="O824">
        <v>4441710.87</v>
      </c>
      <c r="P824">
        <v>886724.93</v>
      </c>
      <c r="Q824" s="1" t="s">
        <v>2853</v>
      </c>
      <c r="R824">
        <v>63</v>
      </c>
      <c r="S824" s="1" t="s">
        <v>2854</v>
      </c>
      <c r="T824" t="b">
        <v>0</v>
      </c>
    </row>
    <row r="825" spans="1:20" x14ac:dyDescent="0.25">
      <c r="A825" s="1" t="s">
        <v>2855</v>
      </c>
      <c r="B825" s="1" t="s">
        <v>82</v>
      </c>
      <c r="C825" s="1" t="s">
        <v>197</v>
      </c>
      <c r="D825" s="1" t="s">
        <v>154</v>
      </c>
      <c r="E825" s="1" t="s">
        <v>49</v>
      </c>
      <c r="F825" s="1" t="s">
        <v>25</v>
      </c>
      <c r="G825" s="2">
        <v>45456</v>
      </c>
      <c r="H825" s="2">
        <v>45476</v>
      </c>
      <c r="I825">
        <v>25</v>
      </c>
      <c r="J825">
        <v>20</v>
      </c>
      <c r="K825">
        <v>0</v>
      </c>
      <c r="L825" s="1" t="s">
        <v>26</v>
      </c>
      <c r="M825">
        <v>85</v>
      </c>
      <c r="N825">
        <v>269484.87</v>
      </c>
      <c r="O825">
        <v>1945624.35</v>
      </c>
      <c r="P825">
        <v>319460.71999999997</v>
      </c>
      <c r="Q825" s="1" t="s">
        <v>2856</v>
      </c>
      <c r="R825">
        <v>70</v>
      </c>
      <c r="S825" s="1" t="s">
        <v>2857</v>
      </c>
      <c r="T825" t="b">
        <v>0</v>
      </c>
    </row>
    <row r="826" spans="1:20" x14ac:dyDescent="0.25">
      <c r="A826" s="1" t="s">
        <v>2858</v>
      </c>
      <c r="B826" s="1" t="s">
        <v>54</v>
      </c>
      <c r="C826" s="1" t="s">
        <v>1591</v>
      </c>
      <c r="D826" s="1" t="s">
        <v>249</v>
      </c>
      <c r="E826" s="1" t="s">
        <v>57</v>
      </c>
      <c r="F826" s="1" t="s">
        <v>25</v>
      </c>
      <c r="G826" s="2">
        <v>44986</v>
      </c>
      <c r="H826" s="2">
        <v>45028</v>
      </c>
      <c r="I826">
        <v>40</v>
      </c>
      <c r="J826">
        <v>42</v>
      </c>
      <c r="K826">
        <v>2</v>
      </c>
      <c r="L826" s="1" t="s">
        <v>26</v>
      </c>
      <c r="M826">
        <v>372.2</v>
      </c>
      <c r="N826">
        <v>919954.56</v>
      </c>
      <c r="O826">
        <v>1460487.28</v>
      </c>
      <c r="P826">
        <v>293007.51</v>
      </c>
      <c r="Q826" s="1" t="s">
        <v>2859</v>
      </c>
      <c r="R826">
        <v>61</v>
      </c>
      <c r="S826" s="1" t="s">
        <v>2860</v>
      </c>
      <c r="T826" t="b">
        <v>1</v>
      </c>
    </row>
    <row r="827" spans="1:20" x14ac:dyDescent="0.25">
      <c r="A827" s="1" t="s">
        <v>2861</v>
      </c>
      <c r="B827" s="1" t="s">
        <v>158</v>
      </c>
      <c r="C827" s="1" t="s">
        <v>497</v>
      </c>
      <c r="D827" s="1" t="s">
        <v>144</v>
      </c>
      <c r="E827" s="1" t="s">
        <v>41</v>
      </c>
      <c r="F827" s="1" t="s">
        <v>50</v>
      </c>
      <c r="G827" s="2">
        <v>45488</v>
      </c>
      <c r="H827" s="2"/>
      <c r="I827">
        <v>9</v>
      </c>
      <c r="J827">
        <v>3</v>
      </c>
      <c r="K827">
        <v>0</v>
      </c>
      <c r="L827" s="1" t="s">
        <v>26</v>
      </c>
      <c r="M827">
        <v>26</v>
      </c>
      <c r="N827">
        <v>71031.929999999993</v>
      </c>
      <c r="O827">
        <v>1911044.95</v>
      </c>
      <c r="P827">
        <v>295519.23</v>
      </c>
      <c r="Q827" s="1" t="s">
        <v>2862</v>
      </c>
      <c r="R827">
        <v>42</v>
      </c>
      <c r="S827" s="1" t="s">
        <v>2863</v>
      </c>
      <c r="T827" t="b">
        <v>1</v>
      </c>
    </row>
    <row r="828" spans="1:20" x14ac:dyDescent="0.25">
      <c r="A828" s="1" t="s">
        <v>2864</v>
      </c>
      <c r="B828" s="1" t="s">
        <v>138</v>
      </c>
      <c r="C828" s="1" t="s">
        <v>1381</v>
      </c>
      <c r="D828" s="1" t="s">
        <v>56</v>
      </c>
      <c r="E828" s="1" t="s">
        <v>24</v>
      </c>
      <c r="F828" s="1" t="s">
        <v>25</v>
      </c>
      <c r="G828" s="2">
        <v>45113</v>
      </c>
      <c r="H828" s="2">
        <v>45117</v>
      </c>
      <c r="I828">
        <v>3</v>
      </c>
      <c r="J828">
        <v>4</v>
      </c>
      <c r="K828">
        <v>1</v>
      </c>
      <c r="L828" s="1" t="s">
        <v>26</v>
      </c>
      <c r="M828">
        <v>23.6</v>
      </c>
      <c r="N828">
        <v>56443.4</v>
      </c>
      <c r="O828">
        <v>2931617.97</v>
      </c>
      <c r="P828">
        <v>453339.65</v>
      </c>
      <c r="Q828" s="1" t="s">
        <v>2865</v>
      </c>
      <c r="R828">
        <v>23</v>
      </c>
      <c r="S828" s="1" t="s">
        <v>2866</v>
      </c>
      <c r="T828" t="b">
        <v>1</v>
      </c>
    </row>
    <row r="829" spans="1:20" x14ac:dyDescent="0.25">
      <c r="A829" s="1" t="s">
        <v>2867</v>
      </c>
      <c r="B829" s="1" t="s">
        <v>471</v>
      </c>
      <c r="C829" s="1" t="s">
        <v>497</v>
      </c>
      <c r="D829" s="1" t="s">
        <v>84</v>
      </c>
      <c r="E829" s="1" t="s">
        <v>41</v>
      </c>
      <c r="F829" s="1" t="s">
        <v>25</v>
      </c>
      <c r="G829" s="2">
        <v>44746</v>
      </c>
      <c r="H829" s="2">
        <v>44750</v>
      </c>
      <c r="I829">
        <v>9</v>
      </c>
      <c r="J829">
        <v>4</v>
      </c>
      <c r="K829">
        <v>0</v>
      </c>
      <c r="L829" s="1" t="s">
        <v>26</v>
      </c>
      <c r="M829">
        <v>45.5</v>
      </c>
      <c r="N829">
        <v>149814.43</v>
      </c>
      <c r="O829">
        <v>1259451.68</v>
      </c>
      <c r="P829">
        <v>214948.86</v>
      </c>
      <c r="Q829" s="1" t="s">
        <v>2868</v>
      </c>
      <c r="R829">
        <v>75</v>
      </c>
      <c r="S829" s="1" t="s">
        <v>2869</v>
      </c>
      <c r="T829" t="b">
        <v>1</v>
      </c>
    </row>
    <row r="830" spans="1:20" x14ac:dyDescent="0.25">
      <c r="A830" s="1" t="s">
        <v>2870</v>
      </c>
      <c r="B830" s="1" t="s">
        <v>46</v>
      </c>
      <c r="C830" s="1" t="s">
        <v>606</v>
      </c>
      <c r="D830" s="1" t="s">
        <v>202</v>
      </c>
      <c r="E830" s="1" t="s">
        <v>65</v>
      </c>
      <c r="F830" s="1" t="s">
        <v>25</v>
      </c>
      <c r="G830" s="2">
        <v>45031</v>
      </c>
      <c r="H830" s="2">
        <v>45034</v>
      </c>
      <c r="I830">
        <v>4</v>
      </c>
      <c r="J830">
        <v>3</v>
      </c>
      <c r="K830">
        <v>0</v>
      </c>
      <c r="L830" s="1" t="s">
        <v>26</v>
      </c>
      <c r="M830">
        <v>30.7</v>
      </c>
      <c r="N830">
        <v>74475.199999999997</v>
      </c>
      <c r="O830">
        <v>470432.2</v>
      </c>
      <c r="P830">
        <v>57332.24</v>
      </c>
      <c r="Q830" s="1" t="s">
        <v>2871</v>
      </c>
      <c r="R830">
        <v>50</v>
      </c>
      <c r="S830" s="1" t="s">
        <v>2872</v>
      </c>
      <c r="T830" t="b">
        <v>0</v>
      </c>
    </row>
    <row r="831" spans="1:20" x14ac:dyDescent="0.25">
      <c r="A831" s="1" t="s">
        <v>2873</v>
      </c>
      <c r="B831" s="1" t="s">
        <v>418</v>
      </c>
      <c r="C831" s="1" t="s">
        <v>536</v>
      </c>
      <c r="D831" s="1" t="s">
        <v>40</v>
      </c>
      <c r="E831" s="1" t="s">
        <v>57</v>
      </c>
      <c r="F831" s="1" t="s">
        <v>25</v>
      </c>
      <c r="G831" s="2">
        <v>44905</v>
      </c>
      <c r="H831" s="2">
        <v>44937</v>
      </c>
      <c r="I831">
        <v>40</v>
      </c>
      <c r="J831">
        <v>32</v>
      </c>
      <c r="K831">
        <v>0</v>
      </c>
      <c r="L831" s="1" t="s">
        <v>26</v>
      </c>
      <c r="M831">
        <v>359.4</v>
      </c>
      <c r="N831">
        <v>721685.32</v>
      </c>
      <c r="O831">
        <v>3866453.2</v>
      </c>
      <c r="P831">
        <v>582255.03</v>
      </c>
      <c r="Q831" s="1" t="s">
        <v>2874</v>
      </c>
      <c r="R831">
        <v>43</v>
      </c>
      <c r="S831" s="1" t="s">
        <v>2875</v>
      </c>
      <c r="T831" t="b">
        <v>1</v>
      </c>
    </row>
    <row r="832" spans="1:20" x14ac:dyDescent="0.25">
      <c r="A832" s="1" t="s">
        <v>2876</v>
      </c>
      <c r="B832" s="1" t="s">
        <v>62</v>
      </c>
      <c r="C832" s="1" t="s">
        <v>837</v>
      </c>
      <c r="D832" s="1" t="s">
        <v>176</v>
      </c>
      <c r="E832" s="1" t="s">
        <v>49</v>
      </c>
      <c r="F832" s="1" t="s">
        <v>25</v>
      </c>
      <c r="G832" s="2">
        <v>44874</v>
      </c>
      <c r="H832" s="2">
        <v>44891</v>
      </c>
      <c r="I832">
        <v>25</v>
      </c>
      <c r="J832">
        <v>17</v>
      </c>
      <c r="K832">
        <v>0</v>
      </c>
      <c r="L832" s="1" t="s">
        <v>26</v>
      </c>
      <c r="M832">
        <v>228.5</v>
      </c>
      <c r="N832">
        <v>612103.56999999995</v>
      </c>
      <c r="O832">
        <v>867254.79</v>
      </c>
      <c r="P832">
        <v>188224.3</v>
      </c>
      <c r="Q832" s="1" t="s">
        <v>2877</v>
      </c>
      <c r="R832">
        <v>30</v>
      </c>
      <c r="S832" s="1" t="s">
        <v>2878</v>
      </c>
      <c r="T832" t="b">
        <v>1</v>
      </c>
    </row>
    <row r="833" spans="1:20" x14ac:dyDescent="0.25">
      <c r="A833" s="1" t="s">
        <v>2879</v>
      </c>
      <c r="B833" s="1" t="s">
        <v>105</v>
      </c>
      <c r="C833" s="1" t="s">
        <v>2880</v>
      </c>
      <c r="D833" s="1" t="s">
        <v>154</v>
      </c>
      <c r="E833" s="1" t="s">
        <v>57</v>
      </c>
      <c r="F833" s="1" t="s">
        <v>50</v>
      </c>
      <c r="G833" s="2">
        <v>45522</v>
      </c>
      <c r="H833" s="2"/>
      <c r="I833">
        <v>40</v>
      </c>
      <c r="J833">
        <v>28</v>
      </c>
      <c r="K833">
        <v>0</v>
      </c>
      <c r="L833" s="1" t="s">
        <v>26</v>
      </c>
      <c r="M833">
        <v>193.3</v>
      </c>
      <c r="N833">
        <v>665767.06999999995</v>
      </c>
      <c r="O833">
        <v>1842282.34</v>
      </c>
      <c r="P833">
        <v>447224.7</v>
      </c>
      <c r="Q833" s="1" t="s">
        <v>2881</v>
      </c>
      <c r="R833">
        <v>60</v>
      </c>
      <c r="S833" s="1" t="s">
        <v>2882</v>
      </c>
      <c r="T833" t="b">
        <v>1</v>
      </c>
    </row>
    <row r="834" spans="1:20" x14ac:dyDescent="0.25">
      <c r="A834" s="1" t="s">
        <v>2883</v>
      </c>
      <c r="B834" s="1" t="s">
        <v>403</v>
      </c>
      <c r="C834" s="1" t="s">
        <v>77</v>
      </c>
      <c r="D834" s="1" t="s">
        <v>315</v>
      </c>
      <c r="E834" s="1" t="s">
        <v>65</v>
      </c>
      <c r="F834" s="1" t="s">
        <v>25</v>
      </c>
      <c r="G834" s="2">
        <v>44699</v>
      </c>
      <c r="H834" s="2">
        <v>44700</v>
      </c>
      <c r="I834">
        <v>4</v>
      </c>
      <c r="J834">
        <v>1</v>
      </c>
      <c r="K834">
        <v>0</v>
      </c>
      <c r="L834" s="1" t="s">
        <v>26</v>
      </c>
      <c r="M834">
        <v>7.4</v>
      </c>
      <c r="N834">
        <v>23887.279999999999</v>
      </c>
      <c r="O834">
        <v>2454883.0299999998</v>
      </c>
      <c r="P834">
        <v>434840.4</v>
      </c>
      <c r="Q834" s="1" t="s">
        <v>2884</v>
      </c>
      <c r="R834">
        <v>80</v>
      </c>
      <c r="S834" s="1" t="s">
        <v>2885</v>
      </c>
      <c r="T834" t="b">
        <v>0</v>
      </c>
    </row>
    <row r="835" spans="1:20" x14ac:dyDescent="0.25">
      <c r="A835" s="1" t="s">
        <v>2886</v>
      </c>
      <c r="B835" s="1" t="s">
        <v>328</v>
      </c>
      <c r="C835" s="1" t="s">
        <v>950</v>
      </c>
      <c r="D835" s="1" t="s">
        <v>72</v>
      </c>
      <c r="E835" s="1" t="s">
        <v>24</v>
      </c>
      <c r="F835" s="1" t="s">
        <v>66</v>
      </c>
      <c r="G835" s="2">
        <v>45391</v>
      </c>
      <c r="H835" s="2"/>
      <c r="I835">
        <v>3</v>
      </c>
      <c r="J835">
        <v>4</v>
      </c>
      <c r="K835">
        <v>1</v>
      </c>
      <c r="L835" s="1" t="s">
        <v>26</v>
      </c>
      <c r="M835">
        <v>24</v>
      </c>
      <c r="N835">
        <v>98793.66</v>
      </c>
      <c r="O835">
        <v>639936.81000000006</v>
      </c>
      <c r="P835">
        <v>76563.259999999995</v>
      </c>
      <c r="Q835" s="1" t="s">
        <v>2887</v>
      </c>
      <c r="R835">
        <v>77</v>
      </c>
      <c r="S835" s="1" t="s">
        <v>2888</v>
      </c>
      <c r="T835" t="b">
        <v>0</v>
      </c>
    </row>
    <row r="836" spans="1:20" x14ac:dyDescent="0.25">
      <c r="A836" s="1" t="s">
        <v>2889</v>
      </c>
      <c r="B836" s="1" t="s">
        <v>169</v>
      </c>
      <c r="C836" s="1" t="s">
        <v>1999</v>
      </c>
      <c r="D836" s="1" t="s">
        <v>315</v>
      </c>
      <c r="E836" s="1" t="s">
        <v>65</v>
      </c>
      <c r="F836" s="1" t="s">
        <v>25</v>
      </c>
      <c r="G836" s="2">
        <v>45345</v>
      </c>
      <c r="H836" s="2">
        <v>45351</v>
      </c>
      <c r="I836">
        <v>4</v>
      </c>
      <c r="J836">
        <v>6</v>
      </c>
      <c r="K836">
        <v>1.5</v>
      </c>
      <c r="L836" s="1" t="s">
        <v>26</v>
      </c>
      <c r="M836">
        <v>25.7</v>
      </c>
      <c r="N836">
        <v>80068.31</v>
      </c>
      <c r="O836">
        <v>3754053.76</v>
      </c>
      <c r="P836">
        <v>466064.54</v>
      </c>
      <c r="Q836" s="1" t="s">
        <v>2890</v>
      </c>
      <c r="R836">
        <v>70</v>
      </c>
      <c r="S836" s="1" t="s">
        <v>2891</v>
      </c>
      <c r="T836" t="b">
        <v>0</v>
      </c>
    </row>
    <row r="837" spans="1:20" x14ac:dyDescent="0.25">
      <c r="A837" s="1" t="s">
        <v>2892</v>
      </c>
      <c r="B837" s="1" t="s">
        <v>76</v>
      </c>
      <c r="C837" s="1" t="s">
        <v>918</v>
      </c>
      <c r="D837" s="1" t="s">
        <v>176</v>
      </c>
      <c r="E837" s="1" t="s">
        <v>57</v>
      </c>
      <c r="F837" s="1" t="s">
        <v>25</v>
      </c>
      <c r="G837" s="2">
        <v>45373</v>
      </c>
      <c r="H837" s="2">
        <v>45394</v>
      </c>
      <c r="I837">
        <v>40</v>
      </c>
      <c r="J837">
        <v>21</v>
      </c>
      <c r="K837">
        <v>0</v>
      </c>
      <c r="L837" s="1" t="s">
        <v>26</v>
      </c>
      <c r="M837">
        <v>310.89999999999998</v>
      </c>
      <c r="N837">
        <v>1318182.3999999999</v>
      </c>
      <c r="O837">
        <v>1272070.57</v>
      </c>
      <c r="P837">
        <v>362438.35</v>
      </c>
      <c r="Q837" s="1" t="s">
        <v>2893</v>
      </c>
      <c r="R837">
        <v>46</v>
      </c>
      <c r="S837" s="1" t="s">
        <v>2894</v>
      </c>
      <c r="T837" t="b">
        <v>1</v>
      </c>
    </row>
    <row r="838" spans="1:20" x14ac:dyDescent="0.25">
      <c r="A838" s="1" t="s">
        <v>2895</v>
      </c>
      <c r="B838" s="1" t="s">
        <v>566</v>
      </c>
      <c r="C838" s="1" t="s">
        <v>229</v>
      </c>
      <c r="D838" s="1" t="s">
        <v>622</v>
      </c>
      <c r="E838" s="1" t="s">
        <v>57</v>
      </c>
      <c r="F838" s="1" t="s">
        <v>34</v>
      </c>
      <c r="G838" s="2">
        <v>45064</v>
      </c>
      <c r="H838" s="2"/>
      <c r="I838">
        <v>40</v>
      </c>
      <c r="J838">
        <v>26</v>
      </c>
      <c r="K838">
        <v>0</v>
      </c>
      <c r="L838" s="1" t="s">
        <v>26</v>
      </c>
      <c r="M838">
        <v>196.2</v>
      </c>
      <c r="N838">
        <v>381299.44</v>
      </c>
      <c r="O838">
        <v>2330796.19</v>
      </c>
      <c r="P838">
        <v>376047.48</v>
      </c>
      <c r="Q838" s="1" t="s">
        <v>2896</v>
      </c>
      <c r="R838">
        <v>72</v>
      </c>
      <c r="S838" s="1" t="s">
        <v>2897</v>
      </c>
      <c r="T838" t="b">
        <v>0</v>
      </c>
    </row>
    <row r="839" spans="1:20" x14ac:dyDescent="0.25">
      <c r="A839" s="1" t="s">
        <v>2898</v>
      </c>
      <c r="B839" s="1" t="s">
        <v>99</v>
      </c>
      <c r="C839" s="1" t="s">
        <v>455</v>
      </c>
      <c r="D839" s="1" t="s">
        <v>107</v>
      </c>
      <c r="E839" s="1" t="s">
        <v>65</v>
      </c>
      <c r="F839" s="1" t="s">
        <v>25</v>
      </c>
      <c r="G839" s="2">
        <v>44644</v>
      </c>
      <c r="H839" s="2">
        <v>44650</v>
      </c>
      <c r="I839">
        <v>4</v>
      </c>
      <c r="J839">
        <v>6</v>
      </c>
      <c r="K839">
        <v>1.5</v>
      </c>
      <c r="L839" s="1" t="s">
        <v>26</v>
      </c>
      <c r="M839">
        <v>47.9</v>
      </c>
      <c r="N839">
        <v>126356.5</v>
      </c>
      <c r="O839">
        <v>2538520.61</v>
      </c>
      <c r="P839">
        <v>269434.05</v>
      </c>
      <c r="Q839" s="1" t="s">
        <v>2899</v>
      </c>
      <c r="R839">
        <v>21</v>
      </c>
      <c r="S839" s="1" t="s">
        <v>2900</v>
      </c>
      <c r="T839" t="b">
        <v>1</v>
      </c>
    </row>
    <row r="840" spans="1:20" x14ac:dyDescent="0.25">
      <c r="A840" s="1" t="s">
        <v>2901</v>
      </c>
      <c r="B840" s="1" t="s">
        <v>403</v>
      </c>
      <c r="C840" s="1" t="s">
        <v>896</v>
      </c>
      <c r="D840" s="1" t="s">
        <v>1022</v>
      </c>
      <c r="E840" s="1" t="s">
        <v>24</v>
      </c>
      <c r="F840" s="1" t="s">
        <v>25</v>
      </c>
      <c r="G840" s="2">
        <v>45629</v>
      </c>
      <c r="H840" s="2">
        <v>45633</v>
      </c>
      <c r="I840">
        <v>3</v>
      </c>
      <c r="J840">
        <v>4</v>
      </c>
      <c r="K840">
        <v>1</v>
      </c>
      <c r="L840" s="1" t="s">
        <v>26</v>
      </c>
      <c r="M840">
        <v>35.4</v>
      </c>
      <c r="N840">
        <v>140041.70000000001</v>
      </c>
      <c r="O840">
        <v>2306851.9500000002</v>
      </c>
      <c r="P840">
        <v>396830.53</v>
      </c>
      <c r="Q840" s="1" t="s">
        <v>2902</v>
      </c>
      <c r="R840">
        <v>76</v>
      </c>
      <c r="S840" s="1" t="s">
        <v>2903</v>
      </c>
      <c r="T840" t="b">
        <v>0</v>
      </c>
    </row>
    <row r="841" spans="1:20" x14ac:dyDescent="0.25">
      <c r="A841" s="1" t="s">
        <v>2904</v>
      </c>
      <c r="B841" s="1" t="s">
        <v>128</v>
      </c>
      <c r="C841" s="1" t="s">
        <v>2318</v>
      </c>
      <c r="D841" s="1" t="s">
        <v>187</v>
      </c>
      <c r="E841" s="1" t="s">
        <v>65</v>
      </c>
      <c r="F841" s="1" t="s">
        <v>50</v>
      </c>
      <c r="G841" s="2">
        <v>45560</v>
      </c>
      <c r="H841" s="2"/>
      <c r="I841">
        <v>4</v>
      </c>
      <c r="J841">
        <v>1</v>
      </c>
      <c r="K841">
        <v>0</v>
      </c>
      <c r="L841" s="1" t="s">
        <v>26</v>
      </c>
      <c r="M841">
        <v>12</v>
      </c>
      <c r="N841">
        <v>39354.870000000003</v>
      </c>
      <c r="O841">
        <v>3747197.23</v>
      </c>
      <c r="P841">
        <v>570234.96</v>
      </c>
      <c r="Q841" s="1" t="s">
        <v>2905</v>
      </c>
      <c r="R841">
        <v>65</v>
      </c>
      <c r="S841" s="1" t="s">
        <v>2906</v>
      </c>
      <c r="T841" t="b">
        <v>0</v>
      </c>
    </row>
    <row r="842" spans="1:20" x14ac:dyDescent="0.25">
      <c r="A842" s="1" t="s">
        <v>2907</v>
      </c>
      <c r="B842" s="1" t="s">
        <v>111</v>
      </c>
      <c r="C842" s="1" t="s">
        <v>1126</v>
      </c>
      <c r="D842" s="1" t="s">
        <v>420</v>
      </c>
      <c r="E842" s="1" t="s">
        <v>57</v>
      </c>
      <c r="F842" s="1" t="s">
        <v>25</v>
      </c>
      <c r="G842" s="2">
        <v>45109</v>
      </c>
      <c r="H842" s="2">
        <v>45141</v>
      </c>
      <c r="I842">
        <v>40</v>
      </c>
      <c r="J842">
        <v>32</v>
      </c>
      <c r="K842">
        <v>0</v>
      </c>
      <c r="L842" s="1" t="s">
        <v>26</v>
      </c>
      <c r="M842">
        <v>163.80000000000001</v>
      </c>
      <c r="N842">
        <v>464618.99</v>
      </c>
      <c r="O842">
        <v>1978053.04</v>
      </c>
      <c r="P842">
        <v>254499.96</v>
      </c>
      <c r="Q842" s="1" t="s">
        <v>2908</v>
      </c>
      <c r="R842">
        <v>32</v>
      </c>
      <c r="S842" s="1" t="s">
        <v>2909</v>
      </c>
      <c r="T842" t="b">
        <v>0</v>
      </c>
    </row>
    <row r="843" spans="1:20" x14ac:dyDescent="0.25">
      <c r="A843" s="1" t="s">
        <v>2910</v>
      </c>
      <c r="B843" s="1" t="s">
        <v>82</v>
      </c>
      <c r="C843" s="1" t="s">
        <v>301</v>
      </c>
      <c r="D843" s="1" t="s">
        <v>216</v>
      </c>
      <c r="E843" s="1" t="s">
        <v>65</v>
      </c>
      <c r="F843" s="1" t="s">
        <v>66</v>
      </c>
      <c r="G843" s="2">
        <v>44872</v>
      </c>
      <c r="H843" s="2"/>
      <c r="I843">
        <v>4</v>
      </c>
      <c r="J843">
        <v>5</v>
      </c>
      <c r="K843">
        <v>0.5</v>
      </c>
      <c r="L843" s="1" t="s">
        <v>26</v>
      </c>
      <c r="M843">
        <v>79.400000000000006</v>
      </c>
      <c r="N843">
        <v>188071.85</v>
      </c>
      <c r="O843">
        <v>4955222.2300000004</v>
      </c>
      <c r="P843">
        <v>598366.43000000005</v>
      </c>
      <c r="Q843" s="1" t="s">
        <v>2911</v>
      </c>
      <c r="R843">
        <v>78</v>
      </c>
      <c r="S843" s="1" t="s">
        <v>2912</v>
      </c>
      <c r="T843" t="b">
        <v>1</v>
      </c>
    </row>
    <row r="844" spans="1:20" x14ac:dyDescent="0.25">
      <c r="A844" s="1" t="s">
        <v>2913</v>
      </c>
      <c r="B844" s="1" t="s">
        <v>185</v>
      </c>
      <c r="C844" s="1" t="s">
        <v>2273</v>
      </c>
      <c r="D844" s="1" t="s">
        <v>202</v>
      </c>
      <c r="E844" s="1" t="s">
        <v>33</v>
      </c>
      <c r="F844" s="1" t="s">
        <v>25</v>
      </c>
      <c r="G844" s="2">
        <v>45572</v>
      </c>
      <c r="H844" s="2">
        <v>45588</v>
      </c>
      <c r="I844">
        <v>12</v>
      </c>
      <c r="J844">
        <v>16</v>
      </c>
      <c r="K844">
        <v>4</v>
      </c>
      <c r="L844" s="1" t="s">
        <v>330</v>
      </c>
      <c r="M844">
        <v>152.19999999999999</v>
      </c>
      <c r="N844">
        <v>643561.62</v>
      </c>
      <c r="O844">
        <v>3087823.79</v>
      </c>
      <c r="P844">
        <v>738612.12</v>
      </c>
      <c r="Q844" s="1" t="s">
        <v>2914</v>
      </c>
      <c r="R844">
        <v>76</v>
      </c>
      <c r="S844" s="1" t="s">
        <v>2915</v>
      </c>
      <c r="T844" t="b">
        <v>0</v>
      </c>
    </row>
    <row r="845" spans="1:20" x14ac:dyDescent="0.25">
      <c r="A845" s="1" t="s">
        <v>2916</v>
      </c>
      <c r="B845" s="1" t="s">
        <v>54</v>
      </c>
      <c r="C845" s="1" t="s">
        <v>1560</v>
      </c>
      <c r="D845" s="1" t="s">
        <v>350</v>
      </c>
      <c r="E845" s="1" t="s">
        <v>49</v>
      </c>
      <c r="F845" s="1" t="s">
        <v>25</v>
      </c>
      <c r="G845" s="2">
        <v>45230</v>
      </c>
      <c r="H845" s="2">
        <v>45261</v>
      </c>
      <c r="I845">
        <v>25</v>
      </c>
      <c r="J845">
        <v>31</v>
      </c>
      <c r="K845">
        <v>6</v>
      </c>
      <c r="L845" s="1" t="s">
        <v>193</v>
      </c>
      <c r="M845">
        <v>377.7</v>
      </c>
      <c r="N845">
        <v>1410604.9</v>
      </c>
      <c r="O845">
        <v>2605040.92</v>
      </c>
      <c r="P845">
        <v>513586.89</v>
      </c>
      <c r="Q845" s="1" t="s">
        <v>2917</v>
      </c>
      <c r="R845">
        <v>37</v>
      </c>
      <c r="S845" s="1" t="s">
        <v>2918</v>
      </c>
      <c r="T845" t="b">
        <v>0</v>
      </c>
    </row>
    <row r="846" spans="1:20" x14ac:dyDescent="0.25">
      <c r="A846" s="1" t="s">
        <v>2919</v>
      </c>
      <c r="B846" s="1" t="s">
        <v>93</v>
      </c>
      <c r="C846" s="1" t="s">
        <v>2880</v>
      </c>
      <c r="D846" s="1" t="s">
        <v>216</v>
      </c>
      <c r="E846" s="1" t="s">
        <v>24</v>
      </c>
      <c r="F846" s="1" t="s">
        <v>25</v>
      </c>
      <c r="G846" s="2">
        <v>45604</v>
      </c>
      <c r="H846" s="2">
        <v>45608</v>
      </c>
      <c r="I846">
        <v>3</v>
      </c>
      <c r="J846">
        <v>4</v>
      </c>
      <c r="K846">
        <v>1</v>
      </c>
      <c r="L846" s="1" t="s">
        <v>26</v>
      </c>
      <c r="M846">
        <v>18.5</v>
      </c>
      <c r="N846">
        <v>62855.06</v>
      </c>
      <c r="O846">
        <v>4010352.26</v>
      </c>
      <c r="P846">
        <v>512263.77</v>
      </c>
      <c r="Q846" s="1" t="s">
        <v>2920</v>
      </c>
      <c r="R846">
        <v>77</v>
      </c>
      <c r="S846" s="1" t="s">
        <v>2921</v>
      </c>
      <c r="T846" t="b">
        <v>1</v>
      </c>
    </row>
    <row r="847" spans="1:20" x14ac:dyDescent="0.25">
      <c r="A847" s="1" t="s">
        <v>2922</v>
      </c>
      <c r="B847" s="1" t="s">
        <v>451</v>
      </c>
      <c r="C847" s="1" t="s">
        <v>717</v>
      </c>
      <c r="D847" s="1" t="s">
        <v>541</v>
      </c>
      <c r="E847" s="1" t="s">
        <v>41</v>
      </c>
      <c r="F847" s="1" t="s">
        <v>66</v>
      </c>
      <c r="G847" s="2">
        <v>44763</v>
      </c>
      <c r="H847" s="2"/>
      <c r="I847">
        <v>9</v>
      </c>
      <c r="J847">
        <v>11</v>
      </c>
      <c r="K847">
        <v>2</v>
      </c>
      <c r="L847" s="1" t="s">
        <v>26</v>
      </c>
      <c r="M847">
        <v>91.9</v>
      </c>
      <c r="N847">
        <v>349662.37</v>
      </c>
      <c r="O847">
        <v>2102264.7400000002</v>
      </c>
      <c r="P847">
        <v>326403.76</v>
      </c>
      <c r="Q847" s="1" t="s">
        <v>2923</v>
      </c>
      <c r="R847">
        <v>40</v>
      </c>
      <c r="S847" s="1" t="s">
        <v>2924</v>
      </c>
      <c r="T847" t="b">
        <v>1</v>
      </c>
    </row>
    <row r="848" spans="1:20" x14ac:dyDescent="0.25">
      <c r="A848" s="1" t="s">
        <v>2925</v>
      </c>
      <c r="B848" s="1" t="s">
        <v>30</v>
      </c>
      <c r="C848" s="1" t="s">
        <v>476</v>
      </c>
      <c r="D848" s="1" t="s">
        <v>130</v>
      </c>
      <c r="E848" s="1" t="s">
        <v>65</v>
      </c>
      <c r="F848" s="1" t="s">
        <v>50</v>
      </c>
      <c r="G848" s="2">
        <v>45454</v>
      </c>
      <c r="H848" s="2"/>
      <c r="I848">
        <v>4</v>
      </c>
      <c r="J848">
        <v>7</v>
      </c>
      <c r="K848">
        <v>2.5</v>
      </c>
      <c r="L848" s="1" t="s">
        <v>26</v>
      </c>
      <c r="M848">
        <v>40.9</v>
      </c>
      <c r="N848">
        <v>125872.62</v>
      </c>
      <c r="O848">
        <v>162671.60999999999</v>
      </c>
      <c r="P848">
        <v>55908.160000000003</v>
      </c>
      <c r="Q848" s="1" t="s">
        <v>2926</v>
      </c>
      <c r="R848">
        <v>33</v>
      </c>
      <c r="S848" s="1" t="s">
        <v>2927</v>
      </c>
      <c r="T848" t="b">
        <v>0</v>
      </c>
    </row>
    <row r="849" spans="1:20" x14ac:dyDescent="0.25">
      <c r="A849" s="1" t="s">
        <v>2928</v>
      </c>
      <c r="B849" s="1" t="s">
        <v>158</v>
      </c>
      <c r="C849" s="1" t="s">
        <v>1769</v>
      </c>
      <c r="D849" s="1" t="s">
        <v>359</v>
      </c>
      <c r="E849" s="1" t="s">
        <v>57</v>
      </c>
      <c r="F849" s="1" t="s">
        <v>25</v>
      </c>
      <c r="G849" s="2">
        <v>45442</v>
      </c>
      <c r="H849" s="2">
        <v>45477</v>
      </c>
      <c r="I849">
        <v>40</v>
      </c>
      <c r="J849">
        <v>35</v>
      </c>
      <c r="K849">
        <v>0</v>
      </c>
      <c r="L849" s="1" t="s">
        <v>26</v>
      </c>
      <c r="M849">
        <v>396.4</v>
      </c>
      <c r="N849">
        <v>890003.21</v>
      </c>
      <c r="O849">
        <v>804368.08</v>
      </c>
      <c r="P849">
        <v>224867.28</v>
      </c>
      <c r="Q849" s="1" t="s">
        <v>2929</v>
      </c>
      <c r="R849">
        <v>67</v>
      </c>
      <c r="S849" s="1" t="s">
        <v>2930</v>
      </c>
      <c r="T849" t="b">
        <v>1</v>
      </c>
    </row>
    <row r="850" spans="1:20" x14ac:dyDescent="0.25">
      <c r="A850" s="1" t="s">
        <v>2931</v>
      </c>
      <c r="B850" s="1" t="s">
        <v>451</v>
      </c>
      <c r="C850" s="1" t="s">
        <v>379</v>
      </c>
      <c r="D850" s="1" t="s">
        <v>582</v>
      </c>
      <c r="E850" s="1" t="s">
        <v>49</v>
      </c>
      <c r="F850" s="1" t="s">
        <v>25</v>
      </c>
      <c r="G850" s="2">
        <v>44869</v>
      </c>
      <c r="H850" s="2">
        <v>44894</v>
      </c>
      <c r="I850">
        <v>25</v>
      </c>
      <c r="J850">
        <v>25</v>
      </c>
      <c r="K850">
        <v>0</v>
      </c>
      <c r="L850" s="1" t="s">
        <v>26</v>
      </c>
      <c r="M850">
        <v>369</v>
      </c>
      <c r="N850">
        <v>1595117.07</v>
      </c>
      <c r="O850">
        <v>3970011.02</v>
      </c>
      <c r="P850">
        <v>944615.66</v>
      </c>
      <c r="Q850" s="1" t="s">
        <v>2932</v>
      </c>
      <c r="R850">
        <v>28</v>
      </c>
      <c r="S850" s="1" t="s">
        <v>2933</v>
      </c>
      <c r="T850" t="b">
        <v>0</v>
      </c>
    </row>
    <row r="851" spans="1:20" x14ac:dyDescent="0.25">
      <c r="A851" s="1" t="s">
        <v>2934</v>
      </c>
      <c r="B851" s="1" t="s">
        <v>158</v>
      </c>
      <c r="C851" s="1" t="s">
        <v>2815</v>
      </c>
      <c r="D851" s="1" t="s">
        <v>320</v>
      </c>
      <c r="E851" s="1" t="s">
        <v>41</v>
      </c>
      <c r="F851" s="1" t="s">
        <v>34</v>
      </c>
      <c r="G851" s="2">
        <v>45313</v>
      </c>
      <c r="H851" s="2"/>
      <c r="I851">
        <v>9</v>
      </c>
      <c r="J851">
        <v>14</v>
      </c>
      <c r="K851">
        <v>5</v>
      </c>
      <c r="L851" s="1" t="s">
        <v>26</v>
      </c>
      <c r="M851">
        <v>116</v>
      </c>
      <c r="N851">
        <v>387949.54</v>
      </c>
      <c r="O851">
        <v>211744.86</v>
      </c>
      <c r="P851">
        <v>113514.94</v>
      </c>
      <c r="Q851" s="1" t="s">
        <v>2935</v>
      </c>
      <c r="R851">
        <v>20</v>
      </c>
      <c r="S851" s="1" t="s">
        <v>2936</v>
      </c>
      <c r="T851" t="b">
        <v>1</v>
      </c>
    </row>
    <row r="852" spans="1:20" x14ac:dyDescent="0.25">
      <c r="A852" s="1" t="s">
        <v>2937</v>
      </c>
      <c r="B852" s="1" t="s">
        <v>418</v>
      </c>
      <c r="C852" s="1" t="s">
        <v>1486</v>
      </c>
      <c r="D852" s="1" t="s">
        <v>154</v>
      </c>
      <c r="E852" s="1" t="s">
        <v>65</v>
      </c>
      <c r="F852" s="1" t="s">
        <v>50</v>
      </c>
      <c r="G852" s="2">
        <v>44910</v>
      </c>
      <c r="H852" s="2"/>
      <c r="I852">
        <v>4</v>
      </c>
      <c r="J852">
        <v>8</v>
      </c>
      <c r="K852">
        <v>3.5</v>
      </c>
      <c r="L852" s="1" t="s">
        <v>58</v>
      </c>
      <c r="M852">
        <v>42.3</v>
      </c>
      <c r="N852">
        <v>143908.81</v>
      </c>
      <c r="O852">
        <v>3081021.07</v>
      </c>
      <c r="P852">
        <v>492152.52</v>
      </c>
      <c r="Q852" s="1" t="s">
        <v>2938</v>
      </c>
      <c r="R852">
        <v>61</v>
      </c>
      <c r="S852" s="1" t="s">
        <v>2939</v>
      </c>
      <c r="T852" t="b">
        <v>1</v>
      </c>
    </row>
    <row r="853" spans="1:20" x14ac:dyDescent="0.25">
      <c r="A853" s="1" t="s">
        <v>2940</v>
      </c>
      <c r="B853" s="1" t="s">
        <v>328</v>
      </c>
      <c r="C853" s="1" t="s">
        <v>229</v>
      </c>
      <c r="D853" s="1" t="s">
        <v>315</v>
      </c>
      <c r="E853" s="1" t="s">
        <v>49</v>
      </c>
      <c r="F853" s="1" t="s">
        <v>25</v>
      </c>
      <c r="G853" s="2">
        <v>45578</v>
      </c>
      <c r="H853" s="2">
        <v>45610</v>
      </c>
      <c r="I853">
        <v>25</v>
      </c>
      <c r="J853">
        <v>32</v>
      </c>
      <c r="K853">
        <v>7</v>
      </c>
      <c r="L853" s="1" t="s">
        <v>26</v>
      </c>
      <c r="M853">
        <v>236.9</v>
      </c>
      <c r="N853">
        <v>678046.27</v>
      </c>
      <c r="O853">
        <v>1699901.46</v>
      </c>
      <c r="P853">
        <v>276509.31</v>
      </c>
      <c r="Q853" s="1" t="s">
        <v>2941</v>
      </c>
      <c r="R853">
        <v>65</v>
      </c>
      <c r="S853" s="1" t="s">
        <v>2942</v>
      </c>
      <c r="T853" t="b">
        <v>0</v>
      </c>
    </row>
    <row r="854" spans="1:20" x14ac:dyDescent="0.25">
      <c r="A854" s="1" t="s">
        <v>2943</v>
      </c>
      <c r="B854" s="1" t="s">
        <v>105</v>
      </c>
      <c r="C854" s="1" t="s">
        <v>946</v>
      </c>
      <c r="D854" s="1" t="s">
        <v>686</v>
      </c>
      <c r="E854" s="1" t="s">
        <v>57</v>
      </c>
      <c r="F854" s="1" t="s">
        <v>50</v>
      </c>
      <c r="G854" s="2">
        <v>45418</v>
      </c>
      <c r="H854" s="2"/>
      <c r="I854">
        <v>40</v>
      </c>
      <c r="J854">
        <v>39</v>
      </c>
      <c r="K854">
        <v>0</v>
      </c>
      <c r="L854" s="1" t="s">
        <v>26</v>
      </c>
      <c r="M854">
        <v>467.8</v>
      </c>
      <c r="N854">
        <v>1107973.8500000001</v>
      </c>
      <c r="O854">
        <v>2311820.94</v>
      </c>
      <c r="P854">
        <v>582471.29</v>
      </c>
      <c r="Q854" s="1" t="s">
        <v>2944</v>
      </c>
      <c r="R854">
        <v>48</v>
      </c>
      <c r="S854" s="1" t="s">
        <v>2945</v>
      </c>
      <c r="T854" t="b">
        <v>1</v>
      </c>
    </row>
    <row r="855" spans="1:20" x14ac:dyDescent="0.25">
      <c r="A855" s="1" t="s">
        <v>2946</v>
      </c>
      <c r="B855" s="1" t="s">
        <v>99</v>
      </c>
      <c r="C855" s="1" t="s">
        <v>262</v>
      </c>
      <c r="D855" s="1" t="s">
        <v>297</v>
      </c>
      <c r="E855" s="1" t="s">
        <v>41</v>
      </c>
      <c r="F855" s="1" t="s">
        <v>25</v>
      </c>
      <c r="G855" s="2">
        <v>44867</v>
      </c>
      <c r="H855" s="2">
        <v>44874</v>
      </c>
      <c r="I855">
        <v>9</v>
      </c>
      <c r="J855">
        <v>7</v>
      </c>
      <c r="K855">
        <v>0</v>
      </c>
      <c r="L855" s="1" t="s">
        <v>26</v>
      </c>
      <c r="M855">
        <v>92.7</v>
      </c>
      <c r="N855">
        <v>338990.89</v>
      </c>
      <c r="O855">
        <v>2900558.82</v>
      </c>
      <c r="P855">
        <v>556762.13</v>
      </c>
      <c r="Q855" s="1" t="s">
        <v>2947</v>
      </c>
      <c r="R855">
        <v>65</v>
      </c>
      <c r="S855" s="1" t="s">
        <v>2948</v>
      </c>
      <c r="T855" t="b">
        <v>1</v>
      </c>
    </row>
    <row r="856" spans="1:20" x14ac:dyDescent="0.25">
      <c r="A856" s="1" t="s">
        <v>2949</v>
      </c>
      <c r="B856" s="1" t="s">
        <v>46</v>
      </c>
      <c r="C856" s="1" t="s">
        <v>1062</v>
      </c>
      <c r="D856" s="1" t="s">
        <v>216</v>
      </c>
      <c r="E856" s="1" t="s">
        <v>41</v>
      </c>
      <c r="F856" s="1" t="s">
        <v>25</v>
      </c>
      <c r="G856" s="2">
        <v>45531</v>
      </c>
      <c r="H856" s="2">
        <v>45539</v>
      </c>
      <c r="I856">
        <v>9</v>
      </c>
      <c r="J856">
        <v>8</v>
      </c>
      <c r="K856">
        <v>0</v>
      </c>
      <c r="L856" s="1" t="s">
        <v>26</v>
      </c>
      <c r="M856">
        <v>47</v>
      </c>
      <c r="N856">
        <v>108899.9</v>
      </c>
      <c r="O856">
        <v>339616.2</v>
      </c>
      <c r="P856">
        <v>46259.03</v>
      </c>
      <c r="Q856" s="1" t="s">
        <v>2950</v>
      </c>
      <c r="R856">
        <v>62</v>
      </c>
      <c r="S856" s="1" t="s">
        <v>2951</v>
      </c>
      <c r="T856" t="b">
        <v>0</v>
      </c>
    </row>
    <row r="857" spans="1:20" x14ac:dyDescent="0.25">
      <c r="A857" s="1" t="s">
        <v>2952</v>
      </c>
      <c r="B857" s="1" t="s">
        <v>46</v>
      </c>
      <c r="C857" s="1" t="s">
        <v>440</v>
      </c>
      <c r="D857" s="1" t="s">
        <v>32</v>
      </c>
      <c r="E857" s="1" t="s">
        <v>65</v>
      </c>
      <c r="F857" s="1" t="s">
        <v>25</v>
      </c>
      <c r="G857" s="2">
        <v>45224</v>
      </c>
      <c r="H857" s="2">
        <v>45230</v>
      </c>
      <c r="I857">
        <v>4</v>
      </c>
      <c r="J857">
        <v>6</v>
      </c>
      <c r="K857">
        <v>1.5</v>
      </c>
      <c r="L857" s="1" t="s">
        <v>26</v>
      </c>
      <c r="M857">
        <v>77.7</v>
      </c>
      <c r="N857">
        <v>288262.2</v>
      </c>
      <c r="O857">
        <v>3295440.02</v>
      </c>
      <c r="P857">
        <v>701712.23</v>
      </c>
      <c r="Q857" s="1" t="s">
        <v>2953</v>
      </c>
      <c r="R857">
        <v>70</v>
      </c>
      <c r="S857" s="1" t="s">
        <v>2954</v>
      </c>
      <c r="T857" t="b">
        <v>1</v>
      </c>
    </row>
    <row r="858" spans="1:20" x14ac:dyDescent="0.25">
      <c r="A858" s="1" t="s">
        <v>2955</v>
      </c>
      <c r="B858" s="1" t="s">
        <v>111</v>
      </c>
      <c r="C858" s="1" t="s">
        <v>512</v>
      </c>
      <c r="D858" s="1" t="s">
        <v>113</v>
      </c>
      <c r="E858" s="1" t="s">
        <v>65</v>
      </c>
      <c r="F858" s="1" t="s">
        <v>25</v>
      </c>
      <c r="G858" s="2">
        <v>45075</v>
      </c>
      <c r="H858" s="2">
        <v>45083</v>
      </c>
      <c r="I858">
        <v>4</v>
      </c>
      <c r="J858">
        <v>8</v>
      </c>
      <c r="K858">
        <v>3.5</v>
      </c>
      <c r="L858" s="1" t="s">
        <v>330</v>
      </c>
      <c r="M858">
        <v>116.1</v>
      </c>
      <c r="N858">
        <v>313853.34999999998</v>
      </c>
      <c r="O858">
        <v>219707.12</v>
      </c>
      <c r="P858">
        <v>60844.09</v>
      </c>
      <c r="Q858" s="1" t="s">
        <v>2956</v>
      </c>
      <c r="R858">
        <v>22</v>
      </c>
      <c r="S858" s="1" t="s">
        <v>2957</v>
      </c>
      <c r="T858" t="b">
        <v>1</v>
      </c>
    </row>
    <row r="859" spans="1:20" x14ac:dyDescent="0.25">
      <c r="A859" s="1" t="s">
        <v>2958</v>
      </c>
      <c r="B859" s="1" t="s">
        <v>228</v>
      </c>
      <c r="C859" s="1" t="s">
        <v>221</v>
      </c>
      <c r="D859" s="1" t="s">
        <v>84</v>
      </c>
      <c r="E859" s="1" t="s">
        <v>41</v>
      </c>
      <c r="F859" s="1" t="s">
        <v>25</v>
      </c>
      <c r="G859" s="2">
        <v>45300</v>
      </c>
      <c r="H859" s="2">
        <v>45315</v>
      </c>
      <c r="I859">
        <v>9</v>
      </c>
      <c r="J859">
        <v>15</v>
      </c>
      <c r="K859">
        <v>6</v>
      </c>
      <c r="L859" s="1" t="s">
        <v>193</v>
      </c>
      <c r="M859">
        <v>170.7</v>
      </c>
      <c r="N859">
        <v>462662.81</v>
      </c>
      <c r="O859">
        <v>531940.29</v>
      </c>
      <c r="P859">
        <v>176200.71</v>
      </c>
      <c r="Q859" s="1" t="s">
        <v>2959</v>
      </c>
      <c r="R859">
        <v>53</v>
      </c>
      <c r="S859" s="1" t="s">
        <v>2960</v>
      </c>
      <c r="T859" t="b">
        <v>0</v>
      </c>
    </row>
    <row r="860" spans="1:20" x14ac:dyDescent="0.25">
      <c r="A860" s="1" t="s">
        <v>2961</v>
      </c>
      <c r="B860" s="1" t="s">
        <v>163</v>
      </c>
      <c r="C860" s="1" t="s">
        <v>281</v>
      </c>
      <c r="D860" s="1" t="s">
        <v>40</v>
      </c>
      <c r="E860" s="1" t="s">
        <v>49</v>
      </c>
      <c r="F860" s="1" t="s">
        <v>66</v>
      </c>
      <c r="G860" s="2">
        <v>45644</v>
      </c>
      <c r="H860" s="2"/>
      <c r="I860">
        <v>25</v>
      </c>
      <c r="J860">
        <v>39</v>
      </c>
      <c r="K860">
        <v>14</v>
      </c>
      <c r="L860" s="1" t="s">
        <v>26</v>
      </c>
      <c r="M860">
        <v>442.5</v>
      </c>
      <c r="N860">
        <v>1316141.77</v>
      </c>
      <c r="O860">
        <v>4749586.53</v>
      </c>
      <c r="P860">
        <v>1092000.6000000001</v>
      </c>
      <c r="Q860" s="1" t="s">
        <v>2962</v>
      </c>
      <c r="R860">
        <v>49</v>
      </c>
      <c r="S860" s="1" t="s">
        <v>2963</v>
      </c>
      <c r="T860" t="b">
        <v>1</v>
      </c>
    </row>
    <row r="861" spans="1:20" x14ac:dyDescent="0.25">
      <c r="A861" s="1" t="s">
        <v>2964</v>
      </c>
      <c r="B861" s="1" t="s">
        <v>566</v>
      </c>
      <c r="C861" s="1" t="s">
        <v>550</v>
      </c>
      <c r="D861" s="1" t="s">
        <v>268</v>
      </c>
      <c r="E861" s="1" t="s">
        <v>24</v>
      </c>
      <c r="F861" s="1" t="s">
        <v>25</v>
      </c>
      <c r="G861" s="2">
        <v>45144</v>
      </c>
      <c r="H861" s="2">
        <v>45148</v>
      </c>
      <c r="I861">
        <v>3</v>
      </c>
      <c r="J861">
        <v>4</v>
      </c>
      <c r="K861">
        <v>1</v>
      </c>
      <c r="L861" s="1" t="s">
        <v>26</v>
      </c>
      <c r="M861">
        <v>44.3</v>
      </c>
      <c r="N861">
        <v>195173.91</v>
      </c>
      <c r="O861">
        <v>323364.34999999998</v>
      </c>
      <c r="P861">
        <v>94869.31</v>
      </c>
      <c r="Q861" s="1" t="s">
        <v>2965</v>
      </c>
      <c r="R861">
        <v>79</v>
      </c>
      <c r="S861" s="1" t="s">
        <v>2966</v>
      </c>
      <c r="T861" t="b">
        <v>0</v>
      </c>
    </row>
    <row r="862" spans="1:20" x14ac:dyDescent="0.25">
      <c r="A862" s="1" t="s">
        <v>2967</v>
      </c>
      <c r="B862" s="1" t="s">
        <v>272</v>
      </c>
      <c r="C862" s="1" t="s">
        <v>2617</v>
      </c>
      <c r="D862" s="1" t="s">
        <v>268</v>
      </c>
      <c r="E862" s="1" t="s">
        <v>65</v>
      </c>
      <c r="F862" s="1" t="s">
        <v>25</v>
      </c>
      <c r="G862" s="2">
        <v>45018</v>
      </c>
      <c r="H862" s="2">
        <v>45023</v>
      </c>
      <c r="I862">
        <v>4</v>
      </c>
      <c r="J862">
        <v>5</v>
      </c>
      <c r="K862">
        <v>0.5</v>
      </c>
      <c r="L862" s="1" t="s">
        <v>26</v>
      </c>
      <c r="M862">
        <v>73.5</v>
      </c>
      <c r="N862">
        <v>301412.09000000003</v>
      </c>
      <c r="O862">
        <v>4085513.98</v>
      </c>
      <c r="P862">
        <v>731928.88</v>
      </c>
      <c r="Q862" s="1" t="s">
        <v>2968</v>
      </c>
      <c r="R862">
        <v>22</v>
      </c>
      <c r="S862" s="1" t="s">
        <v>2969</v>
      </c>
      <c r="T862" t="b">
        <v>1</v>
      </c>
    </row>
    <row r="863" spans="1:20" x14ac:dyDescent="0.25">
      <c r="A863" s="1" t="s">
        <v>2970</v>
      </c>
      <c r="B863" s="1" t="s">
        <v>38</v>
      </c>
      <c r="C863" s="1" t="s">
        <v>784</v>
      </c>
      <c r="D863" s="1" t="s">
        <v>726</v>
      </c>
      <c r="E863" s="1" t="s">
        <v>57</v>
      </c>
      <c r="F863" s="1" t="s">
        <v>25</v>
      </c>
      <c r="G863" s="2">
        <v>45482</v>
      </c>
      <c r="H863" s="2">
        <v>45502</v>
      </c>
      <c r="I863">
        <v>40</v>
      </c>
      <c r="J863">
        <v>20</v>
      </c>
      <c r="K863">
        <v>0</v>
      </c>
      <c r="L863" s="1" t="s">
        <v>26</v>
      </c>
      <c r="M863">
        <v>183.2</v>
      </c>
      <c r="N863">
        <v>803940.43</v>
      </c>
      <c r="O863">
        <v>4013931.98</v>
      </c>
      <c r="P863">
        <v>613620.94999999995</v>
      </c>
      <c r="Q863" s="1" t="s">
        <v>2971</v>
      </c>
      <c r="R863">
        <v>75</v>
      </c>
      <c r="S863" s="1" t="s">
        <v>2972</v>
      </c>
      <c r="T863" t="b">
        <v>0</v>
      </c>
    </row>
    <row r="864" spans="1:20" x14ac:dyDescent="0.25">
      <c r="A864" s="1" t="s">
        <v>2973</v>
      </c>
      <c r="B864" s="1" t="s">
        <v>228</v>
      </c>
      <c r="C864" s="1" t="s">
        <v>379</v>
      </c>
      <c r="D864" s="1" t="s">
        <v>282</v>
      </c>
      <c r="E864" s="1" t="s">
        <v>65</v>
      </c>
      <c r="F864" s="1" t="s">
        <v>66</v>
      </c>
      <c r="G864" s="2">
        <v>44666</v>
      </c>
      <c r="H864" s="2"/>
      <c r="I864">
        <v>4</v>
      </c>
      <c r="J864">
        <v>4</v>
      </c>
      <c r="K864">
        <v>0</v>
      </c>
      <c r="L864" s="1" t="s">
        <v>26</v>
      </c>
      <c r="M864">
        <v>41.6</v>
      </c>
      <c r="N864">
        <v>136920.99</v>
      </c>
      <c r="O864">
        <v>3900577.25</v>
      </c>
      <c r="P864">
        <v>749050.35</v>
      </c>
      <c r="Q864" s="1" t="s">
        <v>2974</v>
      </c>
      <c r="R864">
        <v>61</v>
      </c>
      <c r="S864" s="1" t="s">
        <v>2975</v>
      </c>
      <c r="T864" t="b">
        <v>1</v>
      </c>
    </row>
    <row r="865" spans="1:20" x14ac:dyDescent="0.25">
      <c r="A865" s="1" t="s">
        <v>2976</v>
      </c>
      <c r="B865" s="1" t="s">
        <v>174</v>
      </c>
      <c r="C865" s="1" t="s">
        <v>2977</v>
      </c>
      <c r="D865" s="1" t="s">
        <v>187</v>
      </c>
      <c r="E865" s="1" t="s">
        <v>41</v>
      </c>
      <c r="F865" s="1" t="s">
        <v>25</v>
      </c>
      <c r="G865" s="2">
        <v>44591</v>
      </c>
      <c r="H865" s="2">
        <v>44595</v>
      </c>
      <c r="I865">
        <v>9</v>
      </c>
      <c r="J865">
        <v>4</v>
      </c>
      <c r="K865">
        <v>0</v>
      </c>
      <c r="L865" s="1" t="s">
        <v>26</v>
      </c>
      <c r="M865">
        <v>31.8</v>
      </c>
      <c r="N865">
        <v>78326.899999999994</v>
      </c>
      <c r="O865">
        <v>2404523.9300000002</v>
      </c>
      <c r="P865">
        <v>272979.5</v>
      </c>
      <c r="Q865" s="1" t="s">
        <v>2978</v>
      </c>
      <c r="R865">
        <v>36</v>
      </c>
      <c r="S865" s="1" t="s">
        <v>2979</v>
      </c>
      <c r="T865" t="b">
        <v>0</v>
      </c>
    </row>
    <row r="866" spans="1:20" x14ac:dyDescent="0.25">
      <c r="A866" s="1" t="s">
        <v>2980</v>
      </c>
      <c r="B866" s="1" t="s">
        <v>82</v>
      </c>
      <c r="C866" s="1" t="s">
        <v>1780</v>
      </c>
      <c r="D866" s="1" t="s">
        <v>32</v>
      </c>
      <c r="E866" s="1" t="s">
        <v>65</v>
      </c>
      <c r="F866" s="1" t="s">
        <v>25</v>
      </c>
      <c r="G866" s="2">
        <v>44893</v>
      </c>
      <c r="H866" s="2">
        <v>44896</v>
      </c>
      <c r="I866">
        <v>4</v>
      </c>
      <c r="J866">
        <v>3</v>
      </c>
      <c r="K866">
        <v>0</v>
      </c>
      <c r="L866" s="1" t="s">
        <v>26</v>
      </c>
      <c r="M866">
        <v>25</v>
      </c>
      <c r="N866">
        <v>96643.76</v>
      </c>
      <c r="O866">
        <v>1451004.76</v>
      </c>
      <c r="P866">
        <v>309202.39</v>
      </c>
      <c r="Q866" s="1" t="s">
        <v>2981</v>
      </c>
      <c r="R866">
        <v>27</v>
      </c>
      <c r="S866" s="1" t="s">
        <v>2982</v>
      </c>
      <c r="T866" t="b">
        <v>1</v>
      </c>
    </row>
    <row r="867" spans="1:20" x14ac:dyDescent="0.25">
      <c r="A867" s="1" t="s">
        <v>2983</v>
      </c>
      <c r="B867" s="1" t="s">
        <v>122</v>
      </c>
      <c r="C867" s="1" t="s">
        <v>77</v>
      </c>
      <c r="D867" s="1" t="s">
        <v>726</v>
      </c>
      <c r="E867" s="1" t="s">
        <v>33</v>
      </c>
      <c r="F867" s="1" t="s">
        <v>50</v>
      </c>
      <c r="G867" s="2">
        <v>45052</v>
      </c>
      <c r="H867" s="2"/>
      <c r="I867">
        <v>12</v>
      </c>
      <c r="J867">
        <v>18</v>
      </c>
      <c r="K867">
        <v>6</v>
      </c>
      <c r="L867" s="1" t="s">
        <v>42</v>
      </c>
      <c r="M867">
        <v>243.6</v>
      </c>
      <c r="N867">
        <v>1059607.03</v>
      </c>
      <c r="O867">
        <v>4826066.9400000004</v>
      </c>
      <c r="P867">
        <v>655293.73</v>
      </c>
      <c r="Q867" s="1" t="s">
        <v>2984</v>
      </c>
      <c r="R867">
        <v>27</v>
      </c>
      <c r="S867" s="1" t="s">
        <v>2985</v>
      </c>
      <c r="T867" t="b">
        <v>0</v>
      </c>
    </row>
    <row r="868" spans="1:20" x14ac:dyDescent="0.25">
      <c r="A868" s="1" t="s">
        <v>2986</v>
      </c>
      <c r="B868" s="1" t="s">
        <v>158</v>
      </c>
      <c r="C868" s="1" t="s">
        <v>2987</v>
      </c>
      <c r="D868" s="1" t="s">
        <v>154</v>
      </c>
      <c r="E868" s="1" t="s">
        <v>33</v>
      </c>
      <c r="F868" s="1" t="s">
        <v>25</v>
      </c>
      <c r="G868" s="2">
        <v>45131</v>
      </c>
      <c r="H868" s="2">
        <v>45149</v>
      </c>
      <c r="I868">
        <v>12</v>
      </c>
      <c r="J868">
        <v>18</v>
      </c>
      <c r="K868">
        <v>6</v>
      </c>
      <c r="L868" s="1" t="s">
        <v>26</v>
      </c>
      <c r="M868">
        <v>91.9</v>
      </c>
      <c r="N868">
        <v>209189.77</v>
      </c>
      <c r="O868">
        <v>4034943.47</v>
      </c>
      <c r="P868">
        <v>655847.80000000005</v>
      </c>
      <c r="Q868" s="1" t="s">
        <v>2988</v>
      </c>
      <c r="R868">
        <v>29</v>
      </c>
      <c r="S868" s="1" t="s">
        <v>2989</v>
      </c>
      <c r="T868" t="b">
        <v>0</v>
      </c>
    </row>
    <row r="869" spans="1:20" x14ac:dyDescent="0.25">
      <c r="A869" s="1" t="s">
        <v>2990</v>
      </c>
      <c r="B869" s="1" t="s">
        <v>286</v>
      </c>
      <c r="C869" s="1" t="s">
        <v>2991</v>
      </c>
      <c r="D869" s="1" t="s">
        <v>165</v>
      </c>
      <c r="E869" s="1" t="s">
        <v>49</v>
      </c>
      <c r="F869" s="1" t="s">
        <v>50</v>
      </c>
      <c r="G869" s="2">
        <v>44890</v>
      </c>
      <c r="H869" s="2"/>
      <c r="I869">
        <v>25</v>
      </c>
      <c r="J869">
        <v>32</v>
      </c>
      <c r="K869">
        <v>7</v>
      </c>
      <c r="L869" s="1" t="s">
        <v>42</v>
      </c>
      <c r="M869">
        <v>333.4</v>
      </c>
      <c r="N869">
        <v>1031027.48</v>
      </c>
      <c r="O869">
        <v>4624322.33</v>
      </c>
      <c r="P869">
        <v>922710.06</v>
      </c>
      <c r="Q869" s="1" t="s">
        <v>2992</v>
      </c>
      <c r="R869">
        <v>52</v>
      </c>
      <c r="S869" s="1" t="s">
        <v>2993</v>
      </c>
      <c r="T869" t="b">
        <v>0</v>
      </c>
    </row>
    <row r="870" spans="1:20" x14ac:dyDescent="0.25">
      <c r="A870" s="1" t="s">
        <v>2994</v>
      </c>
      <c r="B870" s="1" t="s">
        <v>30</v>
      </c>
      <c r="C870" s="1" t="s">
        <v>2273</v>
      </c>
      <c r="D870" s="1" t="s">
        <v>541</v>
      </c>
      <c r="E870" s="1" t="s">
        <v>57</v>
      </c>
      <c r="F870" s="1" t="s">
        <v>25</v>
      </c>
      <c r="G870" s="2">
        <v>44996</v>
      </c>
      <c r="H870" s="2">
        <v>45055</v>
      </c>
      <c r="I870">
        <v>40</v>
      </c>
      <c r="J870">
        <v>59</v>
      </c>
      <c r="K870">
        <v>19</v>
      </c>
      <c r="L870" s="1" t="s">
        <v>101</v>
      </c>
      <c r="M870">
        <v>687.3</v>
      </c>
      <c r="N870">
        <v>2672463.73</v>
      </c>
      <c r="O870">
        <v>3741194.37</v>
      </c>
      <c r="P870">
        <v>684273.55</v>
      </c>
      <c r="Q870" s="1" t="s">
        <v>2995</v>
      </c>
      <c r="R870">
        <v>49</v>
      </c>
      <c r="S870" s="1" t="s">
        <v>2996</v>
      </c>
      <c r="T870" t="b">
        <v>0</v>
      </c>
    </row>
    <row r="871" spans="1:20" x14ac:dyDescent="0.25">
      <c r="A871" s="1" t="s">
        <v>2997</v>
      </c>
      <c r="B871" s="1" t="s">
        <v>348</v>
      </c>
      <c r="C871" s="1" t="s">
        <v>1241</v>
      </c>
      <c r="D871" s="1" t="s">
        <v>113</v>
      </c>
      <c r="E871" s="1" t="s">
        <v>41</v>
      </c>
      <c r="F871" s="1" t="s">
        <v>25</v>
      </c>
      <c r="G871" s="2">
        <v>45221</v>
      </c>
      <c r="H871" s="2">
        <v>45227</v>
      </c>
      <c r="I871">
        <v>9</v>
      </c>
      <c r="J871">
        <v>6</v>
      </c>
      <c r="K871">
        <v>0</v>
      </c>
      <c r="L871" s="1" t="s">
        <v>26</v>
      </c>
      <c r="M871">
        <v>88.8</v>
      </c>
      <c r="N871">
        <v>168562.34</v>
      </c>
      <c r="O871">
        <v>948521.83</v>
      </c>
      <c r="P871">
        <v>175487.14</v>
      </c>
      <c r="Q871" s="1" t="s">
        <v>2998</v>
      </c>
      <c r="R871">
        <v>67</v>
      </c>
      <c r="S871" s="1" t="s">
        <v>2999</v>
      </c>
      <c r="T871" t="b">
        <v>1</v>
      </c>
    </row>
    <row r="872" spans="1:20" x14ac:dyDescent="0.25">
      <c r="A872" s="1" t="s">
        <v>3000</v>
      </c>
      <c r="B872" s="1" t="s">
        <v>99</v>
      </c>
      <c r="C872" s="1" t="s">
        <v>709</v>
      </c>
      <c r="D872" s="1" t="s">
        <v>1022</v>
      </c>
      <c r="E872" s="1" t="s">
        <v>65</v>
      </c>
      <c r="F872" s="1" t="s">
        <v>25</v>
      </c>
      <c r="G872" s="2">
        <v>45207</v>
      </c>
      <c r="H872" s="2">
        <v>45210</v>
      </c>
      <c r="I872">
        <v>4</v>
      </c>
      <c r="J872">
        <v>3</v>
      </c>
      <c r="K872">
        <v>0</v>
      </c>
      <c r="L872" s="1" t="s">
        <v>26</v>
      </c>
      <c r="M872">
        <v>42.3</v>
      </c>
      <c r="N872">
        <v>144054.79999999999</v>
      </c>
      <c r="O872">
        <v>2811447.32</v>
      </c>
      <c r="P872">
        <v>329980.01</v>
      </c>
      <c r="Q872" s="1" t="s">
        <v>3001</v>
      </c>
      <c r="R872">
        <v>59</v>
      </c>
      <c r="S872" s="1" t="s">
        <v>3002</v>
      </c>
      <c r="T872" t="b">
        <v>1</v>
      </c>
    </row>
    <row r="873" spans="1:20" x14ac:dyDescent="0.25">
      <c r="A873" s="1" t="s">
        <v>3003</v>
      </c>
      <c r="B873" s="1" t="s">
        <v>242</v>
      </c>
      <c r="C873" s="1" t="s">
        <v>815</v>
      </c>
      <c r="D873" s="1" t="s">
        <v>306</v>
      </c>
      <c r="E873" s="1" t="s">
        <v>57</v>
      </c>
      <c r="F873" s="1" t="s">
        <v>25</v>
      </c>
      <c r="G873" s="2">
        <v>45211</v>
      </c>
      <c r="H873" s="2">
        <v>45265</v>
      </c>
      <c r="I873">
        <v>40</v>
      </c>
      <c r="J873">
        <v>54</v>
      </c>
      <c r="K873">
        <v>14</v>
      </c>
      <c r="L873" s="1" t="s">
        <v>193</v>
      </c>
      <c r="M873">
        <v>748.8</v>
      </c>
      <c r="N873">
        <v>1941128.13</v>
      </c>
      <c r="O873">
        <v>4294698</v>
      </c>
      <c r="P873">
        <v>657825.41</v>
      </c>
      <c r="Q873" s="1" t="s">
        <v>3004</v>
      </c>
      <c r="R873">
        <v>37</v>
      </c>
      <c r="S873" s="1" t="s">
        <v>3005</v>
      </c>
      <c r="T873" t="b">
        <v>0</v>
      </c>
    </row>
    <row r="874" spans="1:20" x14ac:dyDescent="0.25">
      <c r="A874" s="1" t="s">
        <v>3006</v>
      </c>
      <c r="B874" s="1" t="s">
        <v>158</v>
      </c>
      <c r="C874" s="1" t="s">
        <v>646</v>
      </c>
      <c r="D874" s="1" t="s">
        <v>297</v>
      </c>
      <c r="E874" s="1" t="s">
        <v>33</v>
      </c>
      <c r="F874" s="1" t="s">
        <v>66</v>
      </c>
      <c r="G874" s="2">
        <v>45405</v>
      </c>
      <c r="H874" s="2"/>
      <c r="I874">
        <v>12</v>
      </c>
      <c r="J874">
        <v>11</v>
      </c>
      <c r="K874">
        <v>0</v>
      </c>
      <c r="L874" s="1" t="s">
        <v>26</v>
      </c>
      <c r="M874">
        <v>53.9</v>
      </c>
      <c r="N874">
        <v>141899.29</v>
      </c>
      <c r="O874">
        <v>1506102.48</v>
      </c>
      <c r="P874">
        <v>168546.45</v>
      </c>
      <c r="Q874" s="1" t="s">
        <v>3007</v>
      </c>
      <c r="R874">
        <v>53</v>
      </c>
      <c r="S874" s="1" t="s">
        <v>3008</v>
      </c>
      <c r="T874" t="b">
        <v>1</v>
      </c>
    </row>
    <row r="875" spans="1:20" x14ac:dyDescent="0.25">
      <c r="A875" s="1" t="s">
        <v>3009</v>
      </c>
      <c r="B875" s="1" t="s">
        <v>62</v>
      </c>
      <c r="C875" s="1" t="s">
        <v>884</v>
      </c>
      <c r="D875" s="1" t="s">
        <v>78</v>
      </c>
      <c r="E875" s="1" t="s">
        <v>33</v>
      </c>
      <c r="F875" s="1" t="s">
        <v>25</v>
      </c>
      <c r="G875" s="2">
        <v>45304</v>
      </c>
      <c r="H875" s="2">
        <v>45314</v>
      </c>
      <c r="I875">
        <v>12</v>
      </c>
      <c r="J875">
        <v>10</v>
      </c>
      <c r="K875">
        <v>0</v>
      </c>
      <c r="L875" s="1" t="s">
        <v>26</v>
      </c>
      <c r="M875">
        <v>132.19999999999999</v>
      </c>
      <c r="N875">
        <v>351578.19</v>
      </c>
      <c r="O875">
        <v>627397.56000000006</v>
      </c>
      <c r="P875">
        <v>154326.85</v>
      </c>
      <c r="Q875" s="1" t="s">
        <v>3010</v>
      </c>
      <c r="R875">
        <v>73</v>
      </c>
      <c r="S875" s="1" t="s">
        <v>3011</v>
      </c>
      <c r="T875" t="b">
        <v>1</v>
      </c>
    </row>
    <row r="876" spans="1:20" x14ac:dyDescent="0.25">
      <c r="A876" s="1" t="s">
        <v>3012</v>
      </c>
      <c r="B876" s="1" t="s">
        <v>228</v>
      </c>
      <c r="C876" s="1" t="s">
        <v>170</v>
      </c>
      <c r="D876" s="1" t="s">
        <v>288</v>
      </c>
      <c r="E876" s="1" t="s">
        <v>49</v>
      </c>
      <c r="F876" s="1" t="s">
        <v>34</v>
      </c>
      <c r="G876" s="2">
        <v>45170</v>
      </c>
      <c r="H876" s="2"/>
      <c r="I876">
        <v>25</v>
      </c>
      <c r="J876">
        <v>19</v>
      </c>
      <c r="K876">
        <v>0</v>
      </c>
      <c r="L876" s="1" t="s">
        <v>26</v>
      </c>
      <c r="M876">
        <v>98.9</v>
      </c>
      <c r="N876">
        <v>285806.59999999998</v>
      </c>
      <c r="O876">
        <v>4654628.9000000004</v>
      </c>
      <c r="P876">
        <v>648131.88</v>
      </c>
      <c r="Q876" s="1" t="s">
        <v>3013</v>
      </c>
      <c r="R876">
        <v>23</v>
      </c>
      <c r="S876" s="1" t="s">
        <v>3014</v>
      </c>
      <c r="T876" t="b">
        <v>1</v>
      </c>
    </row>
    <row r="877" spans="1:20" x14ac:dyDescent="0.25">
      <c r="A877" s="1" t="s">
        <v>3015</v>
      </c>
      <c r="B877" s="1" t="s">
        <v>220</v>
      </c>
      <c r="C877" s="1" t="s">
        <v>1267</v>
      </c>
      <c r="D877" s="1" t="s">
        <v>713</v>
      </c>
      <c r="E877" s="1" t="s">
        <v>33</v>
      </c>
      <c r="F877" s="1" t="s">
        <v>66</v>
      </c>
      <c r="G877" s="2">
        <v>44702</v>
      </c>
      <c r="H877" s="2"/>
      <c r="I877">
        <v>12</v>
      </c>
      <c r="J877">
        <v>6</v>
      </c>
      <c r="K877">
        <v>0</v>
      </c>
      <c r="L877" s="1" t="s">
        <v>26</v>
      </c>
      <c r="M877">
        <v>31.7</v>
      </c>
      <c r="N877">
        <v>97884.47</v>
      </c>
      <c r="O877">
        <v>2351423.36</v>
      </c>
      <c r="P877">
        <v>333382.2</v>
      </c>
      <c r="Q877" s="1" t="s">
        <v>1204</v>
      </c>
      <c r="R877">
        <v>70</v>
      </c>
      <c r="S877" s="1" t="s">
        <v>3016</v>
      </c>
      <c r="T877" t="b">
        <v>1</v>
      </c>
    </row>
    <row r="878" spans="1:20" x14ac:dyDescent="0.25">
      <c r="A878" s="1" t="s">
        <v>3017</v>
      </c>
      <c r="B878" s="1" t="s">
        <v>70</v>
      </c>
      <c r="C878" s="1" t="s">
        <v>324</v>
      </c>
      <c r="D878" s="1" t="s">
        <v>288</v>
      </c>
      <c r="E878" s="1" t="s">
        <v>24</v>
      </c>
      <c r="F878" s="1" t="s">
        <v>25</v>
      </c>
      <c r="G878" s="2">
        <v>44729</v>
      </c>
      <c r="H878" s="2">
        <v>44731</v>
      </c>
      <c r="I878">
        <v>3</v>
      </c>
      <c r="J878">
        <v>2</v>
      </c>
      <c r="K878">
        <v>0</v>
      </c>
      <c r="L878" s="1" t="s">
        <v>26</v>
      </c>
      <c r="M878">
        <v>23.6</v>
      </c>
      <c r="N878">
        <v>78737.649999999994</v>
      </c>
      <c r="O878">
        <v>4334794.05</v>
      </c>
      <c r="P878">
        <v>719775.91</v>
      </c>
      <c r="Q878" s="1" t="s">
        <v>3018</v>
      </c>
      <c r="R878">
        <v>72</v>
      </c>
      <c r="S878" s="1" t="s">
        <v>3019</v>
      </c>
      <c r="T878" t="b">
        <v>1</v>
      </c>
    </row>
    <row r="879" spans="1:20" x14ac:dyDescent="0.25">
      <c r="A879" s="1" t="s">
        <v>3020</v>
      </c>
      <c r="B879" s="1" t="s">
        <v>286</v>
      </c>
      <c r="C879" s="1" t="s">
        <v>780</v>
      </c>
      <c r="D879" s="1" t="s">
        <v>320</v>
      </c>
      <c r="E879" s="1" t="s">
        <v>33</v>
      </c>
      <c r="F879" s="1" t="s">
        <v>34</v>
      </c>
      <c r="G879" s="2">
        <v>45397</v>
      </c>
      <c r="H879" s="2"/>
      <c r="I879">
        <v>12</v>
      </c>
      <c r="J879">
        <v>14</v>
      </c>
      <c r="K879">
        <v>2</v>
      </c>
      <c r="L879" s="1" t="s">
        <v>26</v>
      </c>
      <c r="M879">
        <v>203</v>
      </c>
      <c r="N879">
        <v>681484.2</v>
      </c>
      <c r="O879">
        <v>3651957.86</v>
      </c>
      <c r="P879">
        <v>798150.77</v>
      </c>
      <c r="Q879" s="1" t="s">
        <v>2626</v>
      </c>
      <c r="R879">
        <v>62</v>
      </c>
      <c r="S879" s="1" t="s">
        <v>3021</v>
      </c>
      <c r="T879" t="b">
        <v>0</v>
      </c>
    </row>
    <row r="880" spans="1:20" x14ac:dyDescent="0.25">
      <c r="A880" s="1" t="s">
        <v>3022</v>
      </c>
      <c r="B880" s="1" t="s">
        <v>105</v>
      </c>
      <c r="C880" s="1" t="s">
        <v>2485</v>
      </c>
      <c r="D880" s="1" t="s">
        <v>144</v>
      </c>
      <c r="E880" s="1" t="s">
        <v>49</v>
      </c>
      <c r="F880" s="1" t="s">
        <v>25</v>
      </c>
      <c r="G880" s="2">
        <v>44956</v>
      </c>
      <c r="H880" s="2">
        <v>44977</v>
      </c>
      <c r="I880">
        <v>25</v>
      </c>
      <c r="J880">
        <v>21</v>
      </c>
      <c r="K880">
        <v>0</v>
      </c>
      <c r="L880" s="1" t="s">
        <v>26</v>
      </c>
      <c r="M880">
        <v>118.3</v>
      </c>
      <c r="N880">
        <v>523956.38</v>
      </c>
      <c r="O880">
        <v>2063599.66</v>
      </c>
      <c r="P880">
        <v>408402.17</v>
      </c>
      <c r="Q880" s="1" t="s">
        <v>3023</v>
      </c>
      <c r="R880">
        <v>61</v>
      </c>
      <c r="S880" s="1" t="s">
        <v>3024</v>
      </c>
      <c r="T880" t="b">
        <v>0</v>
      </c>
    </row>
    <row r="881" spans="1:20" x14ac:dyDescent="0.25">
      <c r="A881" s="1" t="s">
        <v>3025</v>
      </c>
      <c r="B881" s="1" t="s">
        <v>629</v>
      </c>
      <c r="C881" s="1" t="s">
        <v>730</v>
      </c>
      <c r="D881" s="1" t="s">
        <v>405</v>
      </c>
      <c r="E881" s="1" t="s">
        <v>33</v>
      </c>
      <c r="F881" s="1" t="s">
        <v>25</v>
      </c>
      <c r="G881" s="2">
        <v>44564</v>
      </c>
      <c r="H881" s="2">
        <v>44579</v>
      </c>
      <c r="I881">
        <v>12</v>
      </c>
      <c r="J881">
        <v>15</v>
      </c>
      <c r="K881">
        <v>3</v>
      </c>
      <c r="L881" s="1" t="s">
        <v>26</v>
      </c>
      <c r="M881">
        <v>94.4</v>
      </c>
      <c r="N881">
        <v>234388.38</v>
      </c>
      <c r="O881">
        <v>649673.27</v>
      </c>
      <c r="P881">
        <v>104704.54</v>
      </c>
      <c r="Q881" s="1" t="s">
        <v>3026</v>
      </c>
      <c r="R881">
        <v>22</v>
      </c>
      <c r="S881" s="1" t="s">
        <v>3027</v>
      </c>
      <c r="T881" t="b">
        <v>1</v>
      </c>
    </row>
    <row r="882" spans="1:20" x14ac:dyDescent="0.25">
      <c r="A882" s="1" t="s">
        <v>3028</v>
      </c>
      <c r="B882" s="1" t="s">
        <v>105</v>
      </c>
      <c r="C882" s="1" t="s">
        <v>1794</v>
      </c>
      <c r="D882" s="1" t="s">
        <v>113</v>
      </c>
      <c r="E882" s="1" t="s">
        <v>41</v>
      </c>
      <c r="F882" s="1" t="s">
        <v>25</v>
      </c>
      <c r="G882" s="2">
        <v>45073</v>
      </c>
      <c r="H882" s="2">
        <v>45087</v>
      </c>
      <c r="I882">
        <v>9</v>
      </c>
      <c r="J882">
        <v>14</v>
      </c>
      <c r="K882">
        <v>5</v>
      </c>
      <c r="L882" s="1" t="s">
        <v>193</v>
      </c>
      <c r="M882">
        <v>68.099999999999994</v>
      </c>
      <c r="N882">
        <v>195156.94</v>
      </c>
      <c r="O882">
        <v>4826447.2699999996</v>
      </c>
      <c r="P882">
        <v>641032.42000000004</v>
      </c>
      <c r="Q882" s="1" t="s">
        <v>3029</v>
      </c>
      <c r="R882">
        <v>26</v>
      </c>
      <c r="S882" s="1" t="s">
        <v>3030</v>
      </c>
      <c r="T882" t="b">
        <v>0</v>
      </c>
    </row>
    <row r="883" spans="1:20" x14ac:dyDescent="0.25">
      <c r="A883" s="1" t="s">
        <v>3031</v>
      </c>
      <c r="B883" s="1" t="s">
        <v>117</v>
      </c>
      <c r="C883" s="1" t="s">
        <v>725</v>
      </c>
      <c r="D883" s="1" t="s">
        <v>187</v>
      </c>
      <c r="E883" s="1" t="s">
        <v>65</v>
      </c>
      <c r="F883" s="1" t="s">
        <v>25</v>
      </c>
      <c r="G883" s="2">
        <v>44984</v>
      </c>
      <c r="H883" s="2">
        <v>44987</v>
      </c>
      <c r="I883">
        <v>4</v>
      </c>
      <c r="J883">
        <v>3</v>
      </c>
      <c r="K883">
        <v>0</v>
      </c>
      <c r="L883" s="1" t="s">
        <v>26</v>
      </c>
      <c r="M883">
        <v>38.1</v>
      </c>
      <c r="N883">
        <v>149394.41</v>
      </c>
      <c r="O883">
        <v>4345317.7</v>
      </c>
      <c r="P883">
        <v>595599.52</v>
      </c>
      <c r="Q883" s="1" t="s">
        <v>3032</v>
      </c>
      <c r="R883">
        <v>32</v>
      </c>
      <c r="S883" s="1" t="s">
        <v>3033</v>
      </c>
      <c r="T883" t="b">
        <v>1</v>
      </c>
    </row>
    <row r="884" spans="1:20" x14ac:dyDescent="0.25">
      <c r="A884" s="1" t="s">
        <v>3034</v>
      </c>
      <c r="B884" s="1" t="s">
        <v>242</v>
      </c>
      <c r="C884" s="1" t="s">
        <v>1671</v>
      </c>
      <c r="D884" s="1" t="s">
        <v>595</v>
      </c>
      <c r="E884" s="1" t="s">
        <v>65</v>
      </c>
      <c r="F884" s="1" t="s">
        <v>25</v>
      </c>
      <c r="G884" s="2">
        <v>44985</v>
      </c>
      <c r="H884" s="2">
        <v>44989</v>
      </c>
      <c r="I884">
        <v>4</v>
      </c>
      <c r="J884">
        <v>4</v>
      </c>
      <c r="K884">
        <v>0</v>
      </c>
      <c r="L884" s="1" t="s">
        <v>26</v>
      </c>
      <c r="M884">
        <v>57.8</v>
      </c>
      <c r="N884">
        <v>237957.21</v>
      </c>
      <c r="O884">
        <v>3314894.73</v>
      </c>
      <c r="P884">
        <v>529344.15</v>
      </c>
      <c r="Q884" s="1" t="s">
        <v>2205</v>
      </c>
      <c r="R884">
        <v>49</v>
      </c>
      <c r="S884" s="1" t="s">
        <v>3035</v>
      </c>
      <c r="T884" t="b">
        <v>1</v>
      </c>
    </row>
    <row r="885" spans="1:20" x14ac:dyDescent="0.25">
      <c r="A885" s="1" t="s">
        <v>3036</v>
      </c>
      <c r="B885" s="1" t="s">
        <v>272</v>
      </c>
      <c r="C885" s="1" t="s">
        <v>800</v>
      </c>
      <c r="D885" s="1" t="s">
        <v>359</v>
      </c>
      <c r="E885" s="1" t="s">
        <v>33</v>
      </c>
      <c r="F885" s="1" t="s">
        <v>34</v>
      </c>
      <c r="G885" s="2">
        <v>44687</v>
      </c>
      <c r="H885" s="2"/>
      <c r="I885">
        <v>12</v>
      </c>
      <c r="J885">
        <v>13</v>
      </c>
      <c r="K885">
        <v>1</v>
      </c>
      <c r="L885" s="1" t="s">
        <v>26</v>
      </c>
      <c r="M885">
        <v>133.80000000000001</v>
      </c>
      <c r="N885">
        <v>314479.19</v>
      </c>
      <c r="O885">
        <v>560978.27</v>
      </c>
      <c r="P885">
        <v>112689.75</v>
      </c>
      <c r="Q885" s="1" t="s">
        <v>3037</v>
      </c>
      <c r="R885">
        <v>68</v>
      </c>
      <c r="S885" s="1" t="s">
        <v>3038</v>
      </c>
      <c r="T885" t="b">
        <v>1</v>
      </c>
    </row>
    <row r="886" spans="1:20" x14ac:dyDescent="0.25">
      <c r="A886" s="1" t="s">
        <v>3039</v>
      </c>
      <c r="B886" s="1" t="s">
        <v>93</v>
      </c>
      <c r="C886" s="1" t="s">
        <v>650</v>
      </c>
      <c r="D886" s="1" t="s">
        <v>713</v>
      </c>
      <c r="E886" s="1" t="s">
        <v>24</v>
      </c>
      <c r="F886" s="1" t="s">
        <v>25</v>
      </c>
      <c r="G886" s="2">
        <v>45492</v>
      </c>
      <c r="H886" s="2">
        <v>45494</v>
      </c>
      <c r="I886">
        <v>3</v>
      </c>
      <c r="J886">
        <v>2</v>
      </c>
      <c r="K886">
        <v>0</v>
      </c>
      <c r="L886" s="1" t="s">
        <v>26</v>
      </c>
      <c r="M886">
        <v>18.8</v>
      </c>
      <c r="N886">
        <v>68784.75</v>
      </c>
      <c r="O886">
        <v>1385321.7</v>
      </c>
      <c r="P886">
        <v>214747.56</v>
      </c>
      <c r="Q886" s="1" t="s">
        <v>3040</v>
      </c>
      <c r="R886">
        <v>28</v>
      </c>
      <c r="S886" s="1" t="s">
        <v>3041</v>
      </c>
      <c r="T886" t="b">
        <v>1</v>
      </c>
    </row>
    <row r="887" spans="1:20" x14ac:dyDescent="0.25">
      <c r="A887" s="1" t="s">
        <v>3042</v>
      </c>
      <c r="B887" s="1" t="s">
        <v>403</v>
      </c>
      <c r="C887" s="1" t="s">
        <v>1103</v>
      </c>
      <c r="D887" s="1" t="s">
        <v>410</v>
      </c>
      <c r="E887" s="1" t="s">
        <v>41</v>
      </c>
      <c r="F887" s="1" t="s">
        <v>25</v>
      </c>
      <c r="G887" s="2">
        <v>45042</v>
      </c>
      <c r="H887" s="2">
        <v>45051</v>
      </c>
      <c r="I887">
        <v>9</v>
      </c>
      <c r="J887">
        <v>9</v>
      </c>
      <c r="K887">
        <v>0</v>
      </c>
      <c r="L887" s="1" t="s">
        <v>26</v>
      </c>
      <c r="M887">
        <v>59.6</v>
      </c>
      <c r="N887">
        <v>259915.09</v>
      </c>
      <c r="O887">
        <v>2553391.5699999998</v>
      </c>
      <c r="P887">
        <v>544086.82999999996</v>
      </c>
      <c r="Q887" s="1" t="s">
        <v>3043</v>
      </c>
      <c r="R887">
        <v>26</v>
      </c>
      <c r="S887" s="1" t="s">
        <v>3044</v>
      </c>
      <c r="T887" t="b">
        <v>0</v>
      </c>
    </row>
    <row r="888" spans="1:20" x14ac:dyDescent="0.25">
      <c r="A888" s="1" t="s">
        <v>3045</v>
      </c>
      <c r="B888" s="1" t="s">
        <v>99</v>
      </c>
      <c r="C888" s="1" t="s">
        <v>424</v>
      </c>
      <c r="D888" s="1" t="s">
        <v>165</v>
      </c>
      <c r="E888" s="1" t="s">
        <v>24</v>
      </c>
      <c r="F888" s="1" t="s">
        <v>34</v>
      </c>
      <c r="G888" s="2">
        <v>45619</v>
      </c>
      <c r="H888" s="2"/>
      <c r="I888">
        <v>3</v>
      </c>
      <c r="J888">
        <v>4</v>
      </c>
      <c r="K888">
        <v>1</v>
      </c>
      <c r="L888" s="1" t="s">
        <v>26</v>
      </c>
      <c r="M888">
        <v>17</v>
      </c>
      <c r="N888">
        <v>56632.45</v>
      </c>
      <c r="O888">
        <v>4425195.03</v>
      </c>
      <c r="P888">
        <v>556295.98</v>
      </c>
      <c r="Q888" s="1" t="s">
        <v>3046</v>
      </c>
      <c r="R888">
        <v>79</v>
      </c>
      <c r="S888" s="1" t="s">
        <v>3047</v>
      </c>
      <c r="T888" t="b">
        <v>1</v>
      </c>
    </row>
    <row r="889" spans="1:20" x14ac:dyDescent="0.25">
      <c r="A889" s="1" t="s">
        <v>3048</v>
      </c>
      <c r="B889" s="1" t="s">
        <v>111</v>
      </c>
      <c r="C889" s="1" t="s">
        <v>1501</v>
      </c>
      <c r="D889" s="1" t="s">
        <v>686</v>
      </c>
      <c r="E889" s="1" t="s">
        <v>49</v>
      </c>
      <c r="F889" s="1" t="s">
        <v>25</v>
      </c>
      <c r="G889" s="2">
        <v>45579</v>
      </c>
      <c r="H889" s="2">
        <v>45593</v>
      </c>
      <c r="I889">
        <v>25</v>
      </c>
      <c r="J889">
        <v>14</v>
      </c>
      <c r="K889">
        <v>0</v>
      </c>
      <c r="L889" s="1" t="s">
        <v>26</v>
      </c>
      <c r="M889">
        <v>217</v>
      </c>
      <c r="N889">
        <v>582409.99</v>
      </c>
      <c r="O889">
        <v>3451292.51</v>
      </c>
      <c r="P889">
        <v>626785.89</v>
      </c>
      <c r="Q889" s="1" t="s">
        <v>1747</v>
      </c>
      <c r="R889">
        <v>66</v>
      </c>
      <c r="S889" s="1" t="s">
        <v>3049</v>
      </c>
      <c r="T889" t="b">
        <v>0</v>
      </c>
    </row>
    <row r="890" spans="1:20" x14ac:dyDescent="0.25">
      <c r="A890" s="1" t="s">
        <v>3050</v>
      </c>
      <c r="B890" s="1" t="s">
        <v>128</v>
      </c>
      <c r="C890" s="1" t="s">
        <v>1191</v>
      </c>
      <c r="D890" s="1" t="s">
        <v>320</v>
      </c>
      <c r="E890" s="1" t="s">
        <v>24</v>
      </c>
      <c r="F890" s="1" t="s">
        <v>34</v>
      </c>
      <c r="G890" s="2">
        <v>45432</v>
      </c>
      <c r="H890" s="2"/>
      <c r="I890">
        <v>3</v>
      </c>
      <c r="J890">
        <v>3</v>
      </c>
      <c r="K890">
        <v>0</v>
      </c>
      <c r="L890" s="1" t="s">
        <v>26</v>
      </c>
      <c r="M890">
        <v>33.1</v>
      </c>
      <c r="N890">
        <v>115780.06</v>
      </c>
      <c r="O890">
        <v>3352483.04</v>
      </c>
      <c r="P890">
        <v>680006.39</v>
      </c>
      <c r="Q890" s="1" t="s">
        <v>3051</v>
      </c>
      <c r="R890">
        <v>32</v>
      </c>
      <c r="S890" s="1" t="s">
        <v>3052</v>
      </c>
      <c r="T890" t="b">
        <v>1</v>
      </c>
    </row>
    <row r="891" spans="1:20" x14ac:dyDescent="0.25">
      <c r="A891" s="1" t="s">
        <v>3053</v>
      </c>
      <c r="B891" s="1" t="s">
        <v>82</v>
      </c>
      <c r="C891" s="1" t="s">
        <v>734</v>
      </c>
      <c r="D891" s="1" t="s">
        <v>420</v>
      </c>
      <c r="E891" s="1" t="s">
        <v>33</v>
      </c>
      <c r="F891" s="1" t="s">
        <v>50</v>
      </c>
      <c r="G891" s="2">
        <v>45227</v>
      </c>
      <c r="H891" s="2"/>
      <c r="I891">
        <v>12</v>
      </c>
      <c r="J891">
        <v>11</v>
      </c>
      <c r="K891">
        <v>0</v>
      </c>
      <c r="L891" s="1" t="s">
        <v>26</v>
      </c>
      <c r="M891">
        <v>91.1</v>
      </c>
      <c r="N891">
        <v>350653.16</v>
      </c>
      <c r="O891">
        <v>2667105.0699999998</v>
      </c>
      <c r="P891">
        <v>450596.74</v>
      </c>
      <c r="Q891" s="1" t="s">
        <v>3054</v>
      </c>
      <c r="R891">
        <v>77</v>
      </c>
      <c r="S891" s="1" t="s">
        <v>3055</v>
      </c>
      <c r="T891" t="b">
        <v>1</v>
      </c>
    </row>
    <row r="892" spans="1:20" x14ac:dyDescent="0.25">
      <c r="A892" s="1" t="s">
        <v>3056</v>
      </c>
      <c r="B892" s="1" t="s">
        <v>169</v>
      </c>
      <c r="C892" s="1" t="s">
        <v>634</v>
      </c>
      <c r="D892" s="1" t="s">
        <v>268</v>
      </c>
      <c r="E892" s="1" t="s">
        <v>65</v>
      </c>
      <c r="F892" s="1" t="s">
        <v>50</v>
      </c>
      <c r="G892" s="2">
        <v>45035</v>
      </c>
      <c r="H892" s="2"/>
      <c r="I892">
        <v>4</v>
      </c>
      <c r="J892">
        <v>1</v>
      </c>
      <c r="K892">
        <v>0</v>
      </c>
      <c r="L892" s="1" t="s">
        <v>26</v>
      </c>
      <c r="M892">
        <v>6.5</v>
      </c>
      <c r="N892">
        <v>18936.919999999998</v>
      </c>
      <c r="O892">
        <v>4979820.71</v>
      </c>
      <c r="P892">
        <v>536168.72</v>
      </c>
      <c r="Q892" s="1" t="s">
        <v>3057</v>
      </c>
      <c r="R892">
        <v>67</v>
      </c>
      <c r="S892" s="1" t="s">
        <v>3058</v>
      </c>
      <c r="T892" t="b">
        <v>1</v>
      </c>
    </row>
    <row r="893" spans="1:20" x14ac:dyDescent="0.25">
      <c r="A893" s="1" t="s">
        <v>3059</v>
      </c>
      <c r="B893" s="1" t="s">
        <v>76</v>
      </c>
      <c r="C893" s="1" t="s">
        <v>749</v>
      </c>
      <c r="D893" s="1" t="s">
        <v>207</v>
      </c>
      <c r="E893" s="1" t="s">
        <v>24</v>
      </c>
      <c r="F893" s="1" t="s">
        <v>25</v>
      </c>
      <c r="G893" s="2">
        <v>45009</v>
      </c>
      <c r="H893" s="2">
        <v>45010</v>
      </c>
      <c r="I893">
        <v>3</v>
      </c>
      <c r="J893">
        <v>1</v>
      </c>
      <c r="K893">
        <v>0</v>
      </c>
      <c r="L893" s="1" t="s">
        <v>26</v>
      </c>
      <c r="M893">
        <v>7.1</v>
      </c>
      <c r="N893">
        <v>30381.96</v>
      </c>
      <c r="O893">
        <v>2051599.52</v>
      </c>
      <c r="P893">
        <v>414588.22</v>
      </c>
      <c r="Q893" s="1" t="s">
        <v>3060</v>
      </c>
      <c r="R893">
        <v>79</v>
      </c>
      <c r="S893" s="1" t="s">
        <v>3061</v>
      </c>
      <c r="T893" t="b">
        <v>1</v>
      </c>
    </row>
    <row r="894" spans="1:20" x14ac:dyDescent="0.25">
      <c r="A894" s="1" t="s">
        <v>3062</v>
      </c>
      <c r="B894" s="1" t="s">
        <v>122</v>
      </c>
      <c r="C894" s="1" t="s">
        <v>472</v>
      </c>
      <c r="D894" s="1" t="s">
        <v>187</v>
      </c>
      <c r="E894" s="1" t="s">
        <v>33</v>
      </c>
      <c r="F894" s="1" t="s">
        <v>50</v>
      </c>
      <c r="G894" s="2">
        <v>44805</v>
      </c>
      <c r="H894" s="2"/>
      <c r="I894">
        <v>12</v>
      </c>
      <c r="J894">
        <v>10</v>
      </c>
      <c r="K894">
        <v>0</v>
      </c>
      <c r="L894" s="1" t="s">
        <v>26</v>
      </c>
      <c r="M894">
        <v>134.9</v>
      </c>
      <c r="N894">
        <v>438371.84000000003</v>
      </c>
      <c r="O894">
        <v>3149243.88</v>
      </c>
      <c r="P894">
        <v>631747.1</v>
      </c>
      <c r="Q894" s="1" t="s">
        <v>3063</v>
      </c>
      <c r="R894">
        <v>68</v>
      </c>
      <c r="S894" s="1" t="s">
        <v>3064</v>
      </c>
      <c r="T894" t="b">
        <v>1</v>
      </c>
    </row>
    <row r="895" spans="1:20" x14ac:dyDescent="0.25">
      <c r="A895" s="1" t="s">
        <v>3065</v>
      </c>
      <c r="B895" s="1" t="s">
        <v>358</v>
      </c>
      <c r="C895" s="1" t="s">
        <v>1032</v>
      </c>
      <c r="D895" s="1" t="s">
        <v>40</v>
      </c>
      <c r="E895" s="1" t="s">
        <v>57</v>
      </c>
      <c r="F895" s="1" t="s">
        <v>50</v>
      </c>
      <c r="G895" s="2">
        <v>45564</v>
      </c>
      <c r="H895" s="2"/>
      <c r="I895">
        <v>40</v>
      </c>
      <c r="J895">
        <v>46</v>
      </c>
      <c r="K895">
        <v>6</v>
      </c>
      <c r="L895" s="1" t="s">
        <v>101</v>
      </c>
      <c r="M895">
        <v>673.9</v>
      </c>
      <c r="N895">
        <v>1395143.21</v>
      </c>
      <c r="O895">
        <v>2523465.27</v>
      </c>
      <c r="P895">
        <v>481725.99</v>
      </c>
      <c r="Q895" s="1" t="s">
        <v>3066</v>
      </c>
      <c r="R895">
        <v>48</v>
      </c>
      <c r="S895" s="1" t="s">
        <v>3067</v>
      </c>
      <c r="T895" t="b">
        <v>1</v>
      </c>
    </row>
    <row r="896" spans="1:20" x14ac:dyDescent="0.25">
      <c r="A896" s="1" t="s">
        <v>3068</v>
      </c>
      <c r="B896" s="1" t="s">
        <v>111</v>
      </c>
      <c r="C896" s="1" t="s">
        <v>118</v>
      </c>
      <c r="D896" s="1" t="s">
        <v>513</v>
      </c>
      <c r="E896" s="1" t="s">
        <v>41</v>
      </c>
      <c r="F896" s="1" t="s">
        <v>25</v>
      </c>
      <c r="G896" s="2">
        <v>44617</v>
      </c>
      <c r="H896" s="2">
        <v>44630</v>
      </c>
      <c r="I896">
        <v>9</v>
      </c>
      <c r="J896">
        <v>13</v>
      </c>
      <c r="K896">
        <v>4</v>
      </c>
      <c r="L896" s="1" t="s">
        <v>193</v>
      </c>
      <c r="M896">
        <v>141.19999999999999</v>
      </c>
      <c r="N896">
        <v>508560.92</v>
      </c>
      <c r="O896">
        <v>970797.68</v>
      </c>
      <c r="P896">
        <v>269585.59000000003</v>
      </c>
      <c r="Q896" s="1" t="s">
        <v>3069</v>
      </c>
      <c r="R896">
        <v>28</v>
      </c>
      <c r="S896" s="1" t="s">
        <v>3070</v>
      </c>
      <c r="T896" t="b">
        <v>0</v>
      </c>
    </row>
    <row r="897" spans="1:20" x14ac:dyDescent="0.25">
      <c r="A897" s="1" t="s">
        <v>3071</v>
      </c>
      <c r="B897" s="1" t="s">
        <v>328</v>
      </c>
      <c r="C897" s="1" t="s">
        <v>1164</v>
      </c>
      <c r="D897" s="1" t="s">
        <v>306</v>
      </c>
      <c r="E897" s="1" t="s">
        <v>33</v>
      </c>
      <c r="F897" s="1" t="s">
        <v>34</v>
      </c>
      <c r="G897" s="2">
        <v>45505</v>
      </c>
      <c r="H897" s="2"/>
      <c r="I897">
        <v>12</v>
      </c>
      <c r="J897">
        <v>13</v>
      </c>
      <c r="K897">
        <v>1</v>
      </c>
      <c r="L897" s="1" t="s">
        <v>26</v>
      </c>
      <c r="M897">
        <v>87.2</v>
      </c>
      <c r="N897">
        <v>188630.22</v>
      </c>
      <c r="O897">
        <v>598202.39</v>
      </c>
      <c r="P897">
        <v>150461.38</v>
      </c>
      <c r="Q897" s="1" t="s">
        <v>3072</v>
      </c>
      <c r="R897">
        <v>64</v>
      </c>
      <c r="S897" s="1" t="s">
        <v>3073</v>
      </c>
      <c r="T897" t="b">
        <v>1</v>
      </c>
    </row>
    <row r="898" spans="1:20" x14ac:dyDescent="0.25">
      <c r="A898" s="1" t="s">
        <v>3074</v>
      </c>
      <c r="B898" s="1" t="s">
        <v>174</v>
      </c>
      <c r="C898" s="1" t="s">
        <v>780</v>
      </c>
      <c r="D898" s="1" t="s">
        <v>159</v>
      </c>
      <c r="E898" s="1" t="s">
        <v>65</v>
      </c>
      <c r="F898" s="1" t="s">
        <v>25</v>
      </c>
      <c r="G898" s="2">
        <v>44887</v>
      </c>
      <c r="H898" s="2">
        <v>44888</v>
      </c>
      <c r="I898">
        <v>4</v>
      </c>
      <c r="J898">
        <v>1</v>
      </c>
      <c r="K898">
        <v>0</v>
      </c>
      <c r="L898" s="1" t="s">
        <v>26</v>
      </c>
      <c r="M898">
        <v>6.1</v>
      </c>
      <c r="N898">
        <v>11558.58</v>
      </c>
      <c r="O898">
        <v>883727.75</v>
      </c>
      <c r="P898">
        <v>164993.01</v>
      </c>
      <c r="Q898" s="1" t="s">
        <v>3075</v>
      </c>
      <c r="R898">
        <v>29</v>
      </c>
      <c r="S898" s="1" t="s">
        <v>3076</v>
      </c>
      <c r="T898" t="b">
        <v>0</v>
      </c>
    </row>
    <row r="899" spans="1:20" x14ac:dyDescent="0.25">
      <c r="A899" s="1" t="s">
        <v>3077</v>
      </c>
      <c r="B899" s="1" t="s">
        <v>220</v>
      </c>
      <c r="C899" s="1" t="s">
        <v>1595</v>
      </c>
      <c r="D899" s="1" t="s">
        <v>48</v>
      </c>
      <c r="E899" s="1" t="s">
        <v>65</v>
      </c>
      <c r="F899" s="1" t="s">
        <v>25</v>
      </c>
      <c r="G899" s="2">
        <v>44784</v>
      </c>
      <c r="H899" s="2">
        <v>44787</v>
      </c>
      <c r="I899">
        <v>4</v>
      </c>
      <c r="J899">
        <v>3</v>
      </c>
      <c r="K899">
        <v>0</v>
      </c>
      <c r="L899" s="1" t="s">
        <v>26</v>
      </c>
      <c r="M899">
        <v>21.6</v>
      </c>
      <c r="N899">
        <v>69221.67</v>
      </c>
      <c r="O899">
        <v>2779436.68</v>
      </c>
      <c r="P899">
        <v>477760.38</v>
      </c>
      <c r="Q899" s="1" t="s">
        <v>3078</v>
      </c>
      <c r="R899">
        <v>48</v>
      </c>
      <c r="S899" s="1" t="s">
        <v>3079</v>
      </c>
      <c r="T899" t="b">
        <v>1</v>
      </c>
    </row>
    <row r="900" spans="1:20" x14ac:dyDescent="0.25">
      <c r="A900" s="1" t="s">
        <v>3080</v>
      </c>
      <c r="B900" s="1" t="s">
        <v>76</v>
      </c>
      <c r="C900" s="1" t="s">
        <v>1472</v>
      </c>
      <c r="D900" s="1" t="s">
        <v>513</v>
      </c>
      <c r="E900" s="1" t="s">
        <v>41</v>
      </c>
      <c r="F900" s="1" t="s">
        <v>66</v>
      </c>
      <c r="G900" s="2">
        <v>45653</v>
      </c>
      <c r="H900" s="2"/>
      <c r="I900">
        <v>9</v>
      </c>
      <c r="J900">
        <v>6</v>
      </c>
      <c r="K900">
        <v>0</v>
      </c>
      <c r="L900" s="1" t="s">
        <v>26</v>
      </c>
      <c r="M900">
        <v>92.7</v>
      </c>
      <c r="N900">
        <v>273204.8</v>
      </c>
      <c r="O900">
        <v>3058634.29</v>
      </c>
      <c r="P900">
        <v>597970.67000000004</v>
      </c>
      <c r="Q900" s="1" t="s">
        <v>1423</v>
      </c>
      <c r="R900">
        <v>45</v>
      </c>
      <c r="S900" s="1" t="s">
        <v>3081</v>
      </c>
      <c r="T900" t="b">
        <v>0</v>
      </c>
    </row>
    <row r="901" spans="1:20" x14ac:dyDescent="0.25">
      <c r="A901" s="1" t="s">
        <v>3082</v>
      </c>
      <c r="B901" s="1" t="s">
        <v>105</v>
      </c>
      <c r="C901" s="1" t="s">
        <v>2819</v>
      </c>
      <c r="D901" s="1" t="s">
        <v>350</v>
      </c>
      <c r="E901" s="1" t="s">
        <v>49</v>
      </c>
      <c r="F901" s="1" t="s">
        <v>25</v>
      </c>
      <c r="G901" s="2">
        <v>45331</v>
      </c>
      <c r="H901" s="2">
        <v>45370</v>
      </c>
      <c r="I901">
        <v>25</v>
      </c>
      <c r="J901">
        <v>39</v>
      </c>
      <c r="K901">
        <v>14</v>
      </c>
      <c r="L901" s="1" t="s">
        <v>26</v>
      </c>
      <c r="M901">
        <v>198.6</v>
      </c>
      <c r="N901">
        <v>669239.66</v>
      </c>
      <c r="O901">
        <v>3985042.98</v>
      </c>
      <c r="P901">
        <v>524434.77</v>
      </c>
      <c r="Q901" s="1" t="s">
        <v>3083</v>
      </c>
      <c r="R901">
        <v>45</v>
      </c>
      <c r="S901" s="1" t="s">
        <v>3084</v>
      </c>
      <c r="T901" t="b">
        <v>1</v>
      </c>
    </row>
    <row r="902" spans="1:20" x14ac:dyDescent="0.25">
      <c r="A902" s="1" t="s">
        <v>3085</v>
      </c>
      <c r="B902" s="1" t="s">
        <v>82</v>
      </c>
      <c r="C902" s="1" t="s">
        <v>55</v>
      </c>
      <c r="D902" s="1" t="s">
        <v>282</v>
      </c>
      <c r="E902" s="1" t="s">
        <v>49</v>
      </c>
      <c r="F902" s="1" t="s">
        <v>25</v>
      </c>
      <c r="G902" s="2">
        <v>44670</v>
      </c>
      <c r="H902" s="2">
        <v>44697</v>
      </c>
      <c r="I902">
        <v>25</v>
      </c>
      <c r="J902">
        <v>27</v>
      </c>
      <c r="K902">
        <v>2</v>
      </c>
      <c r="L902" s="1" t="s">
        <v>26</v>
      </c>
      <c r="M902">
        <v>391.8</v>
      </c>
      <c r="N902">
        <v>1550409.73</v>
      </c>
      <c r="O902">
        <v>1210009.72</v>
      </c>
      <c r="P902">
        <v>290053.33</v>
      </c>
      <c r="Q902" s="1" t="s">
        <v>3086</v>
      </c>
      <c r="R902">
        <v>55</v>
      </c>
      <c r="S902" s="1" t="s">
        <v>3087</v>
      </c>
      <c r="T902" t="b">
        <v>1</v>
      </c>
    </row>
    <row r="903" spans="1:20" x14ac:dyDescent="0.25">
      <c r="A903" s="1" t="s">
        <v>3088</v>
      </c>
      <c r="B903" s="1" t="s">
        <v>76</v>
      </c>
      <c r="C903" s="1" t="s">
        <v>1999</v>
      </c>
      <c r="D903" s="1" t="s">
        <v>165</v>
      </c>
      <c r="E903" s="1" t="s">
        <v>49</v>
      </c>
      <c r="F903" s="1" t="s">
        <v>66</v>
      </c>
      <c r="G903" s="2">
        <v>45256</v>
      </c>
      <c r="H903" s="2"/>
      <c r="I903">
        <v>25</v>
      </c>
      <c r="J903">
        <v>12</v>
      </c>
      <c r="K903">
        <v>0</v>
      </c>
      <c r="L903" s="1" t="s">
        <v>26</v>
      </c>
      <c r="M903">
        <v>85.4</v>
      </c>
      <c r="N903">
        <v>230290.05</v>
      </c>
      <c r="O903">
        <v>689537.96</v>
      </c>
      <c r="P903">
        <v>108384.26</v>
      </c>
      <c r="Q903" s="1" t="s">
        <v>3089</v>
      </c>
      <c r="R903">
        <v>70</v>
      </c>
      <c r="S903" s="1" t="s">
        <v>3090</v>
      </c>
      <c r="T903" t="b">
        <v>1</v>
      </c>
    </row>
    <row r="904" spans="1:20" x14ac:dyDescent="0.25">
      <c r="A904" s="1" t="s">
        <v>3091</v>
      </c>
      <c r="B904" s="1" t="s">
        <v>117</v>
      </c>
      <c r="C904" s="1" t="s">
        <v>83</v>
      </c>
      <c r="D904" s="1" t="s">
        <v>505</v>
      </c>
      <c r="E904" s="1" t="s">
        <v>49</v>
      </c>
      <c r="F904" s="1" t="s">
        <v>25</v>
      </c>
      <c r="G904" s="2">
        <v>44745</v>
      </c>
      <c r="H904" s="2">
        <v>44774</v>
      </c>
      <c r="I904">
        <v>25</v>
      </c>
      <c r="J904">
        <v>29</v>
      </c>
      <c r="K904">
        <v>4</v>
      </c>
      <c r="L904" s="1" t="s">
        <v>101</v>
      </c>
      <c r="M904">
        <v>269.89999999999998</v>
      </c>
      <c r="N904">
        <v>793433.26</v>
      </c>
      <c r="O904">
        <v>3172933.83</v>
      </c>
      <c r="P904">
        <v>428429.87</v>
      </c>
      <c r="Q904" s="1" t="s">
        <v>3092</v>
      </c>
      <c r="R904">
        <v>22</v>
      </c>
      <c r="S904" s="1" t="s">
        <v>3093</v>
      </c>
      <c r="T904" t="b">
        <v>1</v>
      </c>
    </row>
    <row r="905" spans="1:20" x14ac:dyDescent="0.25">
      <c r="A905" s="1" t="s">
        <v>3094</v>
      </c>
      <c r="B905" s="1" t="s">
        <v>158</v>
      </c>
      <c r="C905" s="1" t="s">
        <v>1769</v>
      </c>
      <c r="D905" s="1" t="s">
        <v>410</v>
      </c>
      <c r="E905" s="1" t="s">
        <v>41</v>
      </c>
      <c r="F905" s="1" t="s">
        <v>34</v>
      </c>
      <c r="G905" s="2">
        <v>44617</v>
      </c>
      <c r="H905" s="2"/>
      <c r="I905">
        <v>9</v>
      </c>
      <c r="J905">
        <v>3</v>
      </c>
      <c r="K905">
        <v>0</v>
      </c>
      <c r="L905" s="1" t="s">
        <v>26</v>
      </c>
      <c r="M905">
        <v>43.1</v>
      </c>
      <c r="N905">
        <v>161725.99</v>
      </c>
      <c r="O905">
        <v>427332.65</v>
      </c>
      <c r="P905">
        <v>68620.850000000006</v>
      </c>
      <c r="Q905" s="1" t="s">
        <v>3095</v>
      </c>
      <c r="R905">
        <v>32</v>
      </c>
      <c r="S905" s="1" t="s">
        <v>3096</v>
      </c>
      <c r="T905" t="b">
        <v>0</v>
      </c>
    </row>
    <row r="906" spans="1:20" x14ac:dyDescent="0.25">
      <c r="A906" s="1" t="s">
        <v>3097</v>
      </c>
      <c r="B906" s="1" t="s">
        <v>128</v>
      </c>
      <c r="C906" s="1" t="s">
        <v>273</v>
      </c>
      <c r="D906" s="1" t="s">
        <v>359</v>
      </c>
      <c r="E906" s="1" t="s">
        <v>65</v>
      </c>
      <c r="F906" s="1" t="s">
        <v>50</v>
      </c>
      <c r="G906" s="2">
        <v>44763</v>
      </c>
      <c r="H906" s="2"/>
      <c r="I906">
        <v>4</v>
      </c>
      <c r="J906">
        <v>6</v>
      </c>
      <c r="K906">
        <v>1.5</v>
      </c>
      <c r="L906" s="1" t="s">
        <v>26</v>
      </c>
      <c r="M906">
        <v>28.1</v>
      </c>
      <c r="N906">
        <v>98442.29</v>
      </c>
      <c r="O906">
        <v>4843531.91</v>
      </c>
      <c r="P906">
        <v>506968.11</v>
      </c>
      <c r="Q906" s="1" t="s">
        <v>3098</v>
      </c>
      <c r="R906">
        <v>78</v>
      </c>
      <c r="S906" s="1" t="s">
        <v>3099</v>
      </c>
      <c r="T906" t="b">
        <v>0</v>
      </c>
    </row>
    <row r="907" spans="1:20" x14ac:dyDescent="0.25">
      <c r="A907" s="1" t="s">
        <v>3100</v>
      </c>
      <c r="B907" s="1" t="s">
        <v>82</v>
      </c>
      <c r="C907" s="1" t="s">
        <v>2140</v>
      </c>
      <c r="D907" s="1" t="s">
        <v>344</v>
      </c>
      <c r="E907" s="1" t="s">
        <v>24</v>
      </c>
      <c r="F907" s="1" t="s">
        <v>25</v>
      </c>
      <c r="G907" s="2">
        <v>45160</v>
      </c>
      <c r="H907" s="2">
        <v>45161</v>
      </c>
      <c r="I907">
        <v>3</v>
      </c>
      <c r="J907">
        <v>1</v>
      </c>
      <c r="K907">
        <v>0</v>
      </c>
      <c r="L907" s="1" t="s">
        <v>26</v>
      </c>
      <c r="M907">
        <v>10.5</v>
      </c>
      <c r="N907">
        <v>23094.2</v>
      </c>
      <c r="O907">
        <v>3344036.4</v>
      </c>
      <c r="P907">
        <v>518542.61</v>
      </c>
      <c r="Q907" s="1" t="s">
        <v>3101</v>
      </c>
      <c r="R907">
        <v>72</v>
      </c>
      <c r="S907" s="1" t="s">
        <v>3102</v>
      </c>
      <c r="T907" t="b">
        <v>0</v>
      </c>
    </row>
    <row r="908" spans="1:20" x14ac:dyDescent="0.25">
      <c r="A908" s="1" t="s">
        <v>3103</v>
      </c>
      <c r="B908" s="1" t="s">
        <v>242</v>
      </c>
      <c r="C908" s="1" t="s">
        <v>2304</v>
      </c>
      <c r="D908" s="1" t="s">
        <v>293</v>
      </c>
      <c r="E908" s="1" t="s">
        <v>49</v>
      </c>
      <c r="F908" s="1" t="s">
        <v>50</v>
      </c>
      <c r="G908" s="2">
        <v>45588</v>
      </c>
      <c r="H908" s="2"/>
      <c r="I908">
        <v>25</v>
      </c>
      <c r="J908">
        <v>11</v>
      </c>
      <c r="K908">
        <v>0</v>
      </c>
      <c r="L908" s="1" t="s">
        <v>26</v>
      </c>
      <c r="M908">
        <v>85.5</v>
      </c>
      <c r="N908">
        <v>262139.65</v>
      </c>
      <c r="O908">
        <v>2540647</v>
      </c>
      <c r="P908">
        <v>411256.47</v>
      </c>
      <c r="Q908" s="1" t="s">
        <v>3104</v>
      </c>
      <c r="R908">
        <v>42</v>
      </c>
      <c r="S908" s="1" t="s">
        <v>3105</v>
      </c>
      <c r="T908" t="b">
        <v>0</v>
      </c>
    </row>
    <row r="909" spans="1:20" x14ac:dyDescent="0.25">
      <c r="A909" s="1" t="s">
        <v>3106</v>
      </c>
      <c r="B909" s="1" t="s">
        <v>334</v>
      </c>
      <c r="C909" s="1" t="s">
        <v>2334</v>
      </c>
      <c r="D909" s="1" t="s">
        <v>758</v>
      </c>
      <c r="E909" s="1" t="s">
        <v>24</v>
      </c>
      <c r="F909" s="1" t="s">
        <v>34</v>
      </c>
      <c r="G909" s="2">
        <v>44743</v>
      </c>
      <c r="H909" s="2"/>
      <c r="I909">
        <v>3</v>
      </c>
      <c r="J909">
        <v>5</v>
      </c>
      <c r="K909">
        <v>2</v>
      </c>
      <c r="L909" s="1" t="s">
        <v>26</v>
      </c>
      <c r="M909">
        <v>36.5</v>
      </c>
      <c r="N909">
        <v>80478.42</v>
      </c>
      <c r="O909">
        <v>1894828.65</v>
      </c>
      <c r="P909">
        <v>221815.59</v>
      </c>
      <c r="Q909" s="1" t="s">
        <v>3107</v>
      </c>
      <c r="R909">
        <v>43</v>
      </c>
      <c r="S909" s="1" t="s">
        <v>3108</v>
      </c>
      <c r="T909" t="b">
        <v>1</v>
      </c>
    </row>
    <row r="910" spans="1:20" x14ac:dyDescent="0.25">
      <c r="A910" s="1" t="s">
        <v>3109</v>
      </c>
      <c r="B910" s="1" t="s">
        <v>76</v>
      </c>
      <c r="C910" s="1" t="s">
        <v>55</v>
      </c>
      <c r="D910" s="1" t="s">
        <v>113</v>
      </c>
      <c r="E910" s="1" t="s">
        <v>24</v>
      </c>
      <c r="F910" s="1" t="s">
        <v>50</v>
      </c>
      <c r="G910" s="2">
        <v>45311</v>
      </c>
      <c r="H910" s="2"/>
      <c r="I910">
        <v>3</v>
      </c>
      <c r="J910">
        <v>2</v>
      </c>
      <c r="K910">
        <v>0</v>
      </c>
      <c r="L910" s="1" t="s">
        <v>26</v>
      </c>
      <c r="M910">
        <v>26.8</v>
      </c>
      <c r="N910">
        <v>75398.559999999998</v>
      </c>
      <c r="O910">
        <v>218947.04</v>
      </c>
      <c r="P910">
        <v>50459.32</v>
      </c>
      <c r="Q910" s="1" t="s">
        <v>3110</v>
      </c>
      <c r="R910">
        <v>58</v>
      </c>
      <c r="S910" s="1" t="s">
        <v>3111</v>
      </c>
      <c r="T910" t="b">
        <v>0</v>
      </c>
    </row>
    <row r="911" spans="1:20" x14ac:dyDescent="0.25">
      <c r="A911" s="1" t="s">
        <v>3112</v>
      </c>
      <c r="B911" s="1" t="s">
        <v>62</v>
      </c>
      <c r="C911" s="1" t="s">
        <v>1514</v>
      </c>
      <c r="D911" s="1" t="s">
        <v>32</v>
      </c>
      <c r="E911" s="1" t="s">
        <v>33</v>
      </c>
      <c r="F911" s="1" t="s">
        <v>50</v>
      </c>
      <c r="G911" s="2">
        <v>45289</v>
      </c>
      <c r="H911" s="2"/>
      <c r="I911">
        <v>12</v>
      </c>
      <c r="J911">
        <v>15</v>
      </c>
      <c r="K911">
        <v>3</v>
      </c>
      <c r="L911" s="1" t="s">
        <v>26</v>
      </c>
      <c r="M911">
        <v>200.2</v>
      </c>
      <c r="N911">
        <v>875551.62</v>
      </c>
      <c r="O911">
        <v>4282220.18</v>
      </c>
      <c r="P911">
        <v>786984.07</v>
      </c>
      <c r="Q911" s="1" t="s">
        <v>3113</v>
      </c>
      <c r="R911">
        <v>45</v>
      </c>
      <c r="S911" s="1" t="s">
        <v>3114</v>
      </c>
      <c r="T911" t="b">
        <v>0</v>
      </c>
    </row>
    <row r="912" spans="1:20" x14ac:dyDescent="0.25">
      <c r="A912" s="1" t="s">
        <v>3115</v>
      </c>
      <c r="B912" s="1" t="s">
        <v>451</v>
      </c>
      <c r="C912" s="1" t="s">
        <v>1072</v>
      </c>
      <c r="D912" s="1" t="s">
        <v>48</v>
      </c>
      <c r="E912" s="1" t="s">
        <v>33</v>
      </c>
      <c r="F912" s="1" t="s">
        <v>66</v>
      </c>
      <c r="G912" s="2">
        <v>45644</v>
      </c>
      <c r="H912" s="2"/>
      <c r="I912">
        <v>12</v>
      </c>
      <c r="J912">
        <v>14</v>
      </c>
      <c r="K912">
        <v>2</v>
      </c>
      <c r="L912" s="1" t="s">
        <v>26</v>
      </c>
      <c r="M912">
        <v>180.1</v>
      </c>
      <c r="N912">
        <v>451392.04</v>
      </c>
      <c r="O912">
        <v>3669092.13</v>
      </c>
      <c r="P912">
        <v>808501.65</v>
      </c>
      <c r="Q912" s="1" t="s">
        <v>3116</v>
      </c>
      <c r="R912">
        <v>79</v>
      </c>
      <c r="S912" s="1" t="s">
        <v>3117</v>
      </c>
      <c r="T912" t="b">
        <v>1</v>
      </c>
    </row>
    <row r="913" spans="1:20" x14ac:dyDescent="0.25">
      <c r="A913" s="1" t="s">
        <v>3118</v>
      </c>
      <c r="B913" s="1" t="s">
        <v>253</v>
      </c>
      <c r="C913" s="1" t="s">
        <v>153</v>
      </c>
      <c r="D913" s="1" t="s">
        <v>124</v>
      </c>
      <c r="E913" s="1" t="s">
        <v>57</v>
      </c>
      <c r="F913" s="1" t="s">
        <v>25</v>
      </c>
      <c r="G913" s="2">
        <v>45618</v>
      </c>
      <c r="H913" s="2">
        <v>45650</v>
      </c>
      <c r="I913">
        <v>40</v>
      </c>
      <c r="J913">
        <v>32</v>
      </c>
      <c r="K913">
        <v>0</v>
      </c>
      <c r="L913" s="1" t="s">
        <v>26</v>
      </c>
      <c r="M913">
        <v>330.9</v>
      </c>
      <c r="N913">
        <v>652947.76</v>
      </c>
      <c r="O913">
        <v>1346319.2</v>
      </c>
      <c r="P913">
        <v>230887.53</v>
      </c>
      <c r="Q913" s="1" t="s">
        <v>3119</v>
      </c>
      <c r="R913">
        <v>30</v>
      </c>
      <c r="S913" s="1" t="s">
        <v>3120</v>
      </c>
      <c r="T913" t="b">
        <v>0</v>
      </c>
    </row>
    <row r="914" spans="1:20" x14ac:dyDescent="0.25">
      <c r="A914" s="1" t="s">
        <v>3121</v>
      </c>
      <c r="B914" s="1" t="s">
        <v>76</v>
      </c>
      <c r="C914" s="1" t="s">
        <v>2991</v>
      </c>
      <c r="D914" s="1" t="s">
        <v>78</v>
      </c>
      <c r="E914" s="1" t="s">
        <v>24</v>
      </c>
      <c r="F914" s="1" t="s">
        <v>25</v>
      </c>
      <c r="G914" s="2">
        <v>45396</v>
      </c>
      <c r="H914" s="2">
        <v>45397</v>
      </c>
      <c r="I914">
        <v>3</v>
      </c>
      <c r="J914">
        <v>1</v>
      </c>
      <c r="K914">
        <v>0</v>
      </c>
      <c r="L914" s="1" t="s">
        <v>26</v>
      </c>
      <c r="M914">
        <v>6.9</v>
      </c>
      <c r="N914">
        <v>20240.87</v>
      </c>
      <c r="O914">
        <v>3587785.69</v>
      </c>
      <c r="P914">
        <v>493670.58</v>
      </c>
      <c r="Q914" s="1" t="s">
        <v>3122</v>
      </c>
      <c r="R914">
        <v>69</v>
      </c>
      <c r="S914" s="1" t="s">
        <v>3123</v>
      </c>
      <c r="T914" t="b">
        <v>0</v>
      </c>
    </row>
    <row r="915" spans="1:20" x14ac:dyDescent="0.25">
      <c r="A915" s="1" t="s">
        <v>3124</v>
      </c>
      <c r="B915" s="1" t="s">
        <v>163</v>
      </c>
      <c r="C915" s="1" t="s">
        <v>1216</v>
      </c>
      <c r="D915" s="1" t="s">
        <v>344</v>
      </c>
      <c r="E915" s="1" t="s">
        <v>65</v>
      </c>
      <c r="F915" s="1" t="s">
        <v>50</v>
      </c>
      <c r="G915" s="2">
        <v>44730</v>
      </c>
      <c r="H915" s="2"/>
      <c r="I915">
        <v>4</v>
      </c>
      <c r="J915">
        <v>1</v>
      </c>
      <c r="K915">
        <v>0</v>
      </c>
      <c r="L915" s="1" t="s">
        <v>26</v>
      </c>
      <c r="M915">
        <v>13.9</v>
      </c>
      <c r="N915">
        <v>35964.699999999997</v>
      </c>
      <c r="O915">
        <v>4911219.87</v>
      </c>
      <c r="P915">
        <v>687599.71</v>
      </c>
      <c r="Q915" s="1" t="s">
        <v>3125</v>
      </c>
      <c r="R915">
        <v>45</v>
      </c>
      <c r="S915" s="1" t="s">
        <v>3126</v>
      </c>
      <c r="T915" t="b">
        <v>1</v>
      </c>
    </row>
    <row r="916" spans="1:20" x14ac:dyDescent="0.25">
      <c r="A916" s="1" t="s">
        <v>3127</v>
      </c>
      <c r="B916" s="1" t="s">
        <v>38</v>
      </c>
      <c r="C916" s="1" t="s">
        <v>444</v>
      </c>
      <c r="D916" s="1" t="s">
        <v>32</v>
      </c>
      <c r="E916" s="1" t="s">
        <v>24</v>
      </c>
      <c r="F916" s="1" t="s">
        <v>66</v>
      </c>
      <c r="G916" s="2">
        <v>45317</v>
      </c>
      <c r="H916" s="2"/>
      <c r="I916">
        <v>3</v>
      </c>
      <c r="J916">
        <v>2</v>
      </c>
      <c r="K916">
        <v>0</v>
      </c>
      <c r="L916" s="1" t="s">
        <v>26</v>
      </c>
      <c r="M916">
        <v>15.1</v>
      </c>
      <c r="N916">
        <v>66287.34</v>
      </c>
      <c r="O916">
        <v>4558050.42</v>
      </c>
      <c r="P916">
        <v>473191.88</v>
      </c>
      <c r="Q916" s="1" t="s">
        <v>3128</v>
      </c>
      <c r="R916">
        <v>38</v>
      </c>
      <c r="S916" s="1" t="s">
        <v>3129</v>
      </c>
      <c r="T916" t="b">
        <v>1</v>
      </c>
    </row>
    <row r="917" spans="1:20" x14ac:dyDescent="0.25">
      <c r="A917" s="1" t="s">
        <v>3130</v>
      </c>
      <c r="B917" s="1" t="s">
        <v>70</v>
      </c>
      <c r="C917" s="1" t="s">
        <v>77</v>
      </c>
      <c r="D917" s="1" t="s">
        <v>320</v>
      </c>
      <c r="E917" s="1" t="s">
        <v>41</v>
      </c>
      <c r="F917" s="1" t="s">
        <v>25</v>
      </c>
      <c r="G917" s="2">
        <v>45024</v>
      </c>
      <c r="H917" s="2">
        <v>45032</v>
      </c>
      <c r="I917">
        <v>9</v>
      </c>
      <c r="J917">
        <v>8</v>
      </c>
      <c r="K917">
        <v>0</v>
      </c>
      <c r="L917" s="1" t="s">
        <v>26</v>
      </c>
      <c r="M917">
        <v>55.2</v>
      </c>
      <c r="N917">
        <v>203301.42</v>
      </c>
      <c r="O917">
        <v>2598547.06</v>
      </c>
      <c r="P917">
        <v>512854.73</v>
      </c>
      <c r="Q917" s="1" t="s">
        <v>3131</v>
      </c>
      <c r="R917">
        <v>73</v>
      </c>
      <c r="S917" s="1" t="s">
        <v>3132</v>
      </c>
      <c r="T917" t="b">
        <v>1</v>
      </c>
    </row>
    <row r="918" spans="1:20" x14ac:dyDescent="0.25">
      <c r="A918" s="1" t="s">
        <v>3133</v>
      </c>
      <c r="B918" s="1" t="s">
        <v>358</v>
      </c>
      <c r="C918" s="1" t="s">
        <v>823</v>
      </c>
      <c r="D918" s="1" t="s">
        <v>244</v>
      </c>
      <c r="E918" s="1" t="s">
        <v>33</v>
      </c>
      <c r="F918" s="1" t="s">
        <v>25</v>
      </c>
      <c r="G918" s="2">
        <v>45258</v>
      </c>
      <c r="H918" s="2">
        <v>45274</v>
      </c>
      <c r="I918">
        <v>12</v>
      </c>
      <c r="J918">
        <v>16</v>
      </c>
      <c r="K918">
        <v>4</v>
      </c>
      <c r="L918" s="1" t="s">
        <v>42</v>
      </c>
      <c r="M918">
        <v>186.7</v>
      </c>
      <c r="N918">
        <v>836684.9</v>
      </c>
      <c r="O918">
        <v>1463967.49</v>
      </c>
      <c r="P918">
        <v>277145.76</v>
      </c>
      <c r="Q918" s="1" t="s">
        <v>3134</v>
      </c>
      <c r="R918">
        <v>53</v>
      </c>
      <c r="S918" s="1" t="s">
        <v>3135</v>
      </c>
      <c r="T918" t="b">
        <v>0</v>
      </c>
    </row>
    <row r="919" spans="1:20" x14ac:dyDescent="0.25">
      <c r="A919" s="1" t="s">
        <v>3136</v>
      </c>
      <c r="B919" s="1" t="s">
        <v>418</v>
      </c>
      <c r="C919" s="1" t="s">
        <v>1765</v>
      </c>
      <c r="D919" s="1" t="s">
        <v>282</v>
      </c>
      <c r="E919" s="1" t="s">
        <v>41</v>
      </c>
      <c r="F919" s="1" t="s">
        <v>25</v>
      </c>
      <c r="G919" s="2">
        <v>45207</v>
      </c>
      <c r="H919" s="2">
        <v>45216</v>
      </c>
      <c r="I919">
        <v>9</v>
      </c>
      <c r="J919">
        <v>9</v>
      </c>
      <c r="K919">
        <v>0</v>
      </c>
      <c r="L919" s="1" t="s">
        <v>26</v>
      </c>
      <c r="M919">
        <v>114.7</v>
      </c>
      <c r="N919">
        <v>456288.47</v>
      </c>
      <c r="O919">
        <v>4031680.47</v>
      </c>
      <c r="P919">
        <v>489214.48</v>
      </c>
      <c r="Q919" s="1" t="s">
        <v>3137</v>
      </c>
      <c r="R919">
        <v>23</v>
      </c>
      <c r="S919" s="1" t="s">
        <v>3138</v>
      </c>
      <c r="T919" t="b">
        <v>1</v>
      </c>
    </row>
    <row r="920" spans="1:20" x14ac:dyDescent="0.25">
      <c r="A920" s="1" t="s">
        <v>3139</v>
      </c>
      <c r="B920" s="1" t="s">
        <v>138</v>
      </c>
      <c r="C920" s="1" t="s">
        <v>936</v>
      </c>
      <c r="D920" s="1" t="s">
        <v>670</v>
      </c>
      <c r="E920" s="1" t="s">
        <v>49</v>
      </c>
      <c r="F920" s="1" t="s">
        <v>25</v>
      </c>
      <c r="G920" s="2">
        <v>45055</v>
      </c>
      <c r="H920" s="2">
        <v>45085</v>
      </c>
      <c r="I920">
        <v>25</v>
      </c>
      <c r="J920">
        <v>30</v>
      </c>
      <c r="K920">
        <v>5</v>
      </c>
      <c r="L920" s="1" t="s">
        <v>26</v>
      </c>
      <c r="M920">
        <v>364.4</v>
      </c>
      <c r="N920">
        <v>1140560.6499999999</v>
      </c>
      <c r="O920">
        <v>682187.74</v>
      </c>
      <c r="P920">
        <v>299664.98</v>
      </c>
      <c r="Q920" s="1" t="s">
        <v>3140</v>
      </c>
      <c r="R920">
        <v>78</v>
      </c>
      <c r="S920" s="1" t="s">
        <v>3141</v>
      </c>
      <c r="T920" t="b">
        <v>0</v>
      </c>
    </row>
    <row r="921" spans="1:20" x14ac:dyDescent="0.25">
      <c r="A921" s="1" t="s">
        <v>3142</v>
      </c>
      <c r="B921" s="1" t="s">
        <v>76</v>
      </c>
      <c r="C921" s="1" t="s">
        <v>2423</v>
      </c>
      <c r="D921" s="1" t="s">
        <v>165</v>
      </c>
      <c r="E921" s="1" t="s">
        <v>65</v>
      </c>
      <c r="F921" s="1" t="s">
        <v>25</v>
      </c>
      <c r="G921" s="2">
        <v>45232</v>
      </c>
      <c r="H921" s="2">
        <v>45240</v>
      </c>
      <c r="I921">
        <v>4</v>
      </c>
      <c r="J921">
        <v>8</v>
      </c>
      <c r="K921">
        <v>3.5</v>
      </c>
      <c r="L921" s="1" t="s">
        <v>193</v>
      </c>
      <c r="M921">
        <v>124.2</v>
      </c>
      <c r="N921">
        <v>511408.63</v>
      </c>
      <c r="O921">
        <v>3896777.59</v>
      </c>
      <c r="P921">
        <v>758334.13</v>
      </c>
      <c r="Q921" s="1" t="s">
        <v>3143</v>
      </c>
      <c r="R921">
        <v>21</v>
      </c>
      <c r="S921" s="1" t="s">
        <v>3144</v>
      </c>
      <c r="T921" t="b">
        <v>1</v>
      </c>
    </row>
    <row r="922" spans="1:20" x14ac:dyDescent="0.25">
      <c r="A922" s="1" t="s">
        <v>3145</v>
      </c>
      <c r="B922" s="1" t="s">
        <v>30</v>
      </c>
      <c r="C922" s="1" t="s">
        <v>3146</v>
      </c>
      <c r="D922" s="1" t="s">
        <v>124</v>
      </c>
      <c r="E922" s="1" t="s">
        <v>65</v>
      </c>
      <c r="F922" s="1" t="s">
        <v>25</v>
      </c>
      <c r="G922" s="2">
        <v>45247</v>
      </c>
      <c r="H922" s="2">
        <v>45250</v>
      </c>
      <c r="I922">
        <v>4</v>
      </c>
      <c r="J922">
        <v>3</v>
      </c>
      <c r="K922">
        <v>0</v>
      </c>
      <c r="L922" s="1" t="s">
        <v>26</v>
      </c>
      <c r="M922">
        <v>42.2</v>
      </c>
      <c r="N922">
        <v>135649.72</v>
      </c>
      <c r="O922">
        <v>75469.789999999994</v>
      </c>
      <c r="P922">
        <v>35645.35</v>
      </c>
      <c r="Q922" s="1" t="s">
        <v>3147</v>
      </c>
      <c r="R922">
        <v>38</v>
      </c>
      <c r="S922" s="1" t="s">
        <v>3148</v>
      </c>
      <c r="T922" t="b">
        <v>1</v>
      </c>
    </row>
    <row r="923" spans="1:20" x14ac:dyDescent="0.25">
      <c r="A923" s="1" t="s">
        <v>3149</v>
      </c>
      <c r="B923" s="1" t="s">
        <v>105</v>
      </c>
      <c r="C923" s="1" t="s">
        <v>693</v>
      </c>
      <c r="D923" s="1" t="s">
        <v>95</v>
      </c>
      <c r="E923" s="1" t="s">
        <v>33</v>
      </c>
      <c r="F923" s="1" t="s">
        <v>66</v>
      </c>
      <c r="G923" s="2">
        <v>45412</v>
      </c>
      <c r="H923" s="2"/>
      <c r="I923">
        <v>12</v>
      </c>
      <c r="J923">
        <v>16</v>
      </c>
      <c r="K923">
        <v>4</v>
      </c>
      <c r="L923" s="1" t="s">
        <v>58</v>
      </c>
      <c r="M923">
        <v>105</v>
      </c>
      <c r="N923">
        <v>293301.02</v>
      </c>
      <c r="O923">
        <v>3962491.85</v>
      </c>
      <c r="P923">
        <v>482575.55</v>
      </c>
      <c r="Q923" s="1" t="s">
        <v>1962</v>
      </c>
      <c r="R923">
        <v>69</v>
      </c>
      <c r="S923" s="1" t="s">
        <v>3150</v>
      </c>
      <c r="T923" t="b">
        <v>0</v>
      </c>
    </row>
    <row r="924" spans="1:20" x14ac:dyDescent="0.25">
      <c r="A924" s="1" t="s">
        <v>3151</v>
      </c>
      <c r="B924" s="1" t="s">
        <v>111</v>
      </c>
      <c r="C924" s="1" t="s">
        <v>903</v>
      </c>
      <c r="D924" s="1" t="s">
        <v>336</v>
      </c>
      <c r="E924" s="1" t="s">
        <v>49</v>
      </c>
      <c r="F924" s="1" t="s">
        <v>25</v>
      </c>
      <c r="G924" s="2">
        <v>44784</v>
      </c>
      <c r="H924" s="2">
        <v>44801</v>
      </c>
      <c r="I924">
        <v>25</v>
      </c>
      <c r="J924">
        <v>17</v>
      </c>
      <c r="K924">
        <v>0</v>
      </c>
      <c r="L924" s="1" t="s">
        <v>26</v>
      </c>
      <c r="M924">
        <v>115.2</v>
      </c>
      <c r="N924">
        <v>372176.53</v>
      </c>
      <c r="O924">
        <v>1721321.95</v>
      </c>
      <c r="P924">
        <v>214871.69</v>
      </c>
      <c r="Q924" s="1" t="s">
        <v>3152</v>
      </c>
      <c r="R924">
        <v>66</v>
      </c>
      <c r="S924" s="1" t="s">
        <v>3153</v>
      </c>
      <c r="T924" t="b">
        <v>1</v>
      </c>
    </row>
    <row r="925" spans="1:20" x14ac:dyDescent="0.25">
      <c r="A925" s="1" t="s">
        <v>3154</v>
      </c>
      <c r="B925" s="1" t="s">
        <v>138</v>
      </c>
      <c r="C925" s="1" t="s">
        <v>229</v>
      </c>
      <c r="D925" s="1" t="s">
        <v>176</v>
      </c>
      <c r="E925" s="1" t="s">
        <v>49</v>
      </c>
      <c r="F925" s="1" t="s">
        <v>66</v>
      </c>
      <c r="G925" s="2">
        <v>45003</v>
      </c>
      <c r="H925" s="2"/>
      <c r="I925">
        <v>25</v>
      </c>
      <c r="J925">
        <v>26</v>
      </c>
      <c r="K925">
        <v>1</v>
      </c>
      <c r="L925" s="1" t="s">
        <v>26</v>
      </c>
      <c r="M925">
        <v>150.1</v>
      </c>
      <c r="N925">
        <v>367502.5</v>
      </c>
      <c r="O925">
        <v>1382348.12</v>
      </c>
      <c r="P925">
        <v>234076.59</v>
      </c>
      <c r="Q925" s="1" t="s">
        <v>3155</v>
      </c>
      <c r="R925">
        <v>53</v>
      </c>
      <c r="S925" s="1" t="s">
        <v>3156</v>
      </c>
      <c r="T925" t="b">
        <v>0</v>
      </c>
    </row>
    <row r="926" spans="1:20" x14ac:dyDescent="0.25">
      <c r="A926" s="1" t="s">
        <v>3157</v>
      </c>
      <c r="B926" s="1" t="s">
        <v>138</v>
      </c>
      <c r="C926" s="1" t="s">
        <v>414</v>
      </c>
      <c r="D926" s="1" t="s">
        <v>410</v>
      </c>
      <c r="E926" s="1" t="s">
        <v>24</v>
      </c>
      <c r="F926" s="1" t="s">
        <v>34</v>
      </c>
      <c r="G926" s="2">
        <v>44649</v>
      </c>
      <c r="H926" s="2"/>
      <c r="I926">
        <v>3</v>
      </c>
      <c r="J926">
        <v>1</v>
      </c>
      <c r="K926">
        <v>0</v>
      </c>
      <c r="L926" s="1" t="s">
        <v>26</v>
      </c>
      <c r="M926">
        <v>13.3</v>
      </c>
      <c r="N926">
        <v>36059.33</v>
      </c>
      <c r="O926">
        <v>2466953.89</v>
      </c>
      <c r="P926">
        <v>349294.63</v>
      </c>
      <c r="Q926" s="1" t="s">
        <v>3158</v>
      </c>
      <c r="R926">
        <v>26</v>
      </c>
      <c r="S926" s="1" t="s">
        <v>3159</v>
      </c>
      <c r="T926" t="b">
        <v>1</v>
      </c>
    </row>
    <row r="927" spans="1:20" x14ac:dyDescent="0.25">
      <c r="A927" s="1" t="s">
        <v>3160</v>
      </c>
      <c r="B927" s="1" t="s">
        <v>21</v>
      </c>
      <c r="C927" s="1" t="s">
        <v>2195</v>
      </c>
      <c r="D927" s="1" t="s">
        <v>336</v>
      </c>
      <c r="E927" s="1" t="s">
        <v>65</v>
      </c>
      <c r="F927" s="1" t="s">
        <v>50</v>
      </c>
      <c r="G927" s="2">
        <v>44825</v>
      </c>
      <c r="H927" s="2"/>
      <c r="I927">
        <v>4</v>
      </c>
      <c r="J927">
        <v>1</v>
      </c>
      <c r="K927">
        <v>0</v>
      </c>
      <c r="L927" s="1" t="s">
        <v>26</v>
      </c>
      <c r="M927">
        <v>15.3</v>
      </c>
      <c r="N927">
        <v>66530.36</v>
      </c>
      <c r="O927">
        <v>4375397.16</v>
      </c>
      <c r="P927">
        <v>468795.46</v>
      </c>
      <c r="Q927" s="1" t="s">
        <v>3161</v>
      </c>
      <c r="R927">
        <v>75</v>
      </c>
      <c r="S927" s="1" t="s">
        <v>3162</v>
      </c>
      <c r="T927" t="b">
        <v>1</v>
      </c>
    </row>
    <row r="928" spans="1:20" x14ac:dyDescent="0.25">
      <c r="A928" s="1" t="s">
        <v>3163</v>
      </c>
      <c r="B928" s="1" t="s">
        <v>358</v>
      </c>
      <c r="C928" s="1" t="s">
        <v>1639</v>
      </c>
      <c r="D928" s="1" t="s">
        <v>336</v>
      </c>
      <c r="E928" s="1" t="s">
        <v>57</v>
      </c>
      <c r="F928" s="1" t="s">
        <v>34</v>
      </c>
      <c r="G928" s="2">
        <v>45353</v>
      </c>
      <c r="H928" s="2"/>
      <c r="I928">
        <v>40</v>
      </c>
      <c r="J928">
        <v>49</v>
      </c>
      <c r="K928">
        <v>9</v>
      </c>
      <c r="L928" s="1" t="s">
        <v>330</v>
      </c>
      <c r="M928">
        <v>238.7</v>
      </c>
      <c r="N928">
        <v>1035679.9</v>
      </c>
      <c r="O928">
        <v>1072138.7</v>
      </c>
      <c r="P928">
        <v>411612.01</v>
      </c>
      <c r="Q928" s="1" t="s">
        <v>3164</v>
      </c>
      <c r="R928">
        <v>47</v>
      </c>
      <c r="S928" s="1" t="s">
        <v>3165</v>
      </c>
      <c r="T928" t="b">
        <v>1</v>
      </c>
    </row>
    <row r="929" spans="1:20" x14ac:dyDescent="0.25">
      <c r="A929" s="1" t="s">
        <v>3166</v>
      </c>
      <c r="B929" s="1" t="s">
        <v>403</v>
      </c>
      <c r="C929" s="1" t="s">
        <v>3146</v>
      </c>
      <c r="D929" s="1" t="s">
        <v>238</v>
      </c>
      <c r="E929" s="1" t="s">
        <v>49</v>
      </c>
      <c r="F929" s="1" t="s">
        <v>25</v>
      </c>
      <c r="G929" s="2">
        <v>45455</v>
      </c>
      <c r="H929" s="2">
        <v>45480</v>
      </c>
      <c r="I929">
        <v>25</v>
      </c>
      <c r="J929">
        <v>25</v>
      </c>
      <c r="K929">
        <v>0</v>
      </c>
      <c r="L929" s="1" t="s">
        <v>26</v>
      </c>
      <c r="M929">
        <v>287.89999999999998</v>
      </c>
      <c r="N929">
        <v>895435.05</v>
      </c>
      <c r="O929">
        <v>3817629.4</v>
      </c>
      <c r="P929">
        <v>774898.93</v>
      </c>
      <c r="Q929" s="1" t="s">
        <v>3167</v>
      </c>
      <c r="R929">
        <v>67</v>
      </c>
      <c r="S929" s="1" t="s">
        <v>3168</v>
      </c>
      <c r="T929" t="b">
        <v>1</v>
      </c>
    </row>
    <row r="930" spans="1:20" x14ac:dyDescent="0.25">
      <c r="A930" s="1" t="s">
        <v>3169</v>
      </c>
      <c r="B930" s="1" t="s">
        <v>99</v>
      </c>
      <c r="C930" s="1" t="s">
        <v>808</v>
      </c>
      <c r="D930" s="1" t="s">
        <v>176</v>
      </c>
      <c r="E930" s="1" t="s">
        <v>57</v>
      </c>
      <c r="F930" s="1" t="s">
        <v>25</v>
      </c>
      <c r="G930" s="2">
        <v>44799</v>
      </c>
      <c r="H930" s="2">
        <v>44854</v>
      </c>
      <c r="I930">
        <v>40</v>
      </c>
      <c r="J930">
        <v>55</v>
      </c>
      <c r="K930">
        <v>15</v>
      </c>
      <c r="L930" s="1" t="s">
        <v>101</v>
      </c>
      <c r="M930">
        <v>223.3</v>
      </c>
      <c r="N930">
        <v>720161.86</v>
      </c>
      <c r="O930">
        <v>2242675.7599999998</v>
      </c>
      <c r="P930">
        <v>353783.31</v>
      </c>
      <c r="Q930" s="1" t="s">
        <v>294</v>
      </c>
      <c r="R930">
        <v>46</v>
      </c>
      <c r="S930" s="1" t="s">
        <v>3170</v>
      </c>
      <c r="T930" t="b">
        <v>1</v>
      </c>
    </row>
    <row r="931" spans="1:20" x14ac:dyDescent="0.25">
      <c r="A931" s="1" t="s">
        <v>3171</v>
      </c>
      <c r="B931" s="1" t="s">
        <v>62</v>
      </c>
      <c r="C931" s="1" t="s">
        <v>3172</v>
      </c>
      <c r="D931" s="1" t="s">
        <v>56</v>
      </c>
      <c r="E931" s="1" t="s">
        <v>57</v>
      </c>
      <c r="F931" s="1" t="s">
        <v>34</v>
      </c>
      <c r="G931" s="2">
        <v>44996</v>
      </c>
      <c r="H931" s="2"/>
      <c r="I931">
        <v>40</v>
      </c>
      <c r="J931">
        <v>43</v>
      </c>
      <c r="K931">
        <v>3</v>
      </c>
      <c r="L931" s="1" t="s">
        <v>26</v>
      </c>
      <c r="M931">
        <v>489.1</v>
      </c>
      <c r="N931">
        <v>1044311.76</v>
      </c>
      <c r="O931">
        <v>521348.95</v>
      </c>
      <c r="P931">
        <v>214583.64</v>
      </c>
      <c r="Q931" s="1" t="s">
        <v>3173</v>
      </c>
      <c r="R931">
        <v>56</v>
      </c>
      <c r="S931" s="1" t="s">
        <v>3174</v>
      </c>
      <c r="T931" t="b">
        <v>1</v>
      </c>
    </row>
    <row r="932" spans="1:20" x14ac:dyDescent="0.25">
      <c r="A932" s="1" t="s">
        <v>3175</v>
      </c>
      <c r="B932" s="1" t="s">
        <v>566</v>
      </c>
      <c r="C932" s="1" t="s">
        <v>630</v>
      </c>
      <c r="D932" s="1" t="s">
        <v>320</v>
      </c>
      <c r="E932" s="1" t="s">
        <v>24</v>
      </c>
      <c r="F932" s="1" t="s">
        <v>66</v>
      </c>
      <c r="G932" s="2">
        <v>45154</v>
      </c>
      <c r="H932" s="2"/>
      <c r="I932">
        <v>3</v>
      </c>
      <c r="J932">
        <v>2</v>
      </c>
      <c r="K932">
        <v>0</v>
      </c>
      <c r="L932" s="1" t="s">
        <v>26</v>
      </c>
      <c r="M932">
        <v>30.4</v>
      </c>
      <c r="N932">
        <v>113378.7</v>
      </c>
      <c r="O932">
        <v>2271008.61</v>
      </c>
      <c r="P932">
        <v>299298.78999999998</v>
      </c>
      <c r="Q932" s="1" t="s">
        <v>2831</v>
      </c>
      <c r="R932">
        <v>80</v>
      </c>
      <c r="S932" s="1" t="s">
        <v>3176</v>
      </c>
      <c r="T932" t="b">
        <v>0</v>
      </c>
    </row>
    <row r="933" spans="1:20" x14ac:dyDescent="0.25">
      <c r="A933" s="1" t="s">
        <v>3177</v>
      </c>
      <c r="B933" s="1" t="s">
        <v>158</v>
      </c>
      <c r="C933" s="1" t="s">
        <v>211</v>
      </c>
      <c r="D933" s="1" t="s">
        <v>238</v>
      </c>
      <c r="E933" s="1" t="s">
        <v>41</v>
      </c>
      <c r="F933" s="1" t="s">
        <v>25</v>
      </c>
      <c r="G933" s="2">
        <v>45331</v>
      </c>
      <c r="H933" s="2">
        <v>45342</v>
      </c>
      <c r="I933">
        <v>9</v>
      </c>
      <c r="J933">
        <v>11</v>
      </c>
      <c r="K933">
        <v>2</v>
      </c>
      <c r="L933" s="1" t="s">
        <v>26</v>
      </c>
      <c r="M933">
        <v>128.69999999999999</v>
      </c>
      <c r="N933">
        <v>495576.79</v>
      </c>
      <c r="O933">
        <v>3732634.87</v>
      </c>
      <c r="P933">
        <v>708609.63</v>
      </c>
      <c r="Q933" s="1" t="s">
        <v>3178</v>
      </c>
      <c r="R933">
        <v>29</v>
      </c>
      <c r="S933" s="1" t="s">
        <v>3179</v>
      </c>
      <c r="T933" t="b">
        <v>0</v>
      </c>
    </row>
    <row r="934" spans="1:20" x14ac:dyDescent="0.25">
      <c r="A934" s="1" t="s">
        <v>3180</v>
      </c>
      <c r="B934" s="1" t="s">
        <v>111</v>
      </c>
      <c r="C934" s="1" t="s">
        <v>354</v>
      </c>
      <c r="D934" s="1" t="s">
        <v>48</v>
      </c>
      <c r="E934" s="1" t="s">
        <v>41</v>
      </c>
      <c r="F934" s="1" t="s">
        <v>66</v>
      </c>
      <c r="G934" s="2">
        <v>45348</v>
      </c>
      <c r="H934" s="2"/>
      <c r="I934">
        <v>9</v>
      </c>
      <c r="J934">
        <v>6</v>
      </c>
      <c r="K934">
        <v>0</v>
      </c>
      <c r="L934" s="1" t="s">
        <v>26</v>
      </c>
      <c r="M934">
        <v>34.6</v>
      </c>
      <c r="N934">
        <v>115094.05</v>
      </c>
      <c r="O934">
        <v>1479093.43</v>
      </c>
      <c r="P934">
        <v>282537.77</v>
      </c>
      <c r="Q934" s="1" t="s">
        <v>3181</v>
      </c>
      <c r="R934">
        <v>32</v>
      </c>
      <c r="S934" s="1" t="s">
        <v>3182</v>
      </c>
      <c r="T934" t="b">
        <v>1</v>
      </c>
    </row>
    <row r="935" spans="1:20" x14ac:dyDescent="0.25">
      <c r="A935" s="1" t="s">
        <v>3183</v>
      </c>
      <c r="B935" s="1" t="s">
        <v>54</v>
      </c>
      <c r="C935" s="1" t="s">
        <v>2273</v>
      </c>
      <c r="D935" s="1" t="s">
        <v>350</v>
      </c>
      <c r="E935" s="1" t="s">
        <v>57</v>
      </c>
      <c r="F935" s="1" t="s">
        <v>25</v>
      </c>
      <c r="G935" s="2">
        <v>44940</v>
      </c>
      <c r="H935" s="2">
        <v>44969</v>
      </c>
      <c r="I935">
        <v>40</v>
      </c>
      <c r="J935">
        <v>29</v>
      </c>
      <c r="K935">
        <v>0</v>
      </c>
      <c r="L935" s="1" t="s">
        <v>26</v>
      </c>
      <c r="M935">
        <v>386.1</v>
      </c>
      <c r="N935">
        <v>1143111.3700000001</v>
      </c>
      <c r="O935">
        <v>2823936.54</v>
      </c>
      <c r="P935">
        <v>777790.53</v>
      </c>
      <c r="Q935" s="1" t="s">
        <v>3184</v>
      </c>
      <c r="R935">
        <v>29</v>
      </c>
      <c r="S935" s="1" t="s">
        <v>3185</v>
      </c>
      <c r="T935" t="b">
        <v>0</v>
      </c>
    </row>
    <row r="936" spans="1:20" x14ac:dyDescent="0.25">
      <c r="A936" s="1" t="s">
        <v>3186</v>
      </c>
      <c r="B936" s="1" t="s">
        <v>93</v>
      </c>
      <c r="C936" s="1" t="s">
        <v>517</v>
      </c>
      <c r="D936" s="1" t="s">
        <v>72</v>
      </c>
      <c r="E936" s="1" t="s">
        <v>65</v>
      </c>
      <c r="F936" s="1" t="s">
        <v>50</v>
      </c>
      <c r="G936" s="2">
        <v>44803</v>
      </c>
      <c r="H936" s="2"/>
      <c r="I936">
        <v>4</v>
      </c>
      <c r="J936">
        <v>7</v>
      </c>
      <c r="K936">
        <v>2.5</v>
      </c>
      <c r="L936" s="1" t="s">
        <v>26</v>
      </c>
      <c r="M936">
        <v>109.7</v>
      </c>
      <c r="N936">
        <v>206499.82</v>
      </c>
      <c r="O936">
        <v>2215526.81</v>
      </c>
      <c r="P936">
        <v>423679.44</v>
      </c>
      <c r="Q936" s="1" t="s">
        <v>3187</v>
      </c>
      <c r="R936">
        <v>34</v>
      </c>
      <c r="S936" s="1" t="s">
        <v>3188</v>
      </c>
      <c r="T936" t="b">
        <v>0</v>
      </c>
    </row>
    <row r="937" spans="1:20" x14ac:dyDescent="0.25">
      <c r="A937" s="1" t="s">
        <v>3189</v>
      </c>
      <c r="B937" s="1" t="s">
        <v>358</v>
      </c>
      <c r="C937" s="1" t="s">
        <v>292</v>
      </c>
      <c r="D937" s="1" t="s">
        <v>48</v>
      </c>
      <c r="E937" s="1" t="s">
        <v>41</v>
      </c>
      <c r="F937" s="1" t="s">
        <v>25</v>
      </c>
      <c r="G937" s="2">
        <v>45302</v>
      </c>
      <c r="H937" s="2">
        <v>45313</v>
      </c>
      <c r="I937">
        <v>9</v>
      </c>
      <c r="J937">
        <v>11</v>
      </c>
      <c r="K937">
        <v>2</v>
      </c>
      <c r="L937" s="1" t="s">
        <v>26</v>
      </c>
      <c r="M937">
        <v>62.3</v>
      </c>
      <c r="N937">
        <v>263035.43</v>
      </c>
      <c r="O937">
        <v>3787490.93</v>
      </c>
      <c r="P937">
        <v>743664.99</v>
      </c>
      <c r="Q937" s="1" t="s">
        <v>3190</v>
      </c>
      <c r="R937">
        <v>62</v>
      </c>
      <c r="S937" s="1" t="s">
        <v>3191</v>
      </c>
      <c r="T937" t="b">
        <v>1</v>
      </c>
    </row>
    <row r="938" spans="1:20" x14ac:dyDescent="0.25">
      <c r="A938" s="1" t="s">
        <v>3192</v>
      </c>
      <c r="B938" s="1" t="s">
        <v>122</v>
      </c>
      <c r="C938" s="1" t="s">
        <v>946</v>
      </c>
      <c r="D938" s="1" t="s">
        <v>595</v>
      </c>
      <c r="E938" s="1" t="s">
        <v>41</v>
      </c>
      <c r="F938" s="1" t="s">
        <v>66</v>
      </c>
      <c r="G938" s="2">
        <v>44853</v>
      </c>
      <c r="H938" s="2"/>
      <c r="I938">
        <v>9</v>
      </c>
      <c r="J938">
        <v>12</v>
      </c>
      <c r="K938">
        <v>3</v>
      </c>
      <c r="L938" s="1" t="s">
        <v>26</v>
      </c>
      <c r="M938">
        <v>110.5</v>
      </c>
      <c r="N938">
        <v>207832.57</v>
      </c>
      <c r="O938">
        <v>4024880.46</v>
      </c>
      <c r="P938">
        <v>755148.19</v>
      </c>
      <c r="Q938" s="1" t="s">
        <v>3193</v>
      </c>
      <c r="R938">
        <v>62</v>
      </c>
      <c r="S938" s="1" t="s">
        <v>3194</v>
      </c>
      <c r="T938" t="b">
        <v>0</v>
      </c>
    </row>
    <row r="939" spans="1:20" x14ac:dyDescent="0.25">
      <c r="A939" s="1" t="s">
        <v>3195</v>
      </c>
      <c r="B939" s="1" t="s">
        <v>286</v>
      </c>
      <c r="C939" s="1" t="s">
        <v>31</v>
      </c>
      <c r="D939" s="1" t="s">
        <v>89</v>
      </c>
      <c r="E939" s="1" t="s">
        <v>49</v>
      </c>
      <c r="F939" s="1" t="s">
        <v>25</v>
      </c>
      <c r="G939" s="2">
        <v>44753</v>
      </c>
      <c r="H939" s="2">
        <v>44781</v>
      </c>
      <c r="I939">
        <v>25</v>
      </c>
      <c r="J939">
        <v>28</v>
      </c>
      <c r="K939">
        <v>3</v>
      </c>
      <c r="L939" s="1" t="s">
        <v>26</v>
      </c>
      <c r="M939">
        <v>239.1</v>
      </c>
      <c r="N939">
        <v>693078.54</v>
      </c>
      <c r="O939">
        <v>373292.76</v>
      </c>
      <c r="P939">
        <v>195062.21</v>
      </c>
      <c r="Q939" s="1" t="s">
        <v>3196</v>
      </c>
      <c r="R939">
        <v>73</v>
      </c>
      <c r="S939" s="1" t="s">
        <v>3197</v>
      </c>
      <c r="T939" t="b">
        <v>1</v>
      </c>
    </row>
    <row r="940" spans="1:20" x14ac:dyDescent="0.25">
      <c r="A940" s="1" t="s">
        <v>3198</v>
      </c>
      <c r="B940" s="1" t="s">
        <v>471</v>
      </c>
      <c r="C940" s="1" t="s">
        <v>55</v>
      </c>
      <c r="D940" s="1" t="s">
        <v>130</v>
      </c>
      <c r="E940" s="1" t="s">
        <v>49</v>
      </c>
      <c r="F940" s="1" t="s">
        <v>25</v>
      </c>
      <c r="G940" s="2">
        <v>44951</v>
      </c>
      <c r="H940" s="2">
        <v>44979</v>
      </c>
      <c r="I940">
        <v>25</v>
      </c>
      <c r="J940">
        <v>28</v>
      </c>
      <c r="K940">
        <v>3</v>
      </c>
      <c r="L940" s="1" t="s">
        <v>26</v>
      </c>
      <c r="M940">
        <v>225.2</v>
      </c>
      <c r="N940">
        <v>967083.16</v>
      </c>
      <c r="O940">
        <v>609727.81999999995</v>
      </c>
      <c r="P940">
        <v>290654.8</v>
      </c>
      <c r="Q940" s="1" t="s">
        <v>3199</v>
      </c>
      <c r="R940">
        <v>70</v>
      </c>
      <c r="S940" s="1" t="s">
        <v>3200</v>
      </c>
      <c r="T940" t="b">
        <v>0</v>
      </c>
    </row>
    <row r="941" spans="1:20" x14ac:dyDescent="0.25">
      <c r="A941" s="1" t="s">
        <v>3201</v>
      </c>
      <c r="B941" s="1" t="s">
        <v>334</v>
      </c>
      <c r="C941" s="1" t="s">
        <v>1560</v>
      </c>
      <c r="D941" s="1" t="s">
        <v>72</v>
      </c>
      <c r="E941" s="1" t="s">
        <v>24</v>
      </c>
      <c r="F941" s="1" t="s">
        <v>34</v>
      </c>
      <c r="G941" s="2">
        <v>45604</v>
      </c>
      <c r="H941" s="2"/>
      <c r="I941">
        <v>3</v>
      </c>
      <c r="J941">
        <v>1</v>
      </c>
      <c r="K941">
        <v>0</v>
      </c>
      <c r="L941" s="1" t="s">
        <v>26</v>
      </c>
      <c r="M941">
        <v>14.3</v>
      </c>
      <c r="N941">
        <v>57883.98</v>
      </c>
      <c r="O941">
        <v>829584.85</v>
      </c>
      <c r="P941">
        <v>155514.07999999999</v>
      </c>
      <c r="Q941" s="1" t="s">
        <v>3202</v>
      </c>
      <c r="R941">
        <v>45</v>
      </c>
      <c r="S941" s="1" t="s">
        <v>3203</v>
      </c>
      <c r="T941" t="b">
        <v>0</v>
      </c>
    </row>
    <row r="942" spans="1:20" x14ac:dyDescent="0.25">
      <c r="A942" s="1" t="s">
        <v>3204</v>
      </c>
      <c r="B942" s="1" t="s">
        <v>54</v>
      </c>
      <c r="C942" s="1" t="s">
        <v>986</v>
      </c>
      <c r="D942" s="1" t="s">
        <v>159</v>
      </c>
      <c r="E942" s="1" t="s">
        <v>33</v>
      </c>
      <c r="F942" s="1" t="s">
        <v>25</v>
      </c>
      <c r="G942" s="2">
        <v>44690</v>
      </c>
      <c r="H942" s="2">
        <v>44708</v>
      </c>
      <c r="I942">
        <v>12</v>
      </c>
      <c r="J942">
        <v>18</v>
      </c>
      <c r="K942">
        <v>6</v>
      </c>
      <c r="L942" s="1" t="s">
        <v>42</v>
      </c>
      <c r="M942">
        <v>155.6</v>
      </c>
      <c r="N942">
        <v>364968.89</v>
      </c>
      <c r="O942">
        <v>415258.38</v>
      </c>
      <c r="P942">
        <v>93107.09</v>
      </c>
      <c r="Q942" s="1" t="s">
        <v>3205</v>
      </c>
      <c r="R942">
        <v>44</v>
      </c>
      <c r="S942" s="1" t="s">
        <v>3206</v>
      </c>
      <c r="T942" t="b">
        <v>1</v>
      </c>
    </row>
    <row r="943" spans="1:20" x14ac:dyDescent="0.25">
      <c r="A943" s="1" t="s">
        <v>3207</v>
      </c>
      <c r="B943" s="1" t="s">
        <v>111</v>
      </c>
      <c r="C943" s="1" t="s">
        <v>3208</v>
      </c>
      <c r="D943" s="1" t="s">
        <v>230</v>
      </c>
      <c r="E943" s="1" t="s">
        <v>33</v>
      </c>
      <c r="F943" s="1" t="s">
        <v>25</v>
      </c>
      <c r="G943" s="2">
        <v>45133</v>
      </c>
      <c r="H943" s="2">
        <v>45149</v>
      </c>
      <c r="I943">
        <v>12</v>
      </c>
      <c r="J943">
        <v>16</v>
      </c>
      <c r="K943">
        <v>4</v>
      </c>
      <c r="L943" s="1" t="s">
        <v>26</v>
      </c>
      <c r="M943">
        <v>180.5</v>
      </c>
      <c r="N943">
        <v>742966.77</v>
      </c>
      <c r="O943">
        <v>1613749.98</v>
      </c>
      <c r="P943">
        <v>342463.21</v>
      </c>
      <c r="Q943" s="1" t="s">
        <v>3209</v>
      </c>
      <c r="R943">
        <v>61</v>
      </c>
      <c r="S943" s="1" t="s">
        <v>3210</v>
      </c>
      <c r="T943" t="b">
        <v>0</v>
      </c>
    </row>
    <row r="944" spans="1:20" x14ac:dyDescent="0.25">
      <c r="A944" s="1" t="s">
        <v>3211</v>
      </c>
      <c r="B944" s="1" t="s">
        <v>174</v>
      </c>
      <c r="C944" s="1" t="s">
        <v>3212</v>
      </c>
      <c r="D944" s="1" t="s">
        <v>405</v>
      </c>
      <c r="E944" s="1" t="s">
        <v>33</v>
      </c>
      <c r="F944" s="1" t="s">
        <v>34</v>
      </c>
      <c r="G944" s="2">
        <v>44856</v>
      </c>
      <c r="H944" s="2"/>
      <c r="I944">
        <v>12</v>
      </c>
      <c r="J944">
        <v>11</v>
      </c>
      <c r="K944">
        <v>0</v>
      </c>
      <c r="L944" s="1" t="s">
        <v>26</v>
      </c>
      <c r="M944">
        <v>73.099999999999994</v>
      </c>
      <c r="N944">
        <v>186804.17</v>
      </c>
      <c r="O944">
        <v>93921.34</v>
      </c>
      <c r="P944">
        <v>41976.01</v>
      </c>
      <c r="Q944" s="1" t="s">
        <v>3213</v>
      </c>
      <c r="R944">
        <v>80</v>
      </c>
      <c r="S944" s="1" t="s">
        <v>3214</v>
      </c>
      <c r="T944" t="b">
        <v>0</v>
      </c>
    </row>
    <row r="945" spans="1:20" x14ac:dyDescent="0.25">
      <c r="A945" s="1" t="s">
        <v>3215</v>
      </c>
      <c r="B945" s="1" t="s">
        <v>30</v>
      </c>
      <c r="C945" s="1" t="s">
        <v>800</v>
      </c>
      <c r="D945" s="1" t="s">
        <v>297</v>
      </c>
      <c r="E945" s="1" t="s">
        <v>41</v>
      </c>
      <c r="F945" s="1" t="s">
        <v>25</v>
      </c>
      <c r="G945" s="2">
        <v>44848</v>
      </c>
      <c r="H945" s="2">
        <v>44863</v>
      </c>
      <c r="I945">
        <v>9</v>
      </c>
      <c r="J945">
        <v>15</v>
      </c>
      <c r="K945">
        <v>6</v>
      </c>
      <c r="L945" s="1" t="s">
        <v>42</v>
      </c>
      <c r="M945">
        <v>215.3</v>
      </c>
      <c r="N945">
        <v>777827.71</v>
      </c>
      <c r="O945">
        <v>2985596.93</v>
      </c>
      <c r="P945">
        <v>506011.44</v>
      </c>
      <c r="Q945" s="1" t="s">
        <v>3216</v>
      </c>
      <c r="R945">
        <v>44</v>
      </c>
      <c r="S945" s="1" t="s">
        <v>3217</v>
      </c>
      <c r="T945" t="b">
        <v>1</v>
      </c>
    </row>
    <row r="946" spans="1:20" x14ac:dyDescent="0.25">
      <c r="A946" s="1" t="s">
        <v>3218</v>
      </c>
      <c r="B946" s="1" t="s">
        <v>111</v>
      </c>
      <c r="C946" s="1" t="s">
        <v>521</v>
      </c>
      <c r="D946" s="1" t="s">
        <v>513</v>
      </c>
      <c r="E946" s="1" t="s">
        <v>49</v>
      </c>
      <c r="F946" s="1" t="s">
        <v>34</v>
      </c>
      <c r="G946" s="2">
        <v>44891</v>
      </c>
      <c r="H946" s="2"/>
      <c r="I946">
        <v>25</v>
      </c>
      <c r="J946">
        <v>39</v>
      </c>
      <c r="K946">
        <v>14</v>
      </c>
      <c r="L946" s="1" t="s">
        <v>58</v>
      </c>
      <c r="M946">
        <v>437.6</v>
      </c>
      <c r="N946">
        <v>1696402.55</v>
      </c>
      <c r="O946">
        <v>1325093.8999999999</v>
      </c>
      <c r="P946">
        <v>422187.32</v>
      </c>
      <c r="Q946" s="1" t="s">
        <v>3219</v>
      </c>
      <c r="R946">
        <v>49</v>
      </c>
      <c r="S946" s="1" t="s">
        <v>3220</v>
      </c>
      <c r="T946" t="b">
        <v>1</v>
      </c>
    </row>
    <row r="947" spans="1:20" x14ac:dyDescent="0.25">
      <c r="A947" s="1" t="s">
        <v>3221</v>
      </c>
      <c r="B947" s="1" t="s">
        <v>158</v>
      </c>
      <c r="C947" s="1" t="s">
        <v>918</v>
      </c>
      <c r="D947" s="1" t="s">
        <v>192</v>
      </c>
      <c r="E947" s="1" t="s">
        <v>57</v>
      </c>
      <c r="F947" s="1" t="s">
        <v>25</v>
      </c>
      <c r="G947" s="2">
        <v>44744</v>
      </c>
      <c r="H947" s="2">
        <v>44786</v>
      </c>
      <c r="I947">
        <v>40</v>
      </c>
      <c r="J947">
        <v>42</v>
      </c>
      <c r="K947">
        <v>2</v>
      </c>
      <c r="L947" s="1" t="s">
        <v>26</v>
      </c>
      <c r="M947">
        <v>528.29999999999995</v>
      </c>
      <c r="N947">
        <v>1195210.56</v>
      </c>
      <c r="O947">
        <v>1730258.19</v>
      </c>
      <c r="P947">
        <v>573688.57999999996</v>
      </c>
      <c r="Q947" s="1" t="s">
        <v>791</v>
      </c>
      <c r="R947">
        <v>33</v>
      </c>
      <c r="S947" s="1" t="s">
        <v>3222</v>
      </c>
      <c r="T947" t="b">
        <v>1</v>
      </c>
    </row>
    <row r="948" spans="1:20" x14ac:dyDescent="0.25">
      <c r="A948" s="1" t="s">
        <v>3223</v>
      </c>
      <c r="B948" s="1" t="s">
        <v>70</v>
      </c>
      <c r="C948" s="1" t="s">
        <v>486</v>
      </c>
      <c r="D948" s="1" t="s">
        <v>263</v>
      </c>
      <c r="E948" s="1" t="s">
        <v>33</v>
      </c>
      <c r="F948" s="1" t="s">
        <v>66</v>
      </c>
      <c r="G948" s="2">
        <v>44770</v>
      </c>
      <c r="H948" s="2"/>
      <c r="I948">
        <v>12</v>
      </c>
      <c r="J948">
        <v>8</v>
      </c>
      <c r="K948">
        <v>0</v>
      </c>
      <c r="L948" s="1" t="s">
        <v>26</v>
      </c>
      <c r="M948">
        <v>32</v>
      </c>
      <c r="N948">
        <v>67330.37</v>
      </c>
      <c r="O948">
        <v>3754185.02</v>
      </c>
      <c r="P948">
        <v>473093.28</v>
      </c>
      <c r="Q948" s="1" t="s">
        <v>3224</v>
      </c>
      <c r="R948">
        <v>54</v>
      </c>
      <c r="S948" s="1" t="s">
        <v>3225</v>
      </c>
      <c r="T948" t="b">
        <v>0</v>
      </c>
    </row>
    <row r="949" spans="1:20" x14ac:dyDescent="0.25">
      <c r="A949" s="1" t="s">
        <v>3226</v>
      </c>
      <c r="B949" s="1" t="s">
        <v>174</v>
      </c>
      <c r="C949" s="1" t="s">
        <v>892</v>
      </c>
      <c r="D949" s="1" t="s">
        <v>758</v>
      </c>
      <c r="E949" s="1" t="s">
        <v>33</v>
      </c>
      <c r="F949" s="1" t="s">
        <v>25</v>
      </c>
      <c r="G949" s="2">
        <v>45332</v>
      </c>
      <c r="H949" s="2">
        <v>45341</v>
      </c>
      <c r="I949">
        <v>12</v>
      </c>
      <c r="J949">
        <v>9</v>
      </c>
      <c r="K949">
        <v>0</v>
      </c>
      <c r="L949" s="1" t="s">
        <v>26</v>
      </c>
      <c r="M949">
        <v>84.3</v>
      </c>
      <c r="N949">
        <v>354631.67999999999</v>
      </c>
      <c r="O949">
        <v>2730492.08</v>
      </c>
      <c r="P949">
        <v>403255.99</v>
      </c>
      <c r="Q949" s="1" t="s">
        <v>3227</v>
      </c>
      <c r="R949">
        <v>23</v>
      </c>
      <c r="S949" s="1" t="s">
        <v>3228</v>
      </c>
      <c r="T949" t="b">
        <v>1</v>
      </c>
    </row>
    <row r="950" spans="1:20" x14ac:dyDescent="0.25">
      <c r="A950" s="1" t="s">
        <v>3229</v>
      </c>
      <c r="B950" s="1" t="s">
        <v>242</v>
      </c>
      <c r="C950" s="1" t="s">
        <v>734</v>
      </c>
      <c r="D950" s="1" t="s">
        <v>23</v>
      </c>
      <c r="E950" s="1" t="s">
        <v>24</v>
      </c>
      <c r="F950" s="1" t="s">
        <v>66</v>
      </c>
      <c r="G950" s="2">
        <v>45372</v>
      </c>
      <c r="H950" s="2"/>
      <c r="I950">
        <v>3</v>
      </c>
      <c r="J950">
        <v>1</v>
      </c>
      <c r="K950">
        <v>0</v>
      </c>
      <c r="L950" s="1" t="s">
        <v>26</v>
      </c>
      <c r="M950">
        <v>15.7</v>
      </c>
      <c r="N950">
        <v>32266.54</v>
      </c>
      <c r="O950">
        <v>1384204.99</v>
      </c>
      <c r="P950">
        <v>282575.99</v>
      </c>
      <c r="Q950" s="1" t="s">
        <v>3230</v>
      </c>
      <c r="R950">
        <v>50</v>
      </c>
      <c r="S950" s="1" t="s">
        <v>3231</v>
      </c>
      <c r="T950" t="b">
        <v>1</v>
      </c>
    </row>
    <row r="951" spans="1:20" x14ac:dyDescent="0.25">
      <c r="A951" s="1" t="s">
        <v>3232</v>
      </c>
      <c r="B951" s="1" t="s">
        <v>220</v>
      </c>
      <c r="C951" s="1" t="s">
        <v>654</v>
      </c>
      <c r="D951" s="1" t="s">
        <v>336</v>
      </c>
      <c r="E951" s="1" t="s">
        <v>65</v>
      </c>
      <c r="F951" s="1" t="s">
        <v>34</v>
      </c>
      <c r="G951" s="2">
        <v>44852</v>
      </c>
      <c r="H951" s="2"/>
      <c r="I951">
        <v>4</v>
      </c>
      <c r="J951">
        <v>8</v>
      </c>
      <c r="K951">
        <v>3.5</v>
      </c>
      <c r="L951" s="1" t="s">
        <v>26</v>
      </c>
      <c r="M951">
        <v>96.1</v>
      </c>
      <c r="N951">
        <v>217172.46</v>
      </c>
      <c r="O951">
        <v>941375.14</v>
      </c>
      <c r="P951">
        <v>117478.29</v>
      </c>
      <c r="Q951" s="1" t="s">
        <v>3233</v>
      </c>
      <c r="R951">
        <v>31</v>
      </c>
      <c r="S951" s="1" t="s">
        <v>3234</v>
      </c>
      <c r="T951" t="b">
        <v>1</v>
      </c>
    </row>
    <row r="952" spans="1:20" x14ac:dyDescent="0.25">
      <c r="A952" s="1" t="s">
        <v>3235</v>
      </c>
      <c r="B952" s="1" t="s">
        <v>93</v>
      </c>
      <c r="C952" s="1" t="s">
        <v>697</v>
      </c>
      <c r="D952" s="1" t="s">
        <v>32</v>
      </c>
      <c r="E952" s="1" t="s">
        <v>24</v>
      </c>
      <c r="F952" s="1" t="s">
        <v>66</v>
      </c>
      <c r="G952" s="2">
        <v>44958</v>
      </c>
      <c r="H952" s="2"/>
      <c r="I952">
        <v>3</v>
      </c>
      <c r="J952">
        <v>4</v>
      </c>
      <c r="K952">
        <v>1</v>
      </c>
      <c r="L952" s="1" t="s">
        <v>26</v>
      </c>
      <c r="M952">
        <v>24.2</v>
      </c>
      <c r="N952">
        <v>79243.81</v>
      </c>
      <c r="O952">
        <v>3675394.38</v>
      </c>
      <c r="P952">
        <v>559931.39</v>
      </c>
      <c r="Q952" s="1" t="s">
        <v>2424</v>
      </c>
      <c r="R952">
        <v>72</v>
      </c>
      <c r="S952" s="1" t="s">
        <v>3236</v>
      </c>
      <c r="T952" t="b">
        <v>1</v>
      </c>
    </row>
    <row r="953" spans="1:20" x14ac:dyDescent="0.25">
      <c r="A953" s="1" t="s">
        <v>3237</v>
      </c>
      <c r="B953" s="1" t="s">
        <v>54</v>
      </c>
      <c r="C953" s="1" t="s">
        <v>1021</v>
      </c>
      <c r="D953" s="1" t="s">
        <v>359</v>
      </c>
      <c r="E953" s="1" t="s">
        <v>33</v>
      </c>
      <c r="F953" s="1" t="s">
        <v>50</v>
      </c>
      <c r="G953" s="2">
        <v>45059</v>
      </c>
      <c r="H953" s="2"/>
      <c r="I953">
        <v>12</v>
      </c>
      <c r="J953">
        <v>14</v>
      </c>
      <c r="K953">
        <v>2</v>
      </c>
      <c r="L953" s="1" t="s">
        <v>26</v>
      </c>
      <c r="M953">
        <v>85.8</v>
      </c>
      <c r="N953">
        <v>312323.64</v>
      </c>
      <c r="O953">
        <v>1599023.75</v>
      </c>
      <c r="P953">
        <v>196707.65</v>
      </c>
      <c r="Q953" s="1" t="s">
        <v>3238</v>
      </c>
      <c r="R953">
        <v>64</v>
      </c>
      <c r="S953" s="1" t="s">
        <v>3239</v>
      </c>
      <c r="T953" t="b">
        <v>0</v>
      </c>
    </row>
    <row r="954" spans="1:20" x14ac:dyDescent="0.25">
      <c r="A954" s="1" t="s">
        <v>3240</v>
      </c>
      <c r="B954" s="1" t="s">
        <v>471</v>
      </c>
      <c r="C954" s="1" t="s">
        <v>1794</v>
      </c>
      <c r="D954" s="1" t="s">
        <v>56</v>
      </c>
      <c r="E954" s="1" t="s">
        <v>41</v>
      </c>
      <c r="F954" s="1" t="s">
        <v>25</v>
      </c>
      <c r="G954" s="2">
        <v>45386</v>
      </c>
      <c r="H954" s="2">
        <v>45396</v>
      </c>
      <c r="I954">
        <v>9</v>
      </c>
      <c r="J954">
        <v>10</v>
      </c>
      <c r="K954">
        <v>1</v>
      </c>
      <c r="L954" s="1" t="s">
        <v>26</v>
      </c>
      <c r="M954">
        <v>97.4</v>
      </c>
      <c r="N954">
        <v>191385.17</v>
      </c>
      <c r="O954">
        <v>4305911.1500000004</v>
      </c>
      <c r="P954">
        <v>673004.39</v>
      </c>
      <c r="Q954" s="1" t="s">
        <v>3241</v>
      </c>
      <c r="R954">
        <v>68</v>
      </c>
      <c r="S954" s="1" t="s">
        <v>3242</v>
      </c>
      <c r="T954" t="b">
        <v>1</v>
      </c>
    </row>
    <row r="955" spans="1:20" x14ac:dyDescent="0.25">
      <c r="A955" s="1" t="s">
        <v>3243</v>
      </c>
      <c r="B955" s="1" t="s">
        <v>21</v>
      </c>
      <c r="C955" s="1" t="s">
        <v>3244</v>
      </c>
      <c r="D955" s="1" t="s">
        <v>192</v>
      </c>
      <c r="E955" s="1" t="s">
        <v>49</v>
      </c>
      <c r="F955" s="1" t="s">
        <v>25</v>
      </c>
      <c r="G955" s="2">
        <v>45332</v>
      </c>
      <c r="H955" s="2">
        <v>45344</v>
      </c>
      <c r="I955">
        <v>25</v>
      </c>
      <c r="J955">
        <v>12</v>
      </c>
      <c r="K955">
        <v>0</v>
      </c>
      <c r="L955" s="1" t="s">
        <v>26</v>
      </c>
      <c r="M955">
        <v>142.9</v>
      </c>
      <c r="N955">
        <v>323173.88</v>
      </c>
      <c r="O955">
        <v>1127301.98</v>
      </c>
      <c r="P955">
        <v>195713.26</v>
      </c>
      <c r="Q955" s="1" t="s">
        <v>3245</v>
      </c>
      <c r="R955">
        <v>69</v>
      </c>
      <c r="S955" s="1" t="s">
        <v>3246</v>
      </c>
      <c r="T955" t="b">
        <v>0</v>
      </c>
    </row>
    <row r="956" spans="1:20" x14ac:dyDescent="0.25">
      <c r="A956" s="1" t="s">
        <v>3247</v>
      </c>
      <c r="B956" s="1" t="s">
        <v>185</v>
      </c>
      <c r="C956" s="1" t="s">
        <v>1999</v>
      </c>
      <c r="D956" s="1" t="s">
        <v>758</v>
      </c>
      <c r="E956" s="1" t="s">
        <v>33</v>
      </c>
      <c r="F956" s="1" t="s">
        <v>34</v>
      </c>
      <c r="G956" s="2">
        <v>45478</v>
      </c>
      <c r="H956" s="2"/>
      <c r="I956">
        <v>12</v>
      </c>
      <c r="J956">
        <v>10</v>
      </c>
      <c r="K956">
        <v>0</v>
      </c>
      <c r="L956" s="1" t="s">
        <v>26</v>
      </c>
      <c r="M956">
        <v>88.6</v>
      </c>
      <c r="N956">
        <v>195444.46</v>
      </c>
      <c r="O956">
        <v>373582.25</v>
      </c>
      <c r="P956">
        <v>93963.48</v>
      </c>
      <c r="Q956" s="1" t="s">
        <v>3248</v>
      </c>
      <c r="R956">
        <v>56</v>
      </c>
      <c r="S956" s="1" t="s">
        <v>3249</v>
      </c>
      <c r="T956" t="b">
        <v>0</v>
      </c>
    </row>
    <row r="957" spans="1:20" x14ac:dyDescent="0.25">
      <c r="A957" s="1" t="s">
        <v>3250</v>
      </c>
      <c r="B957" s="1" t="s">
        <v>122</v>
      </c>
      <c r="C957" s="1" t="s">
        <v>784</v>
      </c>
      <c r="D957" s="1" t="s">
        <v>154</v>
      </c>
      <c r="E957" s="1" t="s">
        <v>49</v>
      </c>
      <c r="F957" s="1" t="s">
        <v>25</v>
      </c>
      <c r="G957" s="2">
        <v>45497</v>
      </c>
      <c r="H957" s="2">
        <v>45524</v>
      </c>
      <c r="I957">
        <v>25</v>
      </c>
      <c r="J957">
        <v>27</v>
      </c>
      <c r="K957">
        <v>2</v>
      </c>
      <c r="L957" s="1" t="s">
        <v>26</v>
      </c>
      <c r="M957">
        <v>299.39999999999998</v>
      </c>
      <c r="N957">
        <v>1163450.8600000001</v>
      </c>
      <c r="O957">
        <v>1349902.23</v>
      </c>
      <c r="P957">
        <v>359399.71</v>
      </c>
      <c r="Q957" s="1" t="s">
        <v>3251</v>
      </c>
      <c r="R957">
        <v>28</v>
      </c>
      <c r="S957" s="1" t="s">
        <v>3252</v>
      </c>
      <c r="T957" t="b">
        <v>1</v>
      </c>
    </row>
    <row r="958" spans="1:20" x14ac:dyDescent="0.25">
      <c r="A958" s="1" t="s">
        <v>3253</v>
      </c>
      <c r="B958" s="1" t="s">
        <v>163</v>
      </c>
      <c r="C958" s="1" t="s">
        <v>1113</v>
      </c>
      <c r="D958" s="1" t="s">
        <v>78</v>
      </c>
      <c r="E958" s="1" t="s">
        <v>33</v>
      </c>
      <c r="F958" s="1" t="s">
        <v>66</v>
      </c>
      <c r="G958" s="2">
        <v>45239</v>
      </c>
      <c r="H958" s="2"/>
      <c r="I958">
        <v>12</v>
      </c>
      <c r="J958">
        <v>17</v>
      </c>
      <c r="K958">
        <v>5</v>
      </c>
      <c r="L958" s="1" t="s">
        <v>26</v>
      </c>
      <c r="M958">
        <v>216.8</v>
      </c>
      <c r="N958">
        <v>777931.88</v>
      </c>
      <c r="O958">
        <v>2715988.8</v>
      </c>
      <c r="P958">
        <v>690052.6</v>
      </c>
      <c r="Q958" s="1" t="s">
        <v>3254</v>
      </c>
      <c r="R958">
        <v>76</v>
      </c>
      <c r="S958" s="1" t="s">
        <v>3255</v>
      </c>
      <c r="T958" t="b">
        <v>0</v>
      </c>
    </row>
    <row r="959" spans="1:20" x14ac:dyDescent="0.25">
      <c r="A959" s="1" t="s">
        <v>3256</v>
      </c>
      <c r="B959" s="1" t="s">
        <v>138</v>
      </c>
      <c r="C959" s="1" t="s">
        <v>2311</v>
      </c>
      <c r="D959" s="1" t="s">
        <v>670</v>
      </c>
      <c r="E959" s="1" t="s">
        <v>49</v>
      </c>
      <c r="F959" s="1" t="s">
        <v>34</v>
      </c>
      <c r="G959" s="2">
        <v>45610</v>
      </c>
      <c r="H959" s="2"/>
      <c r="I959">
        <v>25</v>
      </c>
      <c r="J959">
        <v>12</v>
      </c>
      <c r="K959">
        <v>0</v>
      </c>
      <c r="L959" s="1" t="s">
        <v>26</v>
      </c>
      <c r="M959">
        <v>141.19999999999999</v>
      </c>
      <c r="N959">
        <v>362266.68</v>
      </c>
      <c r="O959">
        <v>2264799.66</v>
      </c>
      <c r="P959">
        <v>406063.64</v>
      </c>
      <c r="Q959" s="1" t="s">
        <v>3257</v>
      </c>
      <c r="R959">
        <v>42</v>
      </c>
      <c r="S959" s="1" t="s">
        <v>3258</v>
      </c>
      <c r="T959" t="b">
        <v>1</v>
      </c>
    </row>
    <row r="960" spans="1:20" x14ac:dyDescent="0.25">
      <c r="A960" s="1" t="s">
        <v>3259</v>
      </c>
      <c r="B960" s="1" t="s">
        <v>117</v>
      </c>
      <c r="C960" s="1" t="s">
        <v>815</v>
      </c>
      <c r="D960" s="1" t="s">
        <v>541</v>
      </c>
      <c r="E960" s="1" t="s">
        <v>49</v>
      </c>
      <c r="F960" s="1" t="s">
        <v>25</v>
      </c>
      <c r="G960" s="2">
        <v>45043</v>
      </c>
      <c r="H960" s="2">
        <v>45067</v>
      </c>
      <c r="I960">
        <v>25</v>
      </c>
      <c r="J960">
        <v>24</v>
      </c>
      <c r="K960">
        <v>0</v>
      </c>
      <c r="L960" s="1" t="s">
        <v>26</v>
      </c>
      <c r="M960">
        <v>208.5</v>
      </c>
      <c r="N960">
        <v>485631.87</v>
      </c>
      <c r="O960">
        <v>3847845.45</v>
      </c>
      <c r="P960">
        <v>717938.77</v>
      </c>
      <c r="Q960" s="1" t="s">
        <v>1036</v>
      </c>
      <c r="R960">
        <v>24</v>
      </c>
      <c r="S960" s="1" t="s">
        <v>3260</v>
      </c>
      <c r="T960" t="b">
        <v>1</v>
      </c>
    </row>
    <row r="961" spans="1:20" x14ac:dyDescent="0.25">
      <c r="A961" s="1" t="s">
        <v>3261</v>
      </c>
      <c r="B961" s="1" t="s">
        <v>70</v>
      </c>
      <c r="C961" s="1" t="s">
        <v>88</v>
      </c>
      <c r="D961" s="1" t="s">
        <v>655</v>
      </c>
      <c r="E961" s="1" t="s">
        <v>65</v>
      </c>
      <c r="F961" s="1" t="s">
        <v>66</v>
      </c>
      <c r="G961" s="2">
        <v>45506</v>
      </c>
      <c r="H961" s="2"/>
      <c r="I961">
        <v>4</v>
      </c>
      <c r="J961">
        <v>8</v>
      </c>
      <c r="K961">
        <v>3.5</v>
      </c>
      <c r="L961" s="1" t="s">
        <v>193</v>
      </c>
      <c r="M961">
        <v>68.900000000000006</v>
      </c>
      <c r="N961">
        <v>151909.07</v>
      </c>
      <c r="O961">
        <v>3121969.83</v>
      </c>
      <c r="P961">
        <v>627052.01</v>
      </c>
      <c r="Q961" s="1" t="s">
        <v>3262</v>
      </c>
      <c r="R961">
        <v>56</v>
      </c>
      <c r="S961" s="1" t="s">
        <v>3263</v>
      </c>
      <c r="T961" t="b">
        <v>1</v>
      </c>
    </row>
    <row r="962" spans="1:20" x14ac:dyDescent="0.25">
      <c r="A962" s="1" t="s">
        <v>3264</v>
      </c>
      <c r="B962" s="1" t="s">
        <v>348</v>
      </c>
      <c r="C962" s="1" t="s">
        <v>1639</v>
      </c>
      <c r="D962" s="1" t="s">
        <v>410</v>
      </c>
      <c r="E962" s="1" t="s">
        <v>41</v>
      </c>
      <c r="F962" s="1" t="s">
        <v>25</v>
      </c>
      <c r="G962" s="2">
        <v>45573</v>
      </c>
      <c r="H962" s="2">
        <v>45588</v>
      </c>
      <c r="I962">
        <v>9</v>
      </c>
      <c r="J962">
        <v>15</v>
      </c>
      <c r="K962">
        <v>6</v>
      </c>
      <c r="L962" s="1" t="s">
        <v>193</v>
      </c>
      <c r="M962">
        <v>175.8</v>
      </c>
      <c r="N962">
        <v>467502.38</v>
      </c>
      <c r="O962">
        <v>2626689.9500000002</v>
      </c>
      <c r="P962">
        <v>432751.78</v>
      </c>
      <c r="Q962" s="1" t="s">
        <v>3265</v>
      </c>
      <c r="R962">
        <v>37</v>
      </c>
      <c r="S962" s="1" t="s">
        <v>3266</v>
      </c>
      <c r="T962" t="b">
        <v>1</v>
      </c>
    </row>
    <row r="963" spans="1:20" x14ac:dyDescent="0.25">
      <c r="A963" s="1" t="s">
        <v>3267</v>
      </c>
      <c r="B963" s="1" t="s">
        <v>228</v>
      </c>
      <c r="C963" s="1" t="s">
        <v>982</v>
      </c>
      <c r="D963" s="1" t="s">
        <v>84</v>
      </c>
      <c r="E963" s="1" t="s">
        <v>65</v>
      </c>
      <c r="F963" s="1" t="s">
        <v>25</v>
      </c>
      <c r="G963" s="2">
        <v>45300</v>
      </c>
      <c r="H963" s="2">
        <v>45306</v>
      </c>
      <c r="I963">
        <v>4</v>
      </c>
      <c r="J963">
        <v>6</v>
      </c>
      <c r="K963">
        <v>1.5</v>
      </c>
      <c r="L963" s="1" t="s">
        <v>26</v>
      </c>
      <c r="M963">
        <v>73.400000000000006</v>
      </c>
      <c r="N963">
        <v>244922.76</v>
      </c>
      <c r="O963">
        <v>162864.35999999999</v>
      </c>
      <c r="P963">
        <v>45868.93</v>
      </c>
      <c r="Q963" s="1" t="s">
        <v>3010</v>
      </c>
      <c r="R963">
        <v>36</v>
      </c>
      <c r="S963" s="1" t="s">
        <v>3268</v>
      </c>
      <c r="T963" t="b">
        <v>1</v>
      </c>
    </row>
    <row r="964" spans="1:20" x14ac:dyDescent="0.25">
      <c r="A964" s="1" t="s">
        <v>3269</v>
      </c>
      <c r="B964" s="1" t="s">
        <v>70</v>
      </c>
      <c r="C964" s="1" t="s">
        <v>932</v>
      </c>
      <c r="D964" s="1" t="s">
        <v>288</v>
      </c>
      <c r="E964" s="1" t="s">
        <v>65</v>
      </c>
      <c r="F964" s="1" t="s">
        <v>25</v>
      </c>
      <c r="G964" s="2">
        <v>45634</v>
      </c>
      <c r="H964" s="2">
        <v>45641</v>
      </c>
      <c r="I964">
        <v>4</v>
      </c>
      <c r="J964">
        <v>7</v>
      </c>
      <c r="K964">
        <v>2.5</v>
      </c>
      <c r="L964" s="1" t="s">
        <v>26</v>
      </c>
      <c r="M964">
        <v>44.5</v>
      </c>
      <c r="N964">
        <v>122515.34</v>
      </c>
      <c r="O964">
        <v>4077980.64</v>
      </c>
      <c r="P964">
        <v>543613.02</v>
      </c>
      <c r="Q964" s="1" t="s">
        <v>3270</v>
      </c>
      <c r="R964">
        <v>56</v>
      </c>
      <c r="S964" s="1" t="s">
        <v>3271</v>
      </c>
      <c r="T964" t="b">
        <v>0</v>
      </c>
    </row>
    <row r="965" spans="1:20" x14ac:dyDescent="0.25">
      <c r="A965" s="1" t="s">
        <v>3272</v>
      </c>
      <c r="B965" s="1" t="s">
        <v>545</v>
      </c>
      <c r="C965" s="1" t="s">
        <v>1501</v>
      </c>
      <c r="D965" s="1" t="s">
        <v>282</v>
      </c>
      <c r="E965" s="1" t="s">
        <v>57</v>
      </c>
      <c r="F965" s="1" t="s">
        <v>50</v>
      </c>
      <c r="G965" s="2">
        <v>45363</v>
      </c>
      <c r="H965" s="2"/>
      <c r="I965">
        <v>40</v>
      </c>
      <c r="J965">
        <v>32</v>
      </c>
      <c r="K965">
        <v>0</v>
      </c>
      <c r="L965" s="1" t="s">
        <v>26</v>
      </c>
      <c r="M965">
        <v>337.7</v>
      </c>
      <c r="N965">
        <v>1429855</v>
      </c>
      <c r="O965">
        <v>2867246.41</v>
      </c>
      <c r="P965">
        <v>474014.38</v>
      </c>
      <c r="Q965" s="1" t="s">
        <v>3273</v>
      </c>
      <c r="R965">
        <v>68</v>
      </c>
      <c r="S965" s="1" t="s">
        <v>3274</v>
      </c>
      <c r="T965" t="b">
        <v>0</v>
      </c>
    </row>
    <row r="966" spans="1:20" x14ac:dyDescent="0.25">
      <c r="A966" s="1" t="s">
        <v>3275</v>
      </c>
      <c r="B966" s="1" t="s">
        <v>566</v>
      </c>
      <c r="C966" s="1" t="s">
        <v>1254</v>
      </c>
      <c r="D966" s="1" t="s">
        <v>686</v>
      </c>
      <c r="E966" s="1" t="s">
        <v>57</v>
      </c>
      <c r="F966" s="1" t="s">
        <v>25</v>
      </c>
      <c r="G966" s="2">
        <v>45551</v>
      </c>
      <c r="H966" s="2">
        <v>45595</v>
      </c>
      <c r="I966">
        <v>40</v>
      </c>
      <c r="J966">
        <v>44</v>
      </c>
      <c r="K966">
        <v>4</v>
      </c>
      <c r="L966" s="1" t="s">
        <v>26</v>
      </c>
      <c r="M966">
        <v>264.5</v>
      </c>
      <c r="N966">
        <v>887053.1</v>
      </c>
      <c r="O966">
        <v>2024220.53</v>
      </c>
      <c r="P966">
        <v>462637.55</v>
      </c>
      <c r="Q966" s="1" t="s">
        <v>3276</v>
      </c>
      <c r="R966">
        <v>34</v>
      </c>
      <c r="S966" s="1" t="s">
        <v>3277</v>
      </c>
      <c r="T966" t="b">
        <v>1</v>
      </c>
    </row>
    <row r="967" spans="1:20" x14ac:dyDescent="0.25">
      <c r="A967" s="1" t="s">
        <v>3278</v>
      </c>
      <c r="B967" s="1" t="s">
        <v>253</v>
      </c>
      <c r="C967" s="1" t="s">
        <v>504</v>
      </c>
      <c r="D967" s="1" t="s">
        <v>40</v>
      </c>
      <c r="E967" s="1" t="s">
        <v>24</v>
      </c>
      <c r="F967" s="1" t="s">
        <v>25</v>
      </c>
      <c r="G967" s="2">
        <v>45363</v>
      </c>
      <c r="H967" s="2">
        <v>45364</v>
      </c>
      <c r="I967">
        <v>3</v>
      </c>
      <c r="J967">
        <v>1</v>
      </c>
      <c r="K967">
        <v>0</v>
      </c>
      <c r="L967" s="1" t="s">
        <v>26</v>
      </c>
      <c r="M967">
        <v>15.4</v>
      </c>
      <c r="N967">
        <v>48078.9</v>
      </c>
      <c r="O967">
        <v>1321618.27</v>
      </c>
      <c r="P967">
        <v>189878.25</v>
      </c>
      <c r="Q967" s="1" t="s">
        <v>3279</v>
      </c>
      <c r="R967">
        <v>51</v>
      </c>
      <c r="S967" s="1" t="s">
        <v>3280</v>
      </c>
      <c r="T967" t="b">
        <v>0</v>
      </c>
    </row>
    <row r="968" spans="1:20" x14ac:dyDescent="0.25">
      <c r="A968" s="1" t="s">
        <v>3281</v>
      </c>
      <c r="B968" s="1" t="s">
        <v>105</v>
      </c>
      <c r="C968" s="1" t="s">
        <v>1452</v>
      </c>
      <c r="D968" s="1" t="s">
        <v>72</v>
      </c>
      <c r="E968" s="1" t="s">
        <v>57</v>
      </c>
      <c r="F968" s="1" t="s">
        <v>25</v>
      </c>
      <c r="G968" s="2">
        <v>45097</v>
      </c>
      <c r="H968" s="2">
        <v>45129</v>
      </c>
      <c r="I968">
        <v>40</v>
      </c>
      <c r="J968">
        <v>32</v>
      </c>
      <c r="K968">
        <v>0</v>
      </c>
      <c r="L968" s="1" t="s">
        <v>26</v>
      </c>
      <c r="M968">
        <v>245.7</v>
      </c>
      <c r="N968">
        <v>855671.57</v>
      </c>
      <c r="O968">
        <v>4389972.83</v>
      </c>
      <c r="P968">
        <v>993455.35</v>
      </c>
      <c r="Q968" s="1" t="s">
        <v>3282</v>
      </c>
      <c r="R968">
        <v>50</v>
      </c>
      <c r="S968" s="1" t="s">
        <v>3283</v>
      </c>
      <c r="T968" t="b">
        <v>1</v>
      </c>
    </row>
    <row r="969" spans="1:20" x14ac:dyDescent="0.25">
      <c r="A969" s="1" t="s">
        <v>3284</v>
      </c>
      <c r="B969" s="1" t="s">
        <v>545</v>
      </c>
      <c r="C969" s="1" t="s">
        <v>229</v>
      </c>
      <c r="D969" s="1" t="s">
        <v>216</v>
      </c>
      <c r="E969" s="1" t="s">
        <v>57</v>
      </c>
      <c r="F969" s="1" t="s">
        <v>66</v>
      </c>
      <c r="G969" s="2">
        <v>44658</v>
      </c>
      <c r="H969" s="2"/>
      <c r="I969">
        <v>40</v>
      </c>
      <c r="J969">
        <v>41</v>
      </c>
      <c r="K969">
        <v>1</v>
      </c>
      <c r="L969" s="1" t="s">
        <v>26</v>
      </c>
      <c r="M969">
        <v>450.3</v>
      </c>
      <c r="N969">
        <v>1137755.54</v>
      </c>
      <c r="O969">
        <v>198075.81</v>
      </c>
      <c r="P969">
        <v>245600.99</v>
      </c>
      <c r="Q969" s="1" t="s">
        <v>3285</v>
      </c>
      <c r="R969">
        <v>26</v>
      </c>
      <c r="S969" s="1" t="s">
        <v>3286</v>
      </c>
      <c r="T969" t="b">
        <v>0</v>
      </c>
    </row>
    <row r="970" spans="1:20" x14ac:dyDescent="0.25">
      <c r="A970" s="1" t="s">
        <v>3287</v>
      </c>
      <c r="B970" s="1" t="s">
        <v>403</v>
      </c>
      <c r="C970" s="1" t="s">
        <v>819</v>
      </c>
      <c r="D970" s="1" t="s">
        <v>249</v>
      </c>
      <c r="E970" s="1" t="s">
        <v>57</v>
      </c>
      <c r="F970" s="1" t="s">
        <v>25</v>
      </c>
      <c r="G970" s="2">
        <v>45233</v>
      </c>
      <c r="H970" s="2">
        <v>45266</v>
      </c>
      <c r="I970">
        <v>40</v>
      </c>
      <c r="J970">
        <v>33</v>
      </c>
      <c r="K970">
        <v>0</v>
      </c>
      <c r="L970" s="1" t="s">
        <v>26</v>
      </c>
      <c r="M970">
        <v>420.7</v>
      </c>
      <c r="N970">
        <v>1173120.83</v>
      </c>
      <c r="O970">
        <v>4431633.4400000004</v>
      </c>
      <c r="P970">
        <v>1018685.84</v>
      </c>
      <c r="Q970" s="1" t="s">
        <v>3288</v>
      </c>
      <c r="R970">
        <v>71</v>
      </c>
      <c r="S970" s="1" t="s">
        <v>3289</v>
      </c>
      <c r="T970" t="b">
        <v>0</v>
      </c>
    </row>
    <row r="971" spans="1:20" x14ac:dyDescent="0.25">
      <c r="A971" s="1" t="s">
        <v>3290</v>
      </c>
      <c r="B971" s="1" t="s">
        <v>158</v>
      </c>
      <c r="C971" s="1" t="s">
        <v>201</v>
      </c>
      <c r="D971" s="1" t="s">
        <v>541</v>
      </c>
      <c r="E971" s="1" t="s">
        <v>24</v>
      </c>
      <c r="F971" s="1" t="s">
        <v>25</v>
      </c>
      <c r="G971" s="2">
        <v>45478</v>
      </c>
      <c r="H971" s="2">
        <v>45479</v>
      </c>
      <c r="I971">
        <v>3</v>
      </c>
      <c r="J971">
        <v>1</v>
      </c>
      <c r="K971">
        <v>0</v>
      </c>
      <c r="L971" s="1" t="s">
        <v>26</v>
      </c>
      <c r="M971">
        <v>15.5</v>
      </c>
      <c r="N971">
        <v>39021.82</v>
      </c>
      <c r="O971">
        <v>4234559.34</v>
      </c>
      <c r="P971">
        <v>725280.53</v>
      </c>
      <c r="Q971" s="1" t="s">
        <v>3291</v>
      </c>
      <c r="R971">
        <v>42</v>
      </c>
      <c r="S971" s="1" t="s">
        <v>3292</v>
      </c>
      <c r="T971" t="b">
        <v>1</v>
      </c>
    </row>
    <row r="972" spans="1:20" x14ac:dyDescent="0.25">
      <c r="A972" s="1" t="s">
        <v>3293</v>
      </c>
      <c r="B972" s="1" t="s">
        <v>272</v>
      </c>
      <c r="C972" s="1" t="s">
        <v>738</v>
      </c>
      <c r="D972" s="1" t="s">
        <v>56</v>
      </c>
      <c r="E972" s="1" t="s">
        <v>65</v>
      </c>
      <c r="F972" s="1" t="s">
        <v>66</v>
      </c>
      <c r="G972" s="2">
        <v>45497</v>
      </c>
      <c r="H972" s="2"/>
      <c r="I972">
        <v>4</v>
      </c>
      <c r="J972">
        <v>2</v>
      </c>
      <c r="K972">
        <v>0</v>
      </c>
      <c r="L972" s="1" t="s">
        <v>26</v>
      </c>
      <c r="M972">
        <v>24.7</v>
      </c>
      <c r="N972">
        <v>79386.95</v>
      </c>
      <c r="O972">
        <v>2811813.13</v>
      </c>
      <c r="P972">
        <v>464058.36</v>
      </c>
      <c r="Q972" s="1" t="s">
        <v>1274</v>
      </c>
      <c r="R972">
        <v>28</v>
      </c>
      <c r="S972" s="1" t="s">
        <v>3294</v>
      </c>
      <c r="T972" t="b">
        <v>1</v>
      </c>
    </row>
    <row r="973" spans="1:20" x14ac:dyDescent="0.25">
      <c r="A973" s="1" t="s">
        <v>3295</v>
      </c>
      <c r="B973" s="1" t="s">
        <v>286</v>
      </c>
      <c r="C973" s="1" t="s">
        <v>1497</v>
      </c>
      <c r="D973" s="1" t="s">
        <v>107</v>
      </c>
      <c r="E973" s="1" t="s">
        <v>49</v>
      </c>
      <c r="F973" s="1" t="s">
        <v>66</v>
      </c>
      <c r="G973" s="2">
        <v>45615</v>
      </c>
      <c r="H973" s="2"/>
      <c r="I973">
        <v>25</v>
      </c>
      <c r="J973">
        <v>37</v>
      </c>
      <c r="K973">
        <v>12</v>
      </c>
      <c r="L973" s="1" t="s">
        <v>42</v>
      </c>
      <c r="M973">
        <v>488.5</v>
      </c>
      <c r="N973">
        <v>1409773.26</v>
      </c>
      <c r="O973">
        <v>4452024.41</v>
      </c>
      <c r="P973">
        <v>1134359.83</v>
      </c>
      <c r="Q973" s="1" t="s">
        <v>3296</v>
      </c>
      <c r="R973">
        <v>40</v>
      </c>
      <c r="S973" s="1" t="s">
        <v>3297</v>
      </c>
      <c r="T973" t="b">
        <v>0</v>
      </c>
    </row>
    <row r="974" spans="1:20" x14ac:dyDescent="0.25">
      <c r="A974" s="1" t="s">
        <v>3298</v>
      </c>
      <c r="B974" s="1" t="s">
        <v>117</v>
      </c>
      <c r="C974" s="1" t="s">
        <v>2469</v>
      </c>
      <c r="D974" s="1" t="s">
        <v>95</v>
      </c>
      <c r="E974" s="1" t="s">
        <v>49</v>
      </c>
      <c r="F974" s="1" t="s">
        <v>25</v>
      </c>
      <c r="G974" s="2">
        <v>45483</v>
      </c>
      <c r="H974" s="2">
        <v>45501</v>
      </c>
      <c r="I974">
        <v>25</v>
      </c>
      <c r="J974">
        <v>18</v>
      </c>
      <c r="K974">
        <v>0</v>
      </c>
      <c r="L974" s="1" t="s">
        <v>26</v>
      </c>
      <c r="M974">
        <v>136.5</v>
      </c>
      <c r="N974">
        <v>307465.24</v>
      </c>
      <c r="O974">
        <v>2468632.19</v>
      </c>
      <c r="P974">
        <v>371411.44</v>
      </c>
      <c r="Q974" s="1" t="s">
        <v>3299</v>
      </c>
      <c r="R974">
        <v>41</v>
      </c>
      <c r="S974" s="1" t="s">
        <v>3300</v>
      </c>
      <c r="T974" t="b">
        <v>0</v>
      </c>
    </row>
    <row r="975" spans="1:20" x14ac:dyDescent="0.25">
      <c r="A975" s="1" t="s">
        <v>3301</v>
      </c>
      <c r="B975" s="1" t="s">
        <v>286</v>
      </c>
      <c r="C975" s="1" t="s">
        <v>1949</v>
      </c>
      <c r="D975" s="1" t="s">
        <v>505</v>
      </c>
      <c r="E975" s="1" t="s">
        <v>24</v>
      </c>
      <c r="F975" s="1" t="s">
        <v>50</v>
      </c>
      <c r="G975" s="2">
        <v>45306</v>
      </c>
      <c r="H975" s="2"/>
      <c r="I975">
        <v>3</v>
      </c>
      <c r="J975">
        <v>5</v>
      </c>
      <c r="K975">
        <v>2</v>
      </c>
      <c r="L975" s="1" t="s">
        <v>26</v>
      </c>
      <c r="M975">
        <v>37.299999999999997</v>
      </c>
      <c r="N975">
        <v>117699.56</v>
      </c>
      <c r="O975">
        <v>1529663.15</v>
      </c>
      <c r="P975">
        <v>265947.36</v>
      </c>
      <c r="Q975" s="1" t="s">
        <v>3302</v>
      </c>
      <c r="R975">
        <v>28</v>
      </c>
      <c r="S975" s="1" t="s">
        <v>3303</v>
      </c>
      <c r="T975" t="b">
        <v>1</v>
      </c>
    </row>
    <row r="976" spans="1:20" x14ac:dyDescent="0.25">
      <c r="A976" s="1" t="s">
        <v>3304</v>
      </c>
      <c r="B976" s="1" t="s">
        <v>105</v>
      </c>
      <c r="C976" s="1" t="s">
        <v>753</v>
      </c>
      <c r="D976" s="1" t="s">
        <v>32</v>
      </c>
      <c r="E976" s="1" t="s">
        <v>33</v>
      </c>
      <c r="F976" s="1" t="s">
        <v>25</v>
      </c>
      <c r="G976" s="2">
        <v>44642</v>
      </c>
      <c r="H976" s="2">
        <v>44660</v>
      </c>
      <c r="I976">
        <v>12</v>
      </c>
      <c r="J976">
        <v>18</v>
      </c>
      <c r="K976">
        <v>6</v>
      </c>
      <c r="L976" s="1" t="s">
        <v>101</v>
      </c>
      <c r="M976">
        <v>138.30000000000001</v>
      </c>
      <c r="N976">
        <v>487610.62</v>
      </c>
      <c r="O976">
        <v>2935793.32</v>
      </c>
      <c r="P976">
        <v>643054.84</v>
      </c>
      <c r="Q976" s="1" t="s">
        <v>2335</v>
      </c>
      <c r="R976">
        <v>40</v>
      </c>
      <c r="S976" s="1" t="s">
        <v>3305</v>
      </c>
      <c r="T976" t="b">
        <v>1</v>
      </c>
    </row>
    <row r="977" spans="1:20" x14ac:dyDescent="0.25">
      <c r="A977" s="1" t="s">
        <v>3306</v>
      </c>
      <c r="B977" s="1" t="s">
        <v>163</v>
      </c>
      <c r="C977" s="1" t="s">
        <v>558</v>
      </c>
      <c r="D977" s="1" t="s">
        <v>238</v>
      </c>
      <c r="E977" s="1" t="s">
        <v>33</v>
      </c>
      <c r="F977" s="1" t="s">
        <v>25</v>
      </c>
      <c r="G977" s="2">
        <v>44988</v>
      </c>
      <c r="H977" s="2">
        <v>44999</v>
      </c>
      <c r="I977">
        <v>12</v>
      </c>
      <c r="J977">
        <v>11</v>
      </c>
      <c r="K977">
        <v>0</v>
      </c>
      <c r="L977" s="1" t="s">
        <v>26</v>
      </c>
      <c r="M977">
        <v>107.4</v>
      </c>
      <c r="N977">
        <v>344627.77</v>
      </c>
      <c r="O977">
        <v>3170755.07</v>
      </c>
      <c r="P977">
        <v>501182.1</v>
      </c>
      <c r="Q977" s="1" t="s">
        <v>1414</v>
      </c>
      <c r="R977">
        <v>74</v>
      </c>
      <c r="S977" s="1" t="s">
        <v>3307</v>
      </c>
      <c r="T977" t="b">
        <v>0</v>
      </c>
    </row>
    <row r="978" spans="1:20" x14ac:dyDescent="0.25">
      <c r="A978" s="1" t="s">
        <v>3308</v>
      </c>
      <c r="B978" s="1" t="s">
        <v>169</v>
      </c>
      <c r="C978" s="1" t="s">
        <v>2977</v>
      </c>
      <c r="D978" s="1" t="s">
        <v>315</v>
      </c>
      <c r="E978" s="1" t="s">
        <v>49</v>
      </c>
      <c r="F978" s="1" t="s">
        <v>66</v>
      </c>
      <c r="G978" s="2">
        <v>45352</v>
      </c>
      <c r="H978" s="2"/>
      <c r="I978">
        <v>25</v>
      </c>
      <c r="J978">
        <v>32</v>
      </c>
      <c r="K978">
        <v>7</v>
      </c>
      <c r="L978" s="1" t="s">
        <v>101</v>
      </c>
      <c r="M978">
        <v>316.39999999999998</v>
      </c>
      <c r="N978">
        <v>996305.02</v>
      </c>
      <c r="O978">
        <v>4253206.78</v>
      </c>
      <c r="P978">
        <v>1044895.93</v>
      </c>
      <c r="Q978" s="1" t="s">
        <v>3309</v>
      </c>
      <c r="R978">
        <v>46</v>
      </c>
      <c r="S978" s="1" t="s">
        <v>3310</v>
      </c>
      <c r="T978" t="b">
        <v>1</v>
      </c>
    </row>
    <row r="979" spans="1:20" x14ac:dyDescent="0.25">
      <c r="A979" s="1" t="s">
        <v>3311</v>
      </c>
      <c r="B979" s="1" t="s">
        <v>46</v>
      </c>
      <c r="C979" s="1" t="s">
        <v>1699</v>
      </c>
      <c r="D979" s="1" t="s">
        <v>165</v>
      </c>
      <c r="E979" s="1" t="s">
        <v>57</v>
      </c>
      <c r="F979" s="1" t="s">
        <v>25</v>
      </c>
      <c r="G979" s="2">
        <v>44575</v>
      </c>
      <c r="H979" s="2">
        <v>44627</v>
      </c>
      <c r="I979">
        <v>40</v>
      </c>
      <c r="J979">
        <v>52</v>
      </c>
      <c r="K979">
        <v>12</v>
      </c>
      <c r="L979" s="1" t="s">
        <v>193</v>
      </c>
      <c r="M979">
        <v>822.5</v>
      </c>
      <c r="N979">
        <v>3043206.93</v>
      </c>
      <c r="O979">
        <v>4597013.1100000003</v>
      </c>
      <c r="P979">
        <v>983994.07</v>
      </c>
      <c r="Q979" s="1" t="s">
        <v>3312</v>
      </c>
      <c r="R979">
        <v>72</v>
      </c>
      <c r="S979" s="1" t="s">
        <v>3313</v>
      </c>
      <c r="T979" t="b">
        <v>1</v>
      </c>
    </row>
    <row r="980" spans="1:20" x14ac:dyDescent="0.25">
      <c r="A980" s="1" t="s">
        <v>3314</v>
      </c>
      <c r="B980" s="1" t="s">
        <v>62</v>
      </c>
      <c r="C980" s="1" t="s">
        <v>197</v>
      </c>
      <c r="D980" s="1" t="s">
        <v>288</v>
      </c>
      <c r="E980" s="1" t="s">
        <v>57</v>
      </c>
      <c r="F980" s="1" t="s">
        <v>50</v>
      </c>
      <c r="G980" s="2">
        <v>44835</v>
      </c>
      <c r="H980" s="2"/>
      <c r="I980">
        <v>40</v>
      </c>
      <c r="J980">
        <v>24</v>
      </c>
      <c r="K980">
        <v>0</v>
      </c>
      <c r="L980" s="1" t="s">
        <v>26</v>
      </c>
      <c r="M980">
        <v>132.4</v>
      </c>
      <c r="N980">
        <v>455159.95</v>
      </c>
      <c r="O980">
        <v>4394533.47</v>
      </c>
      <c r="P980">
        <v>797846.29</v>
      </c>
      <c r="Q980" s="1" t="s">
        <v>3315</v>
      </c>
      <c r="R980">
        <v>20</v>
      </c>
      <c r="S980" s="1" t="s">
        <v>3316</v>
      </c>
      <c r="T980" t="b">
        <v>1</v>
      </c>
    </row>
    <row r="981" spans="1:20" x14ac:dyDescent="0.25">
      <c r="A981" s="1" t="s">
        <v>3317</v>
      </c>
      <c r="B981" s="1" t="s">
        <v>21</v>
      </c>
      <c r="C981" s="1" t="s">
        <v>414</v>
      </c>
      <c r="D981" s="1" t="s">
        <v>405</v>
      </c>
      <c r="E981" s="1" t="s">
        <v>57</v>
      </c>
      <c r="F981" s="1" t="s">
        <v>25</v>
      </c>
      <c r="G981" s="2">
        <v>45626</v>
      </c>
      <c r="H981" s="2">
        <v>45662</v>
      </c>
      <c r="I981">
        <v>40</v>
      </c>
      <c r="J981">
        <v>36</v>
      </c>
      <c r="K981">
        <v>0</v>
      </c>
      <c r="L981" s="1" t="s">
        <v>26</v>
      </c>
      <c r="M981">
        <v>355.5</v>
      </c>
      <c r="N981">
        <v>835668.16</v>
      </c>
      <c r="O981">
        <v>2768202.51</v>
      </c>
      <c r="P981">
        <v>484723.16</v>
      </c>
      <c r="Q981" s="1" t="s">
        <v>3318</v>
      </c>
      <c r="R981">
        <v>25</v>
      </c>
      <c r="S981" s="1" t="s">
        <v>3319</v>
      </c>
      <c r="T981" t="b">
        <v>0</v>
      </c>
    </row>
    <row r="982" spans="1:20" x14ac:dyDescent="0.25">
      <c r="A982" s="1" t="s">
        <v>3320</v>
      </c>
      <c r="B982" s="1" t="s">
        <v>185</v>
      </c>
      <c r="C982" s="1" t="s">
        <v>721</v>
      </c>
      <c r="D982" s="1" t="s">
        <v>758</v>
      </c>
      <c r="E982" s="1" t="s">
        <v>57</v>
      </c>
      <c r="F982" s="1" t="s">
        <v>25</v>
      </c>
      <c r="G982" s="2">
        <v>44924</v>
      </c>
      <c r="H982" s="2">
        <v>44974</v>
      </c>
      <c r="I982">
        <v>40</v>
      </c>
      <c r="J982">
        <v>50</v>
      </c>
      <c r="K982">
        <v>10</v>
      </c>
      <c r="L982" s="1" t="s">
        <v>193</v>
      </c>
      <c r="M982">
        <v>478.6</v>
      </c>
      <c r="N982">
        <v>1197897.42</v>
      </c>
      <c r="O982">
        <v>4866747.17</v>
      </c>
      <c r="P982">
        <v>947322.53</v>
      </c>
      <c r="Q982" s="1" t="s">
        <v>3321</v>
      </c>
      <c r="R982">
        <v>29</v>
      </c>
      <c r="S982" s="1" t="s">
        <v>3322</v>
      </c>
      <c r="T982" t="b">
        <v>1</v>
      </c>
    </row>
    <row r="983" spans="1:20" x14ac:dyDescent="0.25">
      <c r="A983" s="1" t="s">
        <v>3323</v>
      </c>
      <c r="B983" s="1" t="s">
        <v>169</v>
      </c>
      <c r="C983" s="1" t="s">
        <v>869</v>
      </c>
      <c r="D983" s="1" t="s">
        <v>315</v>
      </c>
      <c r="E983" s="1" t="s">
        <v>41</v>
      </c>
      <c r="F983" s="1" t="s">
        <v>34</v>
      </c>
      <c r="G983" s="2">
        <v>45608</v>
      </c>
      <c r="H983" s="2"/>
      <c r="I983">
        <v>9</v>
      </c>
      <c r="J983">
        <v>10</v>
      </c>
      <c r="K983">
        <v>1</v>
      </c>
      <c r="L983" s="1" t="s">
        <v>26</v>
      </c>
      <c r="M983">
        <v>85.9</v>
      </c>
      <c r="N983">
        <v>307155.23</v>
      </c>
      <c r="O983">
        <v>1213033.8500000001</v>
      </c>
      <c r="P983">
        <v>167562.82999999999</v>
      </c>
      <c r="Q983" s="1" t="s">
        <v>3324</v>
      </c>
      <c r="R983">
        <v>50</v>
      </c>
      <c r="S983" s="1" t="s">
        <v>3325</v>
      </c>
      <c r="T983" t="b">
        <v>1</v>
      </c>
    </row>
    <row r="984" spans="1:20" x14ac:dyDescent="0.25">
      <c r="A984" s="1" t="s">
        <v>3326</v>
      </c>
      <c r="B984" s="1" t="s">
        <v>54</v>
      </c>
      <c r="C984" s="1" t="s">
        <v>753</v>
      </c>
      <c r="D984" s="1" t="s">
        <v>344</v>
      </c>
      <c r="E984" s="1" t="s">
        <v>65</v>
      </c>
      <c r="F984" s="1" t="s">
        <v>34</v>
      </c>
      <c r="G984" s="2">
        <v>44691</v>
      </c>
      <c r="H984" s="2"/>
      <c r="I984">
        <v>4</v>
      </c>
      <c r="J984">
        <v>4</v>
      </c>
      <c r="K984">
        <v>0</v>
      </c>
      <c r="L984" s="1" t="s">
        <v>26</v>
      </c>
      <c r="M984">
        <v>25.5</v>
      </c>
      <c r="N984">
        <v>100099.52</v>
      </c>
      <c r="O984">
        <v>3644234.25</v>
      </c>
      <c r="P984">
        <v>721081.92</v>
      </c>
      <c r="Q984" s="1" t="s">
        <v>3327</v>
      </c>
      <c r="R984">
        <v>31</v>
      </c>
      <c r="S984" s="1" t="s">
        <v>3328</v>
      </c>
      <c r="T984" t="b">
        <v>1</v>
      </c>
    </row>
    <row r="985" spans="1:20" x14ac:dyDescent="0.25">
      <c r="A985" s="1" t="s">
        <v>3329</v>
      </c>
      <c r="B985" s="1" t="s">
        <v>629</v>
      </c>
      <c r="C985" s="1" t="s">
        <v>536</v>
      </c>
      <c r="D985" s="1" t="s">
        <v>202</v>
      </c>
      <c r="E985" s="1" t="s">
        <v>41</v>
      </c>
      <c r="F985" s="1" t="s">
        <v>25</v>
      </c>
      <c r="G985" s="2">
        <v>45000</v>
      </c>
      <c r="H985" s="2">
        <v>45005</v>
      </c>
      <c r="I985">
        <v>9</v>
      </c>
      <c r="J985">
        <v>5</v>
      </c>
      <c r="K985">
        <v>0</v>
      </c>
      <c r="L985" s="1" t="s">
        <v>26</v>
      </c>
      <c r="M985">
        <v>77.3</v>
      </c>
      <c r="N985">
        <v>292083.76</v>
      </c>
      <c r="O985">
        <v>3999020.78</v>
      </c>
      <c r="P985">
        <v>711142.06</v>
      </c>
      <c r="Q985" s="1" t="s">
        <v>3330</v>
      </c>
      <c r="R985">
        <v>29</v>
      </c>
      <c r="S985" s="1" t="s">
        <v>3331</v>
      </c>
      <c r="T985" t="b">
        <v>1</v>
      </c>
    </row>
    <row r="986" spans="1:20" x14ac:dyDescent="0.25">
      <c r="A986" s="1" t="s">
        <v>3332</v>
      </c>
      <c r="B986" s="1" t="s">
        <v>328</v>
      </c>
      <c r="C986" s="1" t="s">
        <v>599</v>
      </c>
      <c r="D986" s="1" t="s">
        <v>113</v>
      </c>
      <c r="E986" s="1" t="s">
        <v>24</v>
      </c>
      <c r="F986" s="1" t="s">
        <v>34</v>
      </c>
      <c r="G986" s="2">
        <v>44903</v>
      </c>
      <c r="H986" s="2"/>
      <c r="I986">
        <v>3</v>
      </c>
      <c r="J986">
        <v>3</v>
      </c>
      <c r="K986">
        <v>0</v>
      </c>
      <c r="L986" s="1" t="s">
        <v>26</v>
      </c>
      <c r="M986">
        <v>37.299999999999997</v>
      </c>
      <c r="N986">
        <v>91765.73</v>
      </c>
      <c r="O986">
        <v>2892249.73</v>
      </c>
      <c r="P986">
        <v>565328.18999999994</v>
      </c>
      <c r="Q986" s="1" t="s">
        <v>3333</v>
      </c>
      <c r="R986">
        <v>27</v>
      </c>
      <c r="S986" s="1" t="s">
        <v>3334</v>
      </c>
      <c r="T986" t="b">
        <v>0</v>
      </c>
    </row>
    <row r="987" spans="1:20" x14ac:dyDescent="0.25">
      <c r="A987" s="1" t="s">
        <v>3335</v>
      </c>
      <c r="B987" s="1" t="s">
        <v>242</v>
      </c>
      <c r="C987" s="1" t="s">
        <v>467</v>
      </c>
      <c r="D987" s="1" t="s">
        <v>165</v>
      </c>
      <c r="E987" s="1" t="s">
        <v>41</v>
      </c>
      <c r="F987" s="1" t="s">
        <v>34</v>
      </c>
      <c r="G987" s="2">
        <v>45510</v>
      </c>
      <c r="H987" s="2"/>
      <c r="I987">
        <v>9</v>
      </c>
      <c r="J987">
        <v>10</v>
      </c>
      <c r="K987">
        <v>1</v>
      </c>
      <c r="L987" s="1" t="s">
        <v>26</v>
      </c>
      <c r="M987">
        <v>66.3</v>
      </c>
      <c r="N987">
        <v>264023.37</v>
      </c>
      <c r="O987">
        <v>1456315.54</v>
      </c>
      <c r="P987">
        <v>334072.33</v>
      </c>
      <c r="Q987" s="1" t="s">
        <v>3336</v>
      </c>
      <c r="R987">
        <v>80</v>
      </c>
      <c r="S987" s="1" t="s">
        <v>3337</v>
      </c>
      <c r="T987" t="b">
        <v>0</v>
      </c>
    </row>
    <row r="988" spans="1:20" x14ac:dyDescent="0.25">
      <c r="A988" s="1" t="s">
        <v>3338</v>
      </c>
      <c r="B988" s="1" t="s">
        <v>228</v>
      </c>
      <c r="C988" s="1" t="s">
        <v>907</v>
      </c>
      <c r="D988" s="1" t="s">
        <v>187</v>
      </c>
      <c r="E988" s="1" t="s">
        <v>57</v>
      </c>
      <c r="F988" s="1" t="s">
        <v>25</v>
      </c>
      <c r="G988" s="2">
        <v>44800</v>
      </c>
      <c r="H988" s="2">
        <v>44858</v>
      </c>
      <c r="I988">
        <v>40</v>
      </c>
      <c r="J988">
        <v>58</v>
      </c>
      <c r="K988">
        <v>18</v>
      </c>
      <c r="L988" s="1" t="s">
        <v>58</v>
      </c>
      <c r="M988">
        <v>806.1</v>
      </c>
      <c r="N988">
        <v>3324081.07</v>
      </c>
      <c r="O988">
        <v>2199592.0299999998</v>
      </c>
      <c r="P988">
        <v>655546.61</v>
      </c>
      <c r="Q988" s="1" t="s">
        <v>3339</v>
      </c>
      <c r="R988">
        <v>77</v>
      </c>
      <c r="S988" s="1" t="s">
        <v>3340</v>
      </c>
      <c r="T988" t="b">
        <v>0</v>
      </c>
    </row>
    <row r="989" spans="1:20" x14ac:dyDescent="0.25">
      <c r="A989" s="1" t="s">
        <v>3341</v>
      </c>
      <c r="B989" s="1" t="s">
        <v>403</v>
      </c>
      <c r="C989" s="1" t="s">
        <v>2217</v>
      </c>
      <c r="D989" s="1" t="s">
        <v>176</v>
      </c>
      <c r="E989" s="1" t="s">
        <v>65</v>
      </c>
      <c r="F989" s="1" t="s">
        <v>34</v>
      </c>
      <c r="G989" s="2">
        <v>45641</v>
      </c>
      <c r="H989" s="2"/>
      <c r="I989">
        <v>4</v>
      </c>
      <c r="J989">
        <v>2</v>
      </c>
      <c r="K989">
        <v>0</v>
      </c>
      <c r="L989" s="1" t="s">
        <v>26</v>
      </c>
      <c r="M989">
        <v>13.1</v>
      </c>
      <c r="N989">
        <v>48619.08</v>
      </c>
      <c r="O989">
        <v>4089326.22</v>
      </c>
      <c r="P989">
        <v>471012.12</v>
      </c>
      <c r="Q989" s="1" t="s">
        <v>801</v>
      </c>
      <c r="R989">
        <v>29</v>
      </c>
      <c r="S989" s="1" t="s">
        <v>3342</v>
      </c>
      <c r="T989" t="b">
        <v>1</v>
      </c>
    </row>
    <row r="990" spans="1:20" x14ac:dyDescent="0.25">
      <c r="A990" s="1" t="s">
        <v>3343</v>
      </c>
      <c r="B990" s="1" t="s">
        <v>242</v>
      </c>
      <c r="C990" s="1" t="s">
        <v>536</v>
      </c>
      <c r="D990" s="1" t="s">
        <v>263</v>
      </c>
      <c r="E990" s="1" t="s">
        <v>57</v>
      </c>
      <c r="F990" s="1" t="s">
        <v>50</v>
      </c>
      <c r="G990" s="2">
        <v>44763</v>
      </c>
      <c r="H990" s="2"/>
      <c r="I990">
        <v>40</v>
      </c>
      <c r="J990">
        <v>43</v>
      </c>
      <c r="K990">
        <v>3</v>
      </c>
      <c r="L990" s="1" t="s">
        <v>26</v>
      </c>
      <c r="M990">
        <v>376.9</v>
      </c>
      <c r="N990">
        <v>1482943.77</v>
      </c>
      <c r="O990">
        <v>4316261.0199999996</v>
      </c>
      <c r="P990">
        <v>897705</v>
      </c>
      <c r="Q990" s="1" t="s">
        <v>3262</v>
      </c>
      <c r="R990">
        <v>58</v>
      </c>
      <c r="S990" s="1" t="s">
        <v>3344</v>
      </c>
      <c r="T990" t="b">
        <v>0</v>
      </c>
    </row>
    <row r="991" spans="1:20" x14ac:dyDescent="0.25">
      <c r="A991" s="1" t="s">
        <v>3345</v>
      </c>
      <c r="B991" s="1" t="s">
        <v>358</v>
      </c>
      <c r="C991" s="1" t="s">
        <v>1570</v>
      </c>
      <c r="D991" s="1" t="s">
        <v>249</v>
      </c>
      <c r="E991" s="1" t="s">
        <v>49</v>
      </c>
      <c r="F991" s="1" t="s">
        <v>66</v>
      </c>
      <c r="G991" s="2">
        <v>45624</v>
      </c>
      <c r="H991" s="2"/>
      <c r="I991">
        <v>25</v>
      </c>
      <c r="J991">
        <v>37</v>
      </c>
      <c r="K991">
        <v>12</v>
      </c>
      <c r="L991" s="1" t="s">
        <v>26</v>
      </c>
      <c r="M991">
        <v>400.6</v>
      </c>
      <c r="N991">
        <v>1098903.8400000001</v>
      </c>
      <c r="O991">
        <v>1060822.81</v>
      </c>
      <c r="P991">
        <v>375788.36</v>
      </c>
      <c r="Q991" s="1" t="s">
        <v>3346</v>
      </c>
      <c r="R991">
        <v>60</v>
      </c>
      <c r="S991" s="1" t="s">
        <v>3347</v>
      </c>
      <c r="T991" t="b">
        <v>0</v>
      </c>
    </row>
    <row r="992" spans="1:20" x14ac:dyDescent="0.25">
      <c r="A992" s="1" t="s">
        <v>3348</v>
      </c>
      <c r="B992" s="1" t="s">
        <v>185</v>
      </c>
      <c r="C992" s="1" t="s">
        <v>504</v>
      </c>
      <c r="D992" s="1" t="s">
        <v>1022</v>
      </c>
      <c r="E992" s="1" t="s">
        <v>33</v>
      </c>
      <c r="F992" s="1" t="s">
        <v>25</v>
      </c>
      <c r="G992" s="2">
        <v>44686</v>
      </c>
      <c r="H992" s="2">
        <v>44692</v>
      </c>
      <c r="I992">
        <v>12</v>
      </c>
      <c r="J992">
        <v>6</v>
      </c>
      <c r="K992">
        <v>0</v>
      </c>
      <c r="L992" s="1" t="s">
        <v>26</v>
      </c>
      <c r="M992">
        <v>44</v>
      </c>
      <c r="N992">
        <v>115089.9</v>
      </c>
      <c r="O992">
        <v>4613497.8600000003</v>
      </c>
      <c r="P992">
        <v>778045.07</v>
      </c>
      <c r="Q992" s="1" t="s">
        <v>3349</v>
      </c>
      <c r="R992">
        <v>49</v>
      </c>
      <c r="S992" s="1" t="s">
        <v>3350</v>
      </c>
      <c r="T992" t="b">
        <v>1</v>
      </c>
    </row>
    <row r="993" spans="1:20" x14ac:dyDescent="0.25">
      <c r="A993" s="1" t="s">
        <v>3351</v>
      </c>
      <c r="B993" s="1" t="s">
        <v>220</v>
      </c>
      <c r="C993" s="1" t="s">
        <v>267</v>
      </c>
      <c r="D993" s="1" t="s">
        <v>187</v>
      </c>
      <c r="E993" s="1" t="s">
        <v>57</v>
      </c>
      <c r="F993" s="1" t="s">
        <v>25</v>
      </c>
      <c r="G993" s="2">
        <v>45272</v>
      </c>
      <c r="H993" s="2">
        <v>45328</v>
      </c>
      <c r="I993">
        <v>40</v>
      </c>
      <c r="J993">
        <v>56</v>
      </c>
      <c r="K993">
        <v>16</v>
      </c>
      <c r="L993" s="1" t="s">
        <v>101</v>
      </c>
      <c r="M993">
        <v>827.8</v>
      </c>
      <c r="N993">
        <v>3429161.26</v>
      </c>
      <c r="O993">
        <v>123974.5</v>
      </c>
      <c r="P993">
        <v>408331.82</v>
      </c>
      <c r="Q993" s="1" t="s">
        <v>3352</v>
      </c>
      <c r="R993">
        <v>21</v>
      </c>
      <c r="S993" s="1" t="s">
        <v>3353</v>
      </c>
      <c r="T993" t="b">
        <v>1</v>
      </c>
    </row>
    <row r="994" spans="1:20" x14ac:dyDescent="0.25">
      <c r="A994" s="1" t="s">
        <v>3354</v>
      </c>
      <c r="B994" s="1" t="s">
        <v>38</v>
      </c>
      <c r="C994" s="1" t="s">
        <v>106</v>
      </c>
      <c r="D994" s="1" t="s">
        <v>670</v>
      </c>
      <c r="E994" s="1" t="s">
        <v>57</v>
      </c>
      <c r="F994" s="1" t="s">
        <v>25</v>
      </c>
      <c r="G994" s="2">
        <v>45182</v>
      </c>
      <c r="H994" s="2">
        <v>45219</v>
      </c>
      <c r="I994">
        <v>40</v>
      </c>
      <c r="J994">
        <v>37</v>
      </c>
      <c r="K994">
        <v>0</v>
      </c>
      <c r="L994" s="1" t="s">
        <v>26</v>
      </c>
      <c r="M994">
        <v>438.3</v>
      </c>
      <c r="N994">
        <v>1658654.19</v>
      </c>
      <c r="O994">
        <v>972327.87</v>
      </c>
      <c r="P994">
        <v>424135.4</v>
      </c>
      <c r="Q994" s="1" t="s">
        <v>3355</v>
      </c>
      <c r="R994">
        <v>33</v>
      </c>
      <c r="S994" s="1" t="s">
        <v>3356</v>
      </c>
      <c r="T994" t="b">
        <v>0</v>
      </c>
    </row>
    <row r="995" spans="1:20" x14ac:dyDescent="0.25">
      <c r="A995" s="1" t="s">
        <v>3357</v>
      </c>
      <c r="B995" s="1" t="s">
        <v>418</v>
      </c>
      <c r="C995" s="1" t="s">
        <v>546</v>
      </c>
      <c r="D995" s="1" t="s">
        <v>216</v>
      </c>
      <c r="E995" s="1" t="s">
        <v>49</v>
      </c>
      <c r="F995" s="1" t="s">
        <v>25</v>
      </c>
      <c r="G995" s="2">
        <v>44752</v>
      </c>
      <c r="H995" s="2">
        <v>44766</v>
      </c>
      <c r="I995">
        <v>25</v>
      </c>
      <c r="J995">
        <v>14</v>
      </c>
      <c r="K995">
        <v>0</v>
      </c>
      <c r="L995" s="1" t="s">
        <v>26</v>
      </c>
      <c r="M995">
        <v>122.8</v>
      </c>
      <c r="N995">
        <v>431013.86</v>
      </c>
      <c r="O995">
        <v>3661459.59</v>
      </c>
      <c r="P995">
        <v>456539.8</v>
      </c>
      <c r="Q995" s="1" t="s">
        <v>3358</v>
      </c>
      <c r="R995">
        <v>68</v>
      </c>
      <c r="S995" s="1" t="s">
        <v>3359</v>
      </c>
      <c r="T995" t="b">
        <v>1</v>
      </c>
    </row>
    <row r="996" spans="1:20" x14ac:dyDescent="0.25">
      <c r="A996" s="1" t="s">
        <v>3360</v>
      </c>
      <c r="B996" s="1" t="s">
        <v>253</v>
      </c>
      <c r="C996" s="1" t="s">
        <v>721</v>
      </c>
      <c r="D996" s="1" t="s">
        <v>230</v>
      </c>
      <c r="E996" s="1" t="s">
        <v>33</v>
      </c>
      <c r="F996" s="1" t="s">
        <v>66</v>
      </c>
      <c r="G996" s="2">
        <v>44671</v>
      </c>
      <c r="H996" s="2"/>
      <c r="I996">
        <v>12</v>
      </c>
      <c r="J996">
        <v>18</v>
      </c>
      <c r="K996">
        <v>6</v>
      </c>
      <c r="L996" s="1" t="s">
        <v>58</v>
      </c>
      <c r="M996">
        <v>233.1</v>
      </c>
      <c r="N996">
        <v>475742.83</v>
      </c>
      <c r="O996">
        <v>572420.82999999996</v>
      </c>
      <c r="P996">
        <v>147025.53</v>
      </c>
      <c r="Q996" s="1" t="s">
        <v>3361</v>
      </c>
      <c r="R996">
        <v>28</v>
      </c>
      <c r="S996" s="1" t="s">
        <v>3362</v>
      </c>
      <c r="T996" t="b">
        <v>0</v>
      </c>
    </row>
    <row r="997" spans="1:20" x14ac:dyDescent="0.25">
      <c r="A997" s="1" t="s">
        <v>3363</v>
      </c>
      <c r="B997" s="1" t="s">
        <v>76</v>
      </c>
      <c r="C997" s="1" t="s">
        <v>654</v>
      </c>
      <c r="D997" s="1" t="s">
        <v>192</v>
      </c>
      <c r="E997" s="1" t="s">
        <v>65</v>
      </c>
      <c r="F997" s="1" t="s">
        <v>25</v>
      </c>
      <c r="G997" s="2">
        <v>45645</v>
      </c>
      <c r="H997" s="2">
        <v>45649</v>
      </c>
      <c r="I997">
        <v>4</v>
      </c>
      <c r="J997">
        <v>4</v>
      </c>
      <c r="K997">
        <v>0</v>
      </c>
      <c r="L997" s="1" t="s">
        <v>26</v>
      </c>
      <c r="M997">
        <v>60.4</v>
      </c>
      <c r="N997">
        <v>230503.76</v>
      </c>
      <c r="O997">
        <v>1078305.22</v>
      </c>
      <c r="P997">
        <v>169309.13</v>
      </c>
      <c r="Q997" s="1" t="s">
        <v>3364</v>
      </c>
      <c r="R997">
        <v>62</v>
      </c>
      <c r="S997" s="1" t="s">
        <v>3365</v>
      </c>
      <c r="T997" t="b">
        <v>1</v>
      </c>
    </row>
    <row r="998" spans="1:20" x14ac:dyDescent="0.25">
      <c r="A998" s="1" t="s">
        <v>3366</v>
      </c>
      <c r="B998" s="1" t="s">
        <v>99</v>
      </c>
      <c r="C998" s="1" t="s">
        <v>476</v>
      </c>
      <c r="D998" s="1" t="s">
        <v>95</v>
      </c>
      <c r="E998" s="1" t="s">
        <v>41</v>
      </c>
      <c r="F998" s="1" t="s">
        <v>34</v>
      </c>
      <c r="G998" s="2">
        <v>45494</v>
      </c>
      <c r="H998" s="2"/>
      <c r="I998">
        <v>9</v>
      </c>
      <c r="J998">
        <v>15</v>
      </c>
      <c r="K998">
        <v>6</v>
      </c>
      <c r="L998" s="1" t="s">
        <v>58</v>
      </c>
      <c r="M998">
        <v>114.3</v>
      </c>
      <c r="N998">
        <v>366523.56</v>
      </c>
      <c r="O998">
        <v>756662.55</v>
      </c>
      <c r="P998">
        <v>200488.83</v>
      </c>
      <c r="Q998" s="1" t="s">
        <v>3367</v>
      </c>
      <c r="R998">
        <v>53</v>
      </c>
      <c r="S998" s="1" t="s">
        <v>3368</v>
      </c>
      <c r="T998" t="b">
        <v>1</v>
      </c>
    </row>
    <row r="999" spans="1:20" x14ac:dyDescent="0.25">
      <c r="A999" s="1" t="s">
        <v>3369</v>
      </c>
      <c r="B999" s="1" t="s">
        <v>348</v>
      </c>
      <c r="C999" s="1" t="s">
        <v>705</v>
      </c>
      <c r="D999" s="1" t="s">
        <v>124</v>
      </c>
      <c r="E999" s="1" t="s">
        <v>33</v>
      </c>
      <c r="F999" s="1" t="s">
        <v>66</v>
      </c>
      <c r="G999" s="2">
        <v>45252</v>
      </c>
      <c r="H999" s="2"/>
      <c r="I999">
        <v>12</v>
      </c>
      <c r="J999">
        <v>16</v>
      </c>
      <c r="K999">
        <v>4</v>
      </c>
      <c r="L999" s="1" t="s">
        <v>193</v>
      </c>
      <c r="M999">
        <v>126.7</v>
      </c>
      <c r="N999">
        <v>274117.03000000003</v>
      </c>
      <c r="O999">
        <v>2985653.07</v>
      </c>
      <c r="P999">
        <v>448406.46</v>
      </c>
      <c r="Q999" s="1" t="s">
        <v>3370</v>
      </c>
      <c r="R999">
        <v>44</v>
      </c>
      <c r="S999" s="1" t="s">
        <v>3371</v>
      </c>
      <c r="T999" t="b">
        <v>1</v>
      </c>
    </row>
    <row r="1000" spans="1:20" x14ac:dyDescent="0.25">
      <c r="A1000" s="1" t="s">
        <v>3372</v>
      </c>
      <c r="B1000" s="1" t="s">
        <v>105</v>
      </c>
      <c r="C1000" s="1" t="s">
        <v>610</v>
      </c>
      <c r="D1000" s="1" t="s">
        <v>84</v>
      </c>
      <c r="E1000" s="1" t="s">
        <v>57</v>
      </c>
      <c r="F1000" s="1" t="s">
        <v>34</v>
      </c>
      <c r="G1000" s="2">
        <v>44564</v>
      </c>
      <c r="H1000" s="2"/>
      <c r="I1000">
        <v>40</v>
      </c>
      <c r="J1000">
        <v>56</v>
      </c>
      <c r="K1000">
        <v>16</v>
      </c>
      <c r="L1000" s="1" t="s">
        <v>26</v>
      </c>
      <c r="M1000">
        <v>624.6</v>
      </c>
      <c r="N1000">
        <v>1340484.6599999999</v>
      </c>
      <c r="O1000">
        <v>3475857.32</v>
      </c>
      <c r="P1000">
        <v>720793.54</v>
      </c>
      <c r="Q1000" s="1" t="s">
        <v>3373</v>
      </c>
      <c r="R1000">
        <v>32</v>
      </c>
      <c r="S1000" s="1" t="s">
        <v>3374</v>
      </c>
      <c r="T1000" t="b">
        <v>0</v>
      </c>
    </row>
    <row r="1001" spans="1:20" x14ac:dyDescent="0.25">
      <c r="A1001" s="1" t="s">
        <v>3375</v>
      </c>
      <c r="B1001" s="1" t="s">
        <v>471</v>
      </c>
      <c r="C1001" s="1" t="s">
        <v>2423</v>
      </c>
      <c r="D1001" s="1" t="s">
        <v>306</v>
      </c>
      <c r="E1001" s="1" t="s">
        <v>49</v>
      </c>
      <c r="F1001" s="1" t="s">
        <v>25</v>
      </c>
      <c r="G1001" s="2">
        <v>45297</v>
      </c>
      <c r="H1001" s="2">
        <v>45324</v>
      </c>
      <c r="I1001">
        <v>25</v>
      </c>
      <c r="J1001">
        <v>27</v>
      </c>
      <c r="K1001">
        <v>2</v>
      </c>
      <c r="L1001" s="1" t="s">
        <v>26</v>
      </c>
      <c r="M1001">
        <v>226.8</v>
      </c>
      <c r="N1001">
        <v>596200.93999999994</v>
      </c>
      <c r="O1001">
        <v>4620860.03</v>
      </c>
      <c r="P1001">
        <v>632314.37</v>
      </c>
      <c r="Q1001" s="1" t="s">
        <v>3376</v>
      </c>
      <c r="R1001">
        <v>50</v>
      </c>
      <c r="S1001" s="1" t="s">
        <v>3377</v>
      </c>
      <c r="T1001" t="b">
        <v>1</v>
      </c>
    </row>
    <row r="1002" spans="1:20" x14ac:dyDescent="0.25">
      <c r="A1002" s="1" t="s">
        <v>3378</v>
      </c>
      <c r="B1002" s="1" t="s">
        <v>158</v>
      </c>
      <c r="C1002" s="1" t="s">
        <v>762</v>
      </c>
      <c r="D1002" s="1" t="s">
        <v>595</v>
      </c>
      <c r="E1002" s="1" t="s">
        <v>33</v>
      </c>
      <c r="F1002" s="1" t="s">
        <v>25</v>
      </c>
      <c r="G1002" s="2">
        <v>45427</v>
      </c>
      <c r="H1002" s="2">
        <v>45442</v>
      </c>
      <c r="I1002">
        <v>12</v>
      </c>
      <c r="J1002">
        <v>15</v>
      </c>
      <c r="K1002">
        <v>3</v>
      </c>
      <c r="L1002" s="1" t="s">
        <v>26</v>
      </c>
      <c r="M1002">
        <v>89.2</v>
      </c>
      <c r="N1002">
        <v>216147.51</v>
      </c>
      <c r="O1002">
        <v>2479336.88</v>
      </c>
      <c r="P1002">
        <v>285804.63</v>
      </c>
      <c r="Q1002" s="1" t="s">
        <v>3379</v>
      </c>
      <c r="R1002">
        <v>75</v>
      </c>
      <c r="S1002" s="1" t="s">
        <v>3380</v>
      </c>
      <c r="T1002" t="b">
        <v>1</v>
      </c>
    </row>
    <row r="1003" spans="1:20" x14ac:dyDescent="0.25">
      <c r="A1003" s="1" t="s">
        <v>3381</v>
      </c>
      <c r="B1003" s="1" t="s">
        <v>174</v>
      </c>
      <c r="C1003" s="1" t="s">
        <v>440</v>
      </c>
      <c r="D1003" s="1" t="s">
        <v>268</v>
      </c>
      <c r="E1003" s="1" t="s">
        <v>57</v>
      </c>
      <c r="F1003" s="1" t="s">
        <v>25</v>
      </c>
      <c r="G1003" s="2">
        <v>45406</v>
      </c>
      <c r="H1003" s="2">
        <v>45434</v>
      </c>
      <c r="I1003">
        <v>40</v>
      </c>
      <c r="J1003">
        <v>28</v>
      </c>
      <c r="K1003">
        <v>0</v>
      </c>
      <c r="L1003" s="1" t="s">
        <v>26</v>
      </c>
      <c r="M1003">
        <v>401</v>
      </c>
      <c r="N1003">
        <v>1296764.8</v>
      </c>
      <c r="O1003">
        <v>4726310.67</v>
      </c>
      <c r="P1003">
        <v>666778.35</v>
      </c>
      <c r="Q1003" s="1" t="s">
        <v>3382</v>
      </c>
      <c r="R1003">
        <v>64</v>
      </c>
      <c r="S1003" s="1" t="s">
        <v>3383</v>
      </c>
      <c r="T1003" t="b">
        <v>0</v>
      </c>
    </row>
    <row r="1004" spans="1:20" x14ac:dyDescent="0.25">
      <c r="A1004" s="1" t="s">
        <v>3384</v>
      </c>
      <c r="B1004" s="1" t="s">
        <v>169</v>
      </c>
      <c r="C1004" s="1" t="s">
        <v>3385</v>
      </c>
      <c r="D1004" s="1" t="s">
        <v>595</v>
      </c>
      <c r="E1004" s="1" t="s">
        <v>57</v>
      </c>
      <c r="F1004" s="1" t="s">
        <v>25</v>
      </c>
      <c r="G1004" s="2">
        <v>44628</v>
      </c>
      <c r="H1004" s="2">
        <v>44655</v>
      </c>
      <c r="I1004">
        <v>40</v>
      </c>
      <c r="J1004">
        <v>27</v>
      </c>
      <c r="K1004">
        <v>0</v>
      </c>
      <c r="L1004" s="1" t="s">
        <v>26</v>
      </c>
      <c r="M1004">
        <v>113.5</v>
      </c>
      <c r="N1004">
        <v>315598.59000000003</v>
      </c>
      <c r="O1004">
        <v>4526430.37</v>
      </c>
      <c r="P1004">
        <v>947386.09</v>
      </c>
      <c r="Q1004" s="1" t="s">
        <v>3386</v>
      </c>
      <c r="R1004">
        <v>77</v>
      </c>
      <c r="S1004" s="1" t="s">
        <v>3387</v>
      </c>
      <c r="T1004" t="b">
        <v>0</v>
      </c>
    </row>
    <row r="1005" spans="1:20" x14ac:dyDescent="0.25">
      <c r="A1005" s="1" t="s">
        <v>3388</v>
      </c>
      <c r="B1005" s="1" t="s">
        <v>451</v>
      </c>
      <c r="C1005" s="1" t="s">
        <v>757</v>
      </c>
      <c r="D1005" s="1" t="s">
        <v>176</v>
      </c>
      <c r="E1005" s="1" t="s">
        <v>24</v>
      </c>
      <c r="F1005" s="1" t="s">
        <v>25</v>
      </c>
      <c r="G1005" s="2">
        <v>44694</v>
      </c>
      <c r="H1005" s="2">
        <v>44699</v>
      </c>
      <c r="I1005">
        <v>3</v>
      </c>
      <c r="J1005">
        <v>5</v>
      </c>
      <c r="K1005">
        <v>2</v>
      </c>
      <c r="L1005" s="1" t="s">
        <v>26</v>
      </c>
      <c r="M1005">
        <v>60.6</v>
      </c>
      <c r="N1005">
        <v>272379.23</v>
      </c>
      <c r="O1005">
        <v>1866129.3</v>
      </c>
      <c r="P1005">
        <v>304773.84000000003</v>
      </c>
      <c r="Q1005" s="1" t="s">
        <v>3389</v>
      </c>
      <c r="R1005">
        <v>73</v>
      </c>
      <c r="S1005" s="1" t="s">
        <v>3390</v>
      </c>
      <c r="T1005" t="b">
        <v>0</v>
      </c>
    </row>
    <row r="1006" spans="1:20" x14ac:dyDescent="0.25">
      <c r="A1006" s="1" t="s">
        <v>3391</v>
      </c>
      <c r="B1006" s="1" t="s">
        <v>38</v>
      </c>
      <c r="C1006" s="1" t="s">
        <v>536</v>
      </c>
      <c r="D1006" s="1" t="s">
        <v>268</v>
      </c>
      <c r="E1006" s="1" t="s">
        <v>65</v>
      </c>
      <c r="F1006" s="1" t="s">
        <v>25</v>
      </c>
      <c r="G1006" s="2">
        <v>45507</v>
      </c>
      <c r="H1006" s="2">
        <v>45509</v>
      </c>
      <c r="I1006">
        <v>4</v>
      </c>
      <c r="J1006">
        <v>2</v>
      </c>
      <c r="K1006">
        <v>0</v>
      </c>
      <c r="L1006" s="1" t="s">
        <v>26</v>
      </c>
      <c r="M1006">
        <v>9.1</v>
      </c>
      <c r="N1006">
        <v>17839.419999999998</v>
      </c>
      <c r="O1006">
        <v>601362.85</v>
      </c>
      <c r="P1006">
        <v>110440.95</v>
      </c>
      <c r="Q1006" s="1" t="s">
        <v>3392</v>
      </c>
      <c r="R1006">
        <v>26</v>
      </c>
      <c r="S1006" s="1" t="s">
        <v>3393</v>
      </c>
      <c r="T1006" t="b">
        <v>0</v>
      </c>
    </row>
    <row r="1007" spans="1:20" x14ac:dyDescent="0.25">
      <c r="A1007" s="1" t="s">
        <v>3394</v>
      </c>
      <c r="B1007" s="1" t="s">
        <v>348</v>
      </c>
      <c r="C1007" s="1" t="s">
        <v>2113</v>
      </c>
      <c r="D1007" s="1" t="s">
        <v>686</v>
      </c>
      <c r="E1007" s="1" t="s">
        <v>24</v>
      </c>
      <c r="F1007" s="1" t="s">
        <v>50</v>
      </c>
      <c r="G1007" s="2">
        <v>45378</v>
      </c>
      <c r="H1007" s="2"/>
      <c r="I1007">
        <v>3</v>
      </c>
      <c r="J1007">
        <v>1</v>
      </c>
      <c r="K1007">
        <v>0</v>
      </c>
      <c r="L1007" s="1" t="s">
        <v>26</v>
      </c>
      <c r="M1007">
        <v>9.9</v>
      </c>
      <c r="N1007">
        <v>29148.32</v>
      </c>
      <c r="O1007">
        <v>222690.98</v>
      </c>
      <c r="P1007">
        <v>25514.57</v>
      </c>
      <c r="Q1007" s="1" t="s">
        <v>3395</v>
      </c>
      <c r="R1007">
        <v>29</v>
      </c>
      <c r="S1007" s="1" t="s">
        <v>3396</v>
      </c>
      <c r="T1007" t="b">
        <v>1</v>
      </c>
    </row>
    <row r="1008" spans="1:20" x14ac:dyDescent="0.25">
      <c r="A1008" s="1" t="s">
        <v>3397</v>
      </c>
      <c r="B1008" s="1" t="s">
        <v>93</v>
      </c>
      <c r="C1008" s="1" t="s">
        <v>1949</v>
      </c>
      <c r="D1008" s="1" t="s">
        <v>670</v>
      </c>
      <c r="E1008" s="1" t="s">
        <v>24</v>
      </c>
      <c r="F1008" s="1" t="s">
        <v>34</v>
      </c>
      <c r="G1008" s="2">
        <v>44783</v>
      </c>
      <c r="H1008" s="2"/>
      <c r="I1008">
        <v>3</v>
      </c>
      <c r="J1008">
        <v>1</v>
      </c>
      <c r="K1008">
        <v>0</v>
      </c>
      <c r="L1008" s="1" t="s">
        <v>26</v>
      </c>
      <c r="M1008">
        <v>9.6</v>
      </c>
      <c r="N1008">
        <v>22346.99</v>
      </c>
      <c r="O1008">
        <v>221828.62</v>
      </c>
      <c r="P1008">
        <v>35477.82</v>
      </c>
      <c r="Q1008" s="1" t="s">
        <v>3398</v>
      </c>
      <c r="R1008">
        <v>23</v>
      </c>
      <c r="S1008" s="1" t="s">
        <v>3399</v>
      </c>
      <c r="T1008" t="b">
        <v>0</v>
      </c>
    </row>
    <row r="1009" spans="1:20" x14ac:dyDescent="0.25">
      <c r="A1009" s="1" t="s">
        <v>3400</v>
      </c>
      <c r="B1009" s="1" t="s">
        <v>46</v>
      </c>
      <c r="C1009" s="1" t="s">
        <v>267</v>
      </c>
      <c r="D1009" s="1" t="s">
        <v>282</v>
      </c>
      <c r="E1009" s="1" t="s">
        <v>49</v>
      </c>
      <c r="F1009" s="1" t="s">
        <v>25</v>
      </c>
      <c r="G1009" s="2">
        <v>45301</v>
      </c>
      <c r="H1009" s="2">
        <v>45326</v>
      </c>
      <c r="I1009">
        <v>25</v>
      </c>
      <c r="J1009">
        <v>25</v>
      </c>
      <c r="K1009">
        <v>0</v>
      </c>
      <c r="L1009" s="1" t="s">
        <v>26</v>
      </c>
      <c r="M1009">
        <v>190.1</v>
      </c>
      <c r="N1009">
        <v>753322.95</v>
      </c>
      <c r="O1009">
        <v>883153.33</v>
      </c>
      <c r="P1009">
        <v>278866.15000000002</v>
      </c>
      <c r="Q1009" s="1" t="s">
        <v>3401</v>
      </c>
      <c r="R1009">
        <v>75</v>
      </c>
      <c r="S1009" s="1" t="s">
        <v>3402</v>
      </c>
      <c r="T1009" t="b">
        <v>0</v>
      </c>
    </row>
    <row r="1010" spans="1:20" x14ac:dyDescent="0.25">
      <c r="A1010" s="1" t="s">
        <v>3403</v>
      </c>
      <c r="B1010" s="1" t="s">
        <v>111</v>
      </c>
      <c r="C1010" s="1" t="s">
        <v>419</v>
      </c>
      <c r="D1010" s="1" t="s">
        <v>154</v>
      </c>
      <c r="E1010" s="1" t="s">
        <v>65</v>
      </c>
      <c r="F1010" s="1" t="s">
        <v>34</v>
      </c>
      <c r="G1010" s="2">
        <v>45477</v>
      </c>
      <c r="H1010" s="2"/>
      <c r="I1010">
        <v>4</v>
      </c>
      <c r="J1010">
        <v>7</v>
      </c>
      <c r="K1010">
        <v>2.5</v>
      </c>
      <c r="L1010" s="1" t="s">
        <v>26</v>
      </c>
      <c r="M1010">
        <v>78.099999999999994</v>
      </c>
      <c r="N1010">
        <v>245208.24</v>
      </c>
      <c r="O1010">
        <v>1030763.87</v>
      </c>
      <c r="P1010">
        <v>199212.15</v>
      </c>
      <c r="Q1010" s="1" t="s">
        <v>3404</v>
      </c>
      <c r="R1010">
        <v>72</v>
      </c>
      <c r="S1010" s="1" t="s">
        <v>3405</v>
      </c>
      <c r="T1010" t="b">
        <v>0</v>
      </c>
    </row>
    <row r="1011" spans="1:20" x14ac:dyDescent="0.25">
      <c r="A1011" s="1" t="s">
        <v>3406</v>
      </c>
      <c r="B1011" s="1" t="s">
        <v>451</v>
      </c>
      <c r="C1011" s="1" t="s">
        <v>621</v>
      </c>
      <c r="D1011" s="1" t="s">
        <v>582</v>
      </c>
      <c r="E1011" s="1" t="s">
        <v>65</v>
      </c>
      <c r="F1011" s="1" t="s">
        <v>25</v>
      </c>
      <c r="G1011" s="2">
        <v>45082</v>
      </c>
      <c r="H1011" s="2">
        <v>45089</v>
      </c>
      <c r="I1011">
        <v>4</v>
      </c>
      <c r="J1011">
        <v>7</v>
      </c>
      <c r="K1011">
        <v>2.5</v>
      </c>
      <c r="L1011" s="1" t="s">
        <v>26</v>
      </c>
      <c r="M1011">
        <v>97.1</v>
      </c>
      <c r="N1011">
        <v>195473.97</v>
      </c>
      <c r="O1011">
        <v>2929884.47</v>
      </c>
      <c r="P1011">
        <v>476497.12</v>
      </c>
      <c r="Q1011" s="1" t="s">
        <v>3407</v>
      </c>
      <c r="R1011">
        <v>23</v>
      </c>
      <c r="S1011" s="1" t="s">
        <v>3408</v>
      </c>
      <c r="T1011" t="b">
        <v>0</v>
      </c>
    </row>
    <row r="1012" spans="1:20" x14ac:dyDescent="0.25">
      <c r="A1012" s="1" t="s">
        <v>3409</v>
      </c>
      <c r="B1012" s="1" t="s">
        <v>220</v>
      </c>
      <c r="C1012" s="1" t="s">
        <v>39</v>
      </c>
      <c r="D1012" s="1" t="s">
        <v>187</v>
      </c>
      <c r="E1012" s="1" t="s">
        <v>65</v>
      </c>
      <c r="F1012" s="1" t="s">
        <v>25</v>
      </c>
      <c r="G1012" s="2">
        <v>45387</v>
      </c>
      <c r="H1012" s="2">
        <v>45389</v>
      </c>
      <c r="I1012">
        <v>4</v>
      </c>
      <c r="J1012">
        <v>2</v>
      </c>
      <c r="K1012">
        <v>0</v>
      </c>
      <c r="L1012" s="1" t="s">
        <v>26</v>
      </c>
      <c r="M1012">
        <v>15.5</v>
      </c>
      <c r="N1012">
        <v>41724.379999999997</v>
      </c>
      <c r="O1012">
        <v>2950677.82</v>
      </c>
      <c r="P1012">
        <v>525195.32999999996</v>
      </c>
      <c r="Q1012" s="1" t="s">
        <v>3410</v>
      </c>
      <c r="R1012">
        <v>49</v>
      </c>
      <c r="S1012" s="1" t="s">
        <v>3411</v>
      </c>
      <c r="T1012" t="b">
        <v>1</v>
      </c>
    </row>
    <row r="1013" spans="1:20" x14ac:dyDescent="0.25">
      <c r="A1013" s="1" t="s">
        <v>3412</v>
      </c>
      <c r="B1013" s="1" t="s">
        <v>117</v>
      </c>
      <c r="C1013" s="1" t="s">
        <v>630</v>
      </c>
      <c r="D1013" s="1" t="s">
        <v>192</v>
      </c>
      <c r="E1013" s="1" t="s">
        <v>33</v>
      </c>
      <c r="F1013" s="1" t="s">
        <v>25</v>
      </c>
      <c r="G1013" s="2">
        <v>45078</v>
      </c>
      <c r="H1013" s="2">
        <v>45095</v>
      </c>
      <c r="I1013">
        <v>12</v>
      </c>
      <c r="J1013">
        <v>17</v>
      </c>
      <c r="K1013">
        <v>5</v>
      </c>
      <c r="L1013" s="1" t="s">
        <v>42</v>
      </c>
      <c r="M1013">
        <v>201.6</v>
      </c>
      <c r="N1013">
        <v>681614.52</v>
      </c>
      <c r="O1013">
        <v>2723951.16</v>
      </c>
      <c r="P1013">
        <v>661182.61</v>
      </c>
      <c r="Q1013" s="1" t="s">
        <v>3413</v>
      </c>
      <c r="R1013">
        <v>40</v>
      </c>
      <c r="S1013" s="1" t="s">
        <v>3414</v>
      </c>
      <c r="T1013" t="b">
        <v>1</v>
      </c>
    </row>
    <row r="1014" spans="1:20" x14ac:dyDescent="0.25">
      <c r="A1014" s="1" t="s">
        <v>3415</v>
      </c>
      <c r="B1014" s="1" t="s">
        <v>30</v>
      </c>
      <c r="C1014" s="1" t="s">
        <v>476</v>
      </c>
      <c r="D1014" s="1" t="s">
        <v>359</v>
      </c>
      <c r="E1014" s="1" t="s">
        <v>24</v>
      </c>
      <c r="F1014" s="1" t="s">
        <v>50</v>
      </c>
      <c r="G1014" s="2">
        <v>44696</v>
      </c>
      <c r="H1014" s="2"/>
      <c r="I1014">
        <v>3</v>
      </c>
      <c r="J1014">
        <v>2</v>
      </c>
      <c r="K1014">
        <v>0</v>
      </c>
      <c r="L1014" s="1" t="s">
        <v>26</v>
      </c>
      <c r="M1014">
        <v>9</v>
      </c>
      <c r="N1014">
        <v>31036.57</v>
      </c>
      <c r="O1014">
        <v>2514161.7999999998</v>
      </c>
      <c r="P1014">
        <v>460129.09</v>
      </c>
      <c r="Q1014" s="1" t="s">
        <v>3416</v>
      </c>
      <c r="R1014">
        <v>58</v>
      </c>
      <c r="S1014" s="1" t="s">
        <v>3417</v>
      </c>
      <c r="T1014" t="b">
        <v>0</v>
      </c>
    </row>
    <row r="1015" spans="1:20" x14ac:dyDescent="0.25">
      <c r="A1015" s="1" t="s">
        <v>3418</v>
      </c>
      <c r="B1015" s="1" t="s">
        <v>148</v>
      </c>
      <c r="C1015" s="1" t="s">
        <v>3419</v>
      </c>
      <c r="D1015" s="1" t="s">
        <v>181</v>
      </c>
      <c r="E1015" s="1" t="s">
        <v>41</v>
      </c>
      <c r="F1015" s="1" t="s">
        <v>25</v>
      </c>
      <c r="G1015" s="2">
        <v>45020</v>
      </c>
      <c r="H1015" s="2">
        <v>45026</v>
      </c>
      <c r="I1015">
        <v>9</v>
      </c>
      <c r="J1015">
        <v>6</v>
      </c>
      <c r="K1015">
        <v>0</v>
      </c>
      <c r="L1015" s="1" t="s">
        <v>26</v>
      </c>
      <c r="M1015">
        <v>57.4</v>
      </c>
      <c r="N1015">
        <v>171358.91</v>
      </c>
      <c r="O1015">
        <v>610186.88</v>
      </c>
      <c r="P1015">
        <v>110555.61</v>
      </c>
      <c r="Q1015" s="1" t="s">
        <v>3420</v>
      </c>
      <c r="R1015">
        <v>44</v>
      </c>
      <c r="S1015" s="1" t="s">
        <v>3421</v>
      </c>
      <c r="T1015" t="b">
        <v>1</v>
      </c>
    </row>
    <row r="1016" spans="1:20" x14ac:dyDescent="0.25">
      <c r="A1016" s="1" t="s">
        <v>3422</v>
      </c>
      <c r="B1016" s="1" t="s">
        <v>286</v>
      </c>
      <c r="C1016" s="1" t="s">
        <v>100</v>
      </c>
      <c r="D1016" s="1" t="s">
        <v>372</v>
      </c>
      <c r="E1016" s="1" t="s">
        <v>57</v>
      </c>
      <c r="F1016" s="1" t="s">
        <v>25</v>
      </c>
      <c r="G1016" s="2">
        <v>44866</v>
      </c>
      <c r="H1016" s="2">
        <v>44904</v>
      </c>
      <c r="I1016">
        <v>40</v>
      </c>
      <c r="J1016">
        <v>38</v>
      </c>
      <c r="K1016">
        <v>0</v>
      </c>
      <c r="L1016" s="1" t="s">
        <v>26</v>
      </c>
      <c r="M1016">
        <v>586.4</v>
      </c>
      <c r="N1016">
        <v>1823444.67</v>
      </c>
      <c r="O1016">
        <v>2859379.32</v>
      </c>
      <c r="P1016">
        <v>584529.67000000004</v>
      </c>
      <c r="Q1016" s="1" t="s">
        <v>3423</v>
      </c>
      <c r="R1016">
        <v>67</v>
      </c>
      <c r="S1016" s="1" t="s">
        <v>3424</v>
      </c>
      <c r="T1016" t="b">
        <v>0</v>
      </c>
    </row>
    <row r="1017" spans="1:20" x14ac:dyDescent="0.25">
      <c r="A1017" s="1" t="s">
        <v>3425</v>
      </c>
      <c r="B1017" s="1" t="s">
        <v>70</v>
      </c>
      <c r="C1017" s="1" t="s">
        <v>2423</v>
      </c>
      <c r="D1017" s="1" t="s">
        <v>372</v>
      </c>
      <c r="E1017" s="1" t="s">
        <v>49</v>
      </c>
      <c r="F1017" s="1" t="s">
        <v>25</v>
      </c>
      <c r="G1017" s="2">
        <v>44795</v>
      </c>
      <c r="H1017" s="2">
        <v>44830</v>
      </c>
      <c r="I1017">
        <v>25</v>
      </c>
      <c r="J1017">
        <v>35</v>
      </c>
      <c r="K1017">
        <v>10</v>
      </c>
      <c r="L1017" s="1" t="s">
        <v>101</v>
      </c>
      <c r="M1017">
        <v>146.19999999999999</v>
      </c>
      <c r="N1017">
        <v>544012.32999999996</v>
      </c>
      <c r="O1017">
        <v>4556243.49</v>
      </c>
      <c r="P1017">
        <v>594252.6</v>
      </c>
      <c r="Q1017" s="1" t="s">
        <v>3426</v>
      </c>
      <c r="R1017">
        <v>49</v>
      </c>
      <c r="S1017" s="1" t="s">
        <v>3427</v>
      </c>
      <c r="T1017" t="b">
        <v>1</v>
      </c>
    </row>
    <row r="1018" spans="1:20" x14ac:dyDescent="0.25">
      <c r="A1018" s="1" t="s">
        <v>3428</v>
      </c>
      <c r="B1018" s="1" t="s">
        <v>242</v>
      </c>
      <c r="C1018" s="1" t="s">
        <v>1066</v>
      </c>
      <c r="D1018" s="1" t="s">
        <v>64</v>
      </c>
      <c r="E1018" s="1" t="s">
        <v>65</v>
      </c>
      <c r="F1018" s="1" t="s">
        <v>50</v>
      </c>
      <c r="G1018" s="2">
        <v>45617</v>
      </c>
      <c r="H1018" s="2"/>
      <c r="I1018">
        <v>4</v>
      </c>
      <c r="J1018">
        <v>3</v>
      </c>
      <c r="K1018">
        <v>0</v>
      </c>
      <c r="L1018" s="1" t="s">
        <v>26</v>
      </c>
      <c r="M1018">
        <v>15.8</v>
      </c>
      <c r="N1018">
        <v>45962.25</v>
      </c>
      <c r="O1018">
        <v>4206726.92</v>
      </c>
      <c r="P1018">
        <v>706267.89</v>
      </c>
      <c r="Q1018" s="1" t="s">
        <v>3429</v>
      </c>
      <c r="R1018">
        <v>79</v>
      </c>
      <c r="S1018" s="1" t="s">
        <v>3430</v>
      </c>
      <c r="T1018" t="b">
        <v>1</v>
      </c>
    </row>
    <row r="1019" spans="1:20" x14ac:dyDescent="0.25">
      <c r="A1019" s="1" t="s">
        <v>3431</v>
      </c>
      <c r="B1019" s="1" t="s">
        <v>105</v>
      </c>
      <c r="C1019" s="1" t="s">
        <v>1769</v>
      </c>
      <c r="D1019" s="1" t="s">
        <v>230</v>
      </c>
      <c r="E1019" s="1" t="s">
        <v>24</v>
      </c>
      <c r="F1019" s="1" t="s">
        <v>34</v>
      </c>
      <c r="G1019" s="2">
        <v>45043</v>
      </c>
      <c r="H1019" s="2"/>
      <c r="I1019">
        <v>3</v>
      </c>
      <c r="J1019">
        <v>5</v>
      </c>
      <c r="K1019">
        <v>2</v>
      </c>
      <c r="L1019" s="1" t="s">
        <v>26</v>
      </c>
      <c r="M1019">
        <v>54.3</v>
      </c>
      <c r="N1019">
        <v>185042.43</v>
      </c>
      <c r="O1019">
        <v>4425905.3600000003</v>
      </c>
      <c r="P1019">
        <v>820766.89</v>
      </c>
      <c r="Q1019" s="1" t="s">
        <v>3432</v>
      </c>
      <c r="R1019">
        <v>21</v>
      </c>
      <c r="S1019" s="1" t="s">
        <v>3433</v>
      </c>
      <c r="T1019" t="b">
        <v>0</v>
      </c>
    </row>
    <row r="1020" spans="1:20" x14ac:dyDescent="0.25">
      <c r="A1020" s="1" t="s">
        <v>3434</v>
      </c>
      <c r="B1020" s="1" t="s">
        <v>169</v>
      </c>
      <c r="C1020" s="1" t="s">
        <v>1032</v>
      </c>
      <c r="D1020" s="1" t="s">
        <v>655</v>
      </c>
      <c r="E1020" s="1" t="s">
        <v>33</v>
      </c>
      <c r="F1020" s="1" t="s">
        <v>50</v>
      </c>
      <c r="G1020" s="2">
        <v>45602</v>
      </c>
      <c r="H1020" s="2"/>
      <c r="I1020">
        <v>12</v>
      </c>
      <c r="J1020">
        <v>7</v>
      </c>
      <c r="K1020">
        <v>0</v>
      </c>
      <c r="L1020" s="1" t="s">
        <v>26</v>
      </c>
      <c r="M1020">
        <v>109.5</v>
      </c>
      <c r="N1020">
        <v>471485.59</v>
      </c>
      <c r="O1020">
        <v>4471876.3</v>
      </c>
      <c r="P1020">
        <v>644670.78</v>
      </c>
      <c r="Q1020" s="1" t="s">
        <v>3435</v>
      </c>
      <c r="R1020">
        <v>52</v>
      </c>
      <c r="S1020" s="1" t="s">
        <v>3436</v>
      </c>
      <c r="T1020" t="b">
        <v>1</v>
      </c>
    </row>
    <row r="1021" spans="1:20" x14ac:dyDescent="0.25">
      <c r="A1021" s="1" t="s">
        <v>3437</v>
      </c>
      <c r="B1021" s="1" t="s">
        <v>545</v>
      </c>
      <c r="C1021" s="1" t="s">
        <v>800</v>
      </c>
      <c r="D1021" s="1" t="s">
        <v>187</v>
      </c>
      <c r="E1021" s="1" t="s">
        <v>49</v>
      </c>
      <c r="F1021" s="1" t="s">
        <v>25</v>
      </c>
      <c r="G1021" s="2">
        <v>45463</v>
      </c>
      <c r="H1021" s="2">
        <v>45487</v>
      </c>
      <c r="I1021">
        <v>25</v>
      </c>
      <c r="J1021">
        <v>24</v>
      </c>
      <c r="K1021">
        <v>0</v>
      </c>
      <c r="L1021" s="1" t="s">
        <v>26</v>
      </c>
      <c r="M1021">
        <v>364.6</v>
      </c>
      <c r="N1021">
        <v>1186980.58</v>
      </c>
      <c r="O1021">
        <v>317955.27</v>
      </c>
      <c r="P1021">
        <v>154360.21</v>
      </c>
      <c r="Q1021" s="1" t="s">
        <v>3438</v>
      </c>
      <c r="R1021">
        <v>25</v>
      </c>
      <c r="S1021" s="1" t="s">
        <v>3439</v>
      </c>
      <c r="T1021" t="b">
        <v>1</v>
      </c>
    </row>
    <row r="1022" spans="1:20" x14ac:dyDescent="0.25">
      <c r="A1022" s="1" t="s">
        <v>3440</v>
      </c>
      <c r="B1022" s="1" t="s">
        <v>30</v>
      </c>
      <c r="C1022" s="1" t="s">
        <v>455</v>
      </c>
      <c r="D1022" s="1" t="s">
        <v>359</v>
      </c>
      <c r="E1022" s="1" t="s">
        <v>65</v>
      </c>
      <c r="F1022" s="1" t="s">
        <v>66</v>
      </c>
      <c r="G1022" s="2">
        <v>44948</v>
      </c>
      <c r="H1022" s="2"/>
      <c r="I1022">
        <v>4</v>
      </c>
      <c r="J1022">
        <v>2</v>
      </c>
      <c r="K1022">
        <v>0</v>
      </c>
      <c r="L1022" s="1" t="s">
        <v>26</v>
      </c>
      <c r="M1022">
        <v>15.2</v>
      </c>
      <c r="N1022">
        <v>43908.54</v>
      </c>
      <c r="O1022">
        <v>3825401.66</v>
      </c>
      <c r="P1022">
        <v>645394.65</v>
      </c>
      <c r="Q1022" s="1" t="s">
        <v>3441</v>
      </c>
      <c r="R1022">
        <v>30</v>
      </c>
      <c r="S1022" s="1" t="s">
        <v>3442</v>
      </c>
      <c r="T1022" t="b">
        <v>0</v>
      </c>
    </row>
    <row r="1023" spans="1:20" x14ac:dyDescent="0.25">
      <c r="A1023" s="1" t="s">
        <v>3443</v>
      </c>
      <c r="B1023" s="1" t="s">
        <v>358</v>
      </c>
      <c r="C1023" s="1" t="s">
        <v>363</v>
      </c>
      <c r="D1023" s="1" t="s">
        <v>405</v>
      </c>
      <c r="E1023" s="1" t="s">
        <v>57</v>
      </c>
      <c r="F1023" s="1" t="s">
        <v>25</v>
      </c>
      <c r="G1023" s="2">
        <v>45595</v>
      </c>
      <c r="H1023" s="2">
        <v>45640</v>
      </c>
      <c r="I1023">
        <v>40</v>
      </c>
      <c r="J1023">
        <v>45</v>
      </c>
      <c r="K1023">
        <v>5</v>
      </c>
      <c r="L1023" s="1" t="s">
        <v>26</v>
      </c>
      <c r="M1023">
        <v>492.4</v>
      </c>
      <c r="N1023">
        <v>2214534.52</v>
      </c>
      <c r="O1023">
        <v>4651772.8499999996</v>
      </c>
      <c r="P1023">
        <v>1014246.78</v>
      </c>
      <c r="Q1023" s="1" t="s">
        <v>3444</v>
      </c>
      <c r="R1023">
        <v>27</v>
      </c>
      <c r="S1023" s="1" t="s">
        <v>3445</v>
      </c>
      <c r="T1023" t="b">
        <v>0</v>
      </c>
    </row>
    <row r="1024" spans="1:20" x14ac:dyDescent="0.25">
      <c r="A1024" s="1" t="s">
        <v>3446</v>
      </c>
      <c r="B1024" s="1" t="s">
        <v>99</v>
      </c>
      <c r="C1024" s="1" t="s">
        <v>2273</v>
      </c>
      <c r="D1024" s="1" t="s">
        <v>268</v>
      </c>
      <c r="E1024" s="1" t="s">
        <v>49</v>
      </c>
      <c r="F1024" s="1" t="s">
        <v>25</v>
      </c>
      <c r="G1024" s="2">
        <v>44743</v>
      </c>
      <c r="H1024" s="2">
        <v>44756</v>
      </c>
      <c r="I1024">
        <v>25</v>
      </c>
      <c r="J1024">
        <v>13</v>
      </c>
      <c r="K1024">
        <v>0</v>
      </c>
      <c r="L1024" s="1" t="s">
        <v>26</v>
      </c>
      <c r="M1024">
        <v>107.3</v>
      </c>
      <c r="N1024">
        <v>205893.38</v>
      </c>
      <c r="O1024">
        <v>4498939.07</v>
      </c>
      <c r="P1024">
        <v>772687.25</v>
      </c>
      <c r="Q1024" s="1" t="s">
        <v>3447</v>
      </c>
      <c r="R1024">
        <v>41</v>
      </c>
      <c r="S1024" s="1" t="s">
        <v>3448</v>
      </c>
      <c r="T1024" t="b">
        <v>0</v>
      </c>
    </row>
    <row r="1025" spans="1:20" x14ac:dyDescent="0.25">
      <c r="A1025" s="1" t="s">
        <v>3449</v>
      </c>
      <c r="B1025" s="1" t="s">
        <v>566</v>
      </c>
      <c r="C1025" s="1" t="s">
        <v>2485</v>
      </c>
      <c r="D1025" s="1" t="s">
        <v>410</v>
      </c>
      <c r="E1025" s="1" t="s">
        <v>33</v>
      </c>
      <c r="F1025" s="1" t="s">
        <v>50</v>
      </c>
      <c r="G1025" s="2">
        <v>45287</v>
      </c>
      <c r="H1025" s="2"/>
      <c r="I1025">
        <v>12</v>
      </c>
      <c r="J1025">
        <v>13</v>
      </c>
      <c r="K1025">
        <v>1</v>
      </c>
      <c r="L1025" s="1" t="s">
        <v>26</v>
      </c>
      <c r="M1025">
        <v>142.6</v>
      </c>
      <c r="N1025">
        <v>587409.61</v>
      </c>
      <c r="O1025">
        <v>3296569.48</v>
      </c>
      <c r="P1025">
        <v>637429.68000000005</v>
      </c>
      <c r="Q1025" s="1" t="s">
        <v>3450</v>
      </c>
      <c r="R1025">
        <v>60</v>
      </c>
      <c r="S1025" s="1" t="s">
        <v>3451</v>
      </c>
      <c r="T1025" t="b">
        <v>0</v>
      </c>
    </row>
    <row r="1026" spans="1:20" x14ac:dyDescent="0.25">
      <c r="A1026" s="1" t="s">
        <v>3452</v>
      </c>
      <c r="B1026" s="1" t="s">
        <v>169</v>
      </c>
      <c r="C1026" s="1" t="s">
        <v>586</v>
      </c>
      <c r="D1026" s="1" t="s">
        <v>306</v>
      </c>
      <c r="E1026" s="1" t="s">
        <v>65</v>
      </c>
      <c r="F1026" s="1" t="s">
        <v>66</v>
      </c>
      <c r="G1026" s="2">
        <v>45332</v>
      </c>
      <c r="H1026" s="2"/>
      <c r="I1026">
        <v>4</v>
      </c>
      <c r="J1026">
        <v>4</v>
      </c>
      <c r="K1026">
        <v>0</v>
      </c>
      <c r="L1026" s="1" t="s">
        <v>26</v>
      </c>
      <c r="M1026">
        <v>50.6</v>
      </c>
      <c r="N1026">
        <v>218895.73</v>
      </c>
      <c r="O1026">
        <v>2152248.13</v>
      </c>
      <c r="P1026">
        <v>300102.56</v>
      </c>
      <c r="Q1026" s="1" t="s">
        <v>3453</v>
      </c>
      <c r="R1026">
        <v>55</v>
      </c>
      <c r="S1026" s="1" t="s">
        <v>3454</v>
      </c>
      <c r="T1026" t="b">
        <v>0</v>
      </c>
    </row>
    <row r="1027" spans="1:20" x14ac:dyDescent="0.25">
      <c r="A1027" s="1" t="s">
        <v>3455</v>
      </c>
      <c r="B1027" s="1" t="s">
        <v>70</v>
      </c>
      <c r="C1027" s="1" t="s">
        <v>776</v>
      </c>
      <c r="D1027" s="1" t="s">
        <v>726</v>
      </c>
      <c r="E1027" s="1" t="s">
        <v>65</v>
      </c>
      <c r="F1027" s="1" t="s">
        <v>25</v>
      </c>
      <c r="G1027" s="2">
        <v>44771</v>
      </c>
      <c r="H1027" s="2">
        <v>44774</v>
      </c>
      <c r="I1027">
        <v>4</v>
      </c>
      <c r="J1027">
        <v>3</v>
      </c>
      <c r="K1027">
        <v>0</v>
      </c>
      <c r="L1027" s="1" t="s">
        <v>26</v>
      </c>
      <c r="M1027">
        <v>47.3</v>
      </c>
      <c r="N1027">
        <v>130550.02</v>
      </c>
      <c r="O1027">
        <v>3802645.6</v>
      </c>
      <c r="P1027">
        <v>718012.65</v>
      </c>
      <c r="Q1027" s="1" t="s">
        <v>3456</v>
      </c>
      <c r="R1027">
        <v>56</v>
      </c>
      <c r="S1027" s="1" t="s">
        <v>3457</v>
      </c>
      <c r="T1027" t="b">
        <v>1</v>
      </c>
    </row>
    <row r="1028" spans="1:20" x14ac:dyDescent="0.25">
      <c r="A1028" s="1" t="s">
        <v>3458</v>
      </c>
      <c r="B1028" s="1" t="s">
        <v>471</v>
      </c>
      <c r="C1028" s="1" t="s">
        <v>693</v>
      </c>
      <c r="D1028" s="1" t="s">
        <v>230</v>
      </c>
      <c r="E1028" s="1" t="s">
        <v>49</v>
      </c>
      <c r="F1028" s="1" t="s">
        <v>25</v>
      </c>
      <c r="G1028" s="2">
        <v>45106</v>
      </c>
      <c r="H1028" s="2">
        <v>45133</v>
      </c>
      <c r="I1028">
        <v>25</v>
      </c>
      <c r="J1028">
        <v>27</v>
      </c>
      <c r="K1028">
        <v>2</v>
      </c>
      <c r="L1028" s="1" t="s">
        <v>26</v>
      </c>
      <c r="M1028">
        <v>333.7</v>
      </c>
      <c r="N1028">
        <v>806042.53</v>
      </c>
      <c r="O1028">
        <v>215028.82</v>
      </c>
      <c r="P1028">
        <v>146616.48000000001</v>
      </c>
      <c r="Q1028" s="1" t="s">
        <v>3459</v>
      </c>
      <c r="R1028">
        <v>58</v>
      </c>
      <c r="S1028" s="1" t="s">
        <v>3460</v>
      </c>
      <c r="T1028" t="b">
        <v>1</v>
      </c>
    </row>
    <row r="1029" spans="1:20" x14ac:dyDescent="0.25">
      <c r="A1029" s="1" t="s">
        <v>3461</v>
      </c>
      <c r="B1029" s="1" t="s">
        <v>629</v>
      </c>
      <c r="C1029" s="1" t="s">
        <v>134</v>
      </c>
      <c r="D1029" s="1" t="s">
        <v>187</v>
      </c>
      <c r="E1029" s="1" t="s">
        <v>33</v>
      </c>
      <c r="F1029" s="1" t="s">
        <v>66</v>
      </c>
      <c r="G1029" s="2">
        <v>45432</v>
      </c>
      <c r="H1029" s="2"/>
      <c r="I1029">
        <v>12</v>
      </c>
      <c r="J1029">
        <v>7</v>
      </c>
      <c r="K1029">
        <v>0</v>
      </c>
      <c r="L1029" s="1" t="s">
        <v>26</v>
      </c>
      <c r="M1029">
        <v>35.5</v>
      </c>
      <c r="N1029">
        <v>70978.81</v>
      </c>
      <c r="O1029">
        <v>4993566.87</v>
      </c>
      <c r="P1029">
        <v>563656.68999999994</v>
      </c>
      <c r="Q1029" s="1" t="s">
        <v>3462</v>
      </c>
      <c r="R1029">
        <v>68</v>
      </c>
      <c r="S1029" s="1" t="s">
        <v>3463</v>
      </c>
      <c r="T1029" t="b">
        <v>1</v>
      </c>
    </row>
    <row r="1030" spans="1:20" x14ac:dyDescent="0.25">
      <c r="A1030" s="1" t="s">
        <v>3464</v>
      </c>
      <c r="B1030" s="1" t="s">
        <v>242</v>
      </c>
      <c r="C1030" s="1" t="s">
        <v>504</v>
      </c>
      <c r="D1030" s="1" t="s">
        <v>202</v>
      </c>
      <c r="E1030" s="1" t="s">
        <v>41</v>
      </c>
      <c r="F1030" s="1" t="s">
        <v>25</v>
      </c>
      <c r="G1030" s="2">
        <v>44980</v>
      </c>
      <c r="H1030" s="2">
        <v>44984</v>
      </c>
      <c r="I1030">
        <v>9</v>
      </c>
      <c r="J1030">
        <v>4</v>
      </c>
      <c r="K1030">
        <v>0</v>
      </c>
      <c r="L1030" s="1" t="s">
        <v>26</v>
      </c>
      <c r="M1030">
        <v>27.2</v>
      </c>
      <c r="N1030">
        <v>83852.11</v>
      </c>
      <c r="O1030">
        <v>2044086.17</v>
      </c>
      <c r="P1030">
        <v>212884.14</v>
      </c>
      <c r="Q1030" s="1" t="s">
        <v>3465</v>
      </c>
      <c r="R1030">
        <v>52</v>
      </c>
      <c r="S1030" s="1" t="s">
        <v>3466</v>
      </c>
      <c r="T1030" t="b">
        <v>1</v>
      </c>
    </row>
    <row r="1031" spans="1:20" x14ac:dyDescent="0.25">
      <c r="A1031" s="1" t="s">
        <v>3467</v>
      </c>
      <c r="B1031" s="1" t="s">
        <v>253</v>
      </c>
      <c r="C1031" s="1" t="s">
        <v>819</v>
      </c>
      <c r="D1031" s="1" t="s">
        <v>595</v>
      </c>
      <c r="E1031" s="1" t="s">
        <v>24</v>
      </c>
      <c r="F1031" s="1" t="s">
        <v>50</v>
      </c>
      <c r="G1031" s="2">
        <v>45382</v>
      </c>
      <c r="H1031" s="2"/>
      <c r="I1031">
        <v>3</v>
      </c>
      <c r="J1031">
        <v>1</v>
      </c>
      <c r="K1031">
        <v>0</v>
      </c>
      <c r="L1031" s="1" t="s">
        <v>26</v>
      </c>
      <c r="M1031">
        <v>14.9</v>
      </c>
      <c r="N1031">
        <v>41315.519999999997</v>
      </c>
      <c r="O1031">
        <v>4781179.82</v>
      </c>
      <c r="P1031">
        <v>844166.46</v>
      </c>
      <c r="Q1031" s="1" t="s">
        <v>3468</v>
      </c>
      <c r="R1031">
        <v>40</v>
      </c>
      <c r="S1031" s="1" t="s">
        <v>3469</v>
      </c>
      <c r="T1031" t="b">
        <v>1</v>
      </c>
    </row>
    <row r="1032" spans="1:20" x14ac:dyDescent="0.25">
      <c r="A1032" s="1" t="s">
        <v>3470</v>
      </c>
      <c r="B1032" s="1" t="s">
        <v>82</v>
      </c>
      <c r="C1032" s="1" t="s">
        <v>409</v>
      </c>
      <c r="D1032" s="1" t="s">
        <v>176</v>
      </c>
      <c r="E1032" s="1" t="s">
        <v>41</v>
      </c>
      <c r="F1032" s="1" t="s">
        <v>25</v>
      </c>
      <c r="G1032" s="2">
        <v>44957</v>
      </c>
      <c r="H1032" s="2">
        <v>44964</v>
      </c>
      <c r="I1032">
        <v>9</v>
      </c>
      <c r="J1032">
        <v>7</v>
      </c>
      <c r="K1032">
        <v>0</v>
      </c>
      <c r="L1032" s="1" t="s">
        <v>26</v>
      </c>
      <c r="M1032">
        <v>30.4</v>
      </c>
      <c r="N1032">
        <v>101277.36</v>
      </c>
      <c r="O1032">
        <v>2016303.09</v>
      </c>
      <c r="P1032">
        <v>225136.83</v>
      </c>
      <c r="Q1032" s="1" t="s">
        <v>2351</v>
      </c>
      <c r="R1032">
        <v>64</v>
      </c>
      <c r="S1032" s="1" t="s">
        <v>3471</v>
      </c>
      <c r="T1032" t="b">
        <v>0</v>
      </c>
    </row>
    <row r="1033" spans="1:20" x14ac:dyDescent="0.25">
      <c r="A1033" s="1" t="s">
        <v>3472</v>
      </c>
      <c r="B1033" s="1" t="s">
        <v>117</v>
      </c>
      <c r="C1033" s="1" t="s">
        <v>638</v>
      </c>
      <c r="D1033" s="1" t="s">
        <v>655</v>
      </c>
      <c r="E1033" s="1" t="s">
        <v>49</v>
      </c>
      <c r="F1033" s="1" t="s">
        <v>66</v>
      </c>
      <c r="G1033" s="2">
        <v>44647</v>
      </c>
      <c r="H1033" s="2"/>
      <c r="I1033">
        <v>25</v>
      </c>
      <c r="J1033">
        <v>40</v>
      </c>
      <c r="K1033">
        <v>15</v>
      </c>
      <c r="L1033" s="1" t="s">
        <v>26</v>
      </c>
      <c r="M1033">
        <v>595.6</v>
      </c>
      <c r="N1033">
        <v>1076665.6499999999</v>
      </c>
      <c r="O1033">
        <v>2009516.08</v>
      </c>
      <c r="P1033">
        <v>565798.31999999995</v>
      </c>
      <c r="Q1033" s="1" t="s">
        <v>3473</v>
      </c>
      <c r="R1033">
        <v>74</v>
      </c>
      <c r="S1033" s="1" t="s">
        <v>3474</v>
      </c>
      <c r="T1033" t="b">
        <v>1</v>
      </c>
    </row>
    <row r="1034" spans="1:20" x14ac:dyDescent="0.25">
      <c r="A1034" s="1" t="s">
        <v>3475</v>
      </c>
      <c r="B1034" s="1" t="s">
        <v>629</v>
      </c>
      <c r="C1034" s="1" t="s">
        <v>769</v>
      </c>
      <c r="D1034" s="1" t="s">
        <v>23</v>
      </c>
      <c r="E1034" s="1" t="s">
        <v>24</v>
      </c>
      <c r="F1034" s="1" t="s">
        <v>66</v>
      </c>
      <c r="G1034" s="2">
        <v>45025</v>
      </c>
      <c r="H1034" s="2"/>
      <c r="I1034">
        <v>3</v>
      </c>
      <c r="J1034">
        <v>2</v>
      </c>
      <c r="K1034">
        <v>0</v>
      </c>
      <c r="L1034" s="1" t="s">
        <v>26</v>
      </c>
      <c r="M1034">
        <v>30.1</v>
      </c>
      <c r="N1034">
        <v>105102.98</v>
      </c>
      <c r="O1034">
        <v>4736452.8</v>
      </c>
      <c r="P1034">
        <v>748463.38</v>
      </c>
      <c r="Q1034" s="1" t="s">
        <v>3476</v>
      </c>
      <c r="R1034">
        <v>64</v>
      </c>
      <c r="S1034" s="1" t="s">
        <v>3477</v>
      </c>
      <c r="T1034" t="b">
        <v>0</v>
      </c>
    </row>
    <row r="1035" spans="1:20" x14ac:dyDescent="0.25">
      <c r="A1035" s="1" t="s">
        <v>3478</v>
      </c>
      <c r="B1035" s="1" t="s">
        <v>62</v>
      </c>
      <c r="C1035" s="1" t="s">
        <v>3479</v>
      </c>
      <c r="D1035" s="1" t="s">
        <v>1022</v>
      </c>
      <c r="E1035" s="1" t="s">
        <v>49</v>
      </c>
      <c r="F1035" s="1" t="s">
        <v>25</v>
      </c>
      <c r="G1035" s="2">
        <v>45200</v>
      </c>
      <c r="H1035" s="2">
        <v>45228</v>
      </c>
      <c r="I1035">
        <v>25</v>
      </c>
      <c r="J1035">
        <v>28</v>
      </c>
      <c r="K1035">
        <v>3</v>
      </c>
      <c r="L1035" s="1" t="s">
        <v>26</v>
      </c>
      <c r="M1035">
        <v>216.9</v>
      </c>
      <c r="N1035">
        <v>913108.36</v>
      </c>
      <c r="O1035">
        <v>460576.38</v>
      </c>
      <c r="P1035">
        <v>184112.9</v>
      </c>
      <c r="Q1035" s="1" t="s">
        <v>3480</v>
      </c>
      <c r="R1035">
        <v>59</v>
      </c>
      <c r="S1035" s="1" t="s">
        <v>3481</v>
      </c>
      <c r="T1035" t="b">
        <v>1</v>
      </c>
    </row>
    <row r="1036" spans="1:20" x14ac:dyDescent="0.25">
      <c r="A1036" s="1" t="s">
        <v>3482</v>
      </c>
      <c r="B1036" s="1" t="s">
        <v>82</v>
      </c>
      <c r="C1036" s="1" t="s">
        <v>800</v>
      </c>
      <c r="D1036" s="1" t="s">
        <v>670</v>
      </c>
      <c r="E1036" s="1" t="s">
        <v>33</v>
      </c>
      <c r="F1036" s="1" t="s">
        <v>50</v>
      </c>
      <c r="G1036" s="2">
        <v>44931</v>
      </c>
      <c r="H1036" s="2"/>
      <c r="I1036">
        <v>12</v>
      </c>
      <c r="J1036">
        <v>16</v>
      </c>
      <c r="K1036">
        <v>4</v>
      </c>
      <c r="L1036" s="1" t="s">
        <v>58</v>
      </c>
      <c r="M1036">
        <v>214</v>
      </c>
      <c r="N1036">
        <v>959928.43</v>
      </c>
      <c r="O1036">
        <v>1239518.55</v>
      </c>
      <c r="P1036">
        <v>424217.97</v>
      </c>
      <c r="Q1036" s="1" t="s">
        <v>3483</v>
      </c>
      <c r="R1036">
        <v>47</v>
      </c>
      <c r="S1036" s="1" t="s">
        <v>3484</v>
      </c>
      <c r="T1036" t="b">
        <v>1</v>
      </c>
    </row>
    <row r="1037" spans="1:20" x14ac:dyDescent="0.25">
      <c r="A1037" s="1" t="s">
        <v>3485</v>
      </c>
      <c r="B1037" s="1" t="s">
        <v>148</v>
      </c>
      <c r="C1037" s="1" t="s">
        <v>1212</v>
      </c>
      <c r="D1037" s="1" t="s">
        <v>130</v>
      </c>
      <c r="E1037" s="1" t="s">
        <v>49</v>
      </c>
      <c r="F1037" s="1" t="s">
        <v>66</v>
      </c>
      <c r="G1037" s="2">
        <v>45027</v>
      </c>
      <c r="H1037" s="2"/>
      <c r="I1037">
        <v>25</v>
      </c>
      <c r="J1037">
        <v>34</v>
      </c>
      <c r="K1037">
        <v>9</v>
      </c>
      <c r="L1037" s="1" t="s">
        <v>193</v>
      </c>
      <c r="M1037">
        <v>450.7</v>
      </c>
      <c r="N1037">
        <v>1793903.43</v>
      </c>
      <c r="O1037">
        <v>1043636.27</v>
      </c>
      <c r="P1037">
        <v>372962.82</v>
      </c>
      <c r="Q1037" s="1" t="s">
        <v>3486</v>
      </c>
      <c r="R1037">
        <v>36</v>
      </c>
      <c r="S1037" s="1" t="s">
        <v>3487</v>
      </c>
      <c r="T1037" t="b">
        <v>0</v>
      </c>
    </row>
    <row r="1038" spans="1:20" x14ac:dyDescent="0.25">
      <c r="A1038" s="1" t="s">
        <v>3488</v>
      </c>
      <c r="B1038" s="1" t="s">
        <v>403</v>
      </c>
      <c r="C1038" s="1" t="s">
        <v>769</v>
      </c>
      <c r="D1038" s="1" t="s">
        <v>144</v>
      </c>
      <c r="E1038" s="1" t="s">
        <v>49</v>
      </c>
      <c r="F1038" s="1" t="s">
        <v>25</v>
      </c>
      <c r="G1038" s="2">
        <v>45324</v>
      </c>
      <c r="H1038" s="2">
        <v>45346</v>
      </c>
      <c r="I1038">
        <v>25</v>
      </c>
      <c r="J1038">
        <v>22</v>
      </c>
      <c r="K1038">
        <v>0</v>
      </c>
      <c r="L1038" s="1" t="s">
        <v>26</v>
      </c>
      <c r="M1038">
        <v>216.2</v>
      </c>
      <c r="N1038">
        <v>417851.83</v>
      </c>
      <c r="O1038">
        <v>2974645.79</v>
      </c>
      <c r="P1038">
        <v>560212.41</v>
      </c>
      <c r="Q1038" s="1" t="s">
        <v>3489</v>
      </c>
      <c r="R1038">
        <v>31</v>
      </c>
      <c r="S1038" s="1" t="s">
        <v>3490</v>
      </c>
      <c r="T1038" t="b">
        <v>1</v>
      </c>
    </row>
    <row r="1039" spans="1:20" x14ac:dyDescent="0.25">
      <c r="A1039" s="1" t="s">
        <v>3491</v>
      </c>
      <c r="B1039" s="1" t="s">
        <v>286</v>
      </c>
      <c r="C1039" s="1" t="s">
        <v>1834</v>
      </c>
      <c r="D1039" s="1" t="s">
        <v>154</v>
      </c>
      <c r="E1039" s="1" t="s">
        <v>65</v>
      </c>
      <c r="F1039" s="1" t="s">
        <v>25</v>
      </c>
      <c r="G1039" s="2">
        <v>45162</v>
      </c>
      <c r="H1039" s="2">
        <v>45167</v>
      </c>
      <c r="I1039">
        <v>4</v>
      </c>
      <c r="J1039">
        <v>5</v>
      </c>
      <c r="K1039">
        <v>0.5</v>
      </c>
      <c r="L1039" s="1" t="s">
        <v>26</v>
      </c>
      <c r="M1039">
        <v>67.099999999999994</v>
      </c>
      <c r="N1039">
        <v>254947.27</v>
      </c>
      <c r="O1039">
        <v>2788194.34</v>
      </c>
      <c r="P1039">
        <v>436662.83</v>
      </c>
      <c r="Q1039" s="1" t="s">
        <v>3492</v>
      </c>
      <c r="R1039">
        <v>20</v>
      </c>
      <c r="S1039" s="1" t="s">
        <v>3493</v>
      </c>
      <c r="T1039" t="b">
        <v>0</v>
      </c>
    </row>
    <row r="1040" spans="1:20" x14ac:dyDescent="0.25">
      <c r="A1040" s="1" t="s">
        <v>3494</v>
      </c>
      <c r="B1040" s="1" t="s">
        <v>545</v>
      </c>
      <c r="C1040" s="1" t="s">
        <v>1462</v>
      </c>
      <c r="D1040" s="1" t="s">
        <v>513</v>
      </c>
      <c r="E1040" s="1" t="s">
        <v>65</v>
      </c>
      <c r="F1040" s="1" t="s">
        <v>50</v>
      </c>
      <c r="G1040" s="2">
        <v>45206</v>
      </c>
      <c r="H1040" s="2"/>
      <c r="I1040">
        <v>4</v>
      </c>
      <c r="J1040">
        <v>6</v>
      </c>
      <c r="K1040">
        <v>1.5</v>
      </c>
      <c r="L1040" s="1" t="s">
        <v>26</v>
      </c>
      <c r="M1040">
        <v>59.3</v>
      </c>
      <c r="N1040">
        <v>177684.11</v>
      </c>
      <c r="O1040">
        <v>2692214.6</v>
      </c>
      <c r="P1040">
        <v>295365.44</v>
      </c>
      <c r="Q1040" s="1" t="s">
        <v>3495</v>
      </c>
      <c r="R1040">
        <v>70</v>
      </c>
      <c r="S1040" s="1" t="s">
        <v>3496</v>
      </c>
      <c r="T1040" t="b">
        <v>1</v>
      </c>
    </row>
    <row r="1041" spans="1:20" x14ac:dyDescent="0.25">
      <c r="A1041" s="1" t="s">
        <v>3497</v>
      </c>
      <c r="B1041" s="1" t="s">
        <v>228</v>
      </c>
      <c r="C1041" s="1" t="s">
        <v>234</v>
      </c>
      <c r="D1041" s="1" t="s">
        <v>107</v>
      </c>
      <c r="E1041" s="1" t="s">
        <v>57</v>
      </c>
      <c r="F1041" s="1" t="s">
        <v>25</v>
      </c>
      <c r="G1041" s="2">
        <v>45432</v>
      </c>
      <c r="H1041" s="2">
        <v>45475</v>
      </c>
      <c r="I1041">
        <v>40</v>
      </c>
      <c r="J1041">
        <v>43</v>
      </c>
      <c r="K1041">
        <v>3</v>
      </c>
      <c r="L1041" s="1" t="s">
        <v>26</v>
      </c>
      <c r="M1041">
        <v>305.2</v>
      </c>
      <c r="N1041">
        <v>882631.91</v>
      </c>
      <c r="O1041">
        <v>1912489.4</v>
      </c>
      <c r="P1041">
        <v>316074.03000000003</v>
      </c>
      <c r="Q1041" s="1" t="s">
        <v>3498</v>
      </c>
      <c r="R1041">
        <v>26</v>
      </c>
      <c r="S1041" s="1" t="s">
        <v>3499</v>
      </c>
      <c r="T1041" t="b">
        <v>0</v>
      </c>
    </row>
    <row r="1042" spans="1:20" x14ac:dyDescent="0.25">
      <c r="A1042" s="1" t="s">
        <v>3500</v>
      </c>
      <c r="B1042" s="1" t="s">
        <v>46</v>
      </c>
      <c r="C1042" s="1" t="s">
        <v>2140</v>
      </c>
      <c r="D1042" s="1" t="s">
        <v>238</v>
      </c>
      <c r="E1042" s="1" t="s">
        <v>49</v>
      </c>
      <c r="F1042" s="1" t="s">
        <v>66</v>
      </c>
      <c r="G1042" s="2">
        <v>45246</v>
      </c>
      <c r="H1042" s="2"/>
      <c r="I1042">
        <v>25</v>
      </c>
      <c r="J1042">
        <v>21</v>
      </c>
      <c r="K1042">
        <v>0</v>
      </c>
      <c r="L1042" s="1" t="s">
        <v>26</v>
      </c>
      <c r="M1042">
        <v>141.69999999999999</v>
      </c>
      <c r="N1042">
        <v>275604.73</v>
      </c>
      <c r="O1042">
        <v>3477014.84</v>
      </c>
      <c r="P1042">
        <v>628664.18000000005</v>
      </c>
      <c r="Q1042" s="1" t="s">
        <v>3501</v>
      </c>
      <c r="R1042">
        <v>31</v>
      </c>
      <c r="S1042" s="1" t="s">
        <v>3502</v>
      </c>
      <c r="T1042" t="b">
        <v>0</v>
      </c>
    </row>
    <row r="1043" spans="1:20" x14ac:dyDescent="0.25">
      <c r="A1043" s="1" t="s">
        <v>3503</v>
      </c>
      <c r="B1043" s="1" t="s">
        <v>148</v>
      </c>
      <c r="C1043" s="1" t="s">
        <v>749</v>
      </c>
      <c r="D1043" s="1" t="s">
        <v>56</v>
      </c>
      <c r="E1043" s="1" t="s">
        <v>65</v>
      </c>
      <c r="F1043" s="1" t="s">
        <v>34</v>
      </c>
      <c r="G1043" s="2">
        <v>45438</v>
      </c>
      <c r="H1043" s="2"/>
      <c r="I1043">
        <v>4</v>
      </c>
      <c r="J1043">
        <v>8</v>
      </c>
      <c r="K1043">
        <v>3.5</v>
      </c>
      <c r="L1043" s="1" t="s">
        <v>330</v>
      </c>
      <c r="M1043">
        <v>61.8</v>
      </c>
      <c r="N1043">
        <v>133655.4</v>
      </c>
      <c r="O1043">
        <v>1586866.16</v>
      </c>
      <c r="P1043">
        <v>183636.82</v>
      </c>
      <c r="Q1043" s="1" t="s">
        <v>3504</v>
      </c>
      <c r="R1043">
        <v>78</v>
      </c>
      <c r="S1043" s="1" t="s">
        <v>3505</v>
      </c>
      <c r="T1043" t="b">
        <v>0</v>
      </c>
    </row>
    <row r="1044" spans="1:20" x14ac:dyDescent="0.25">
      <c r="A1044" s="1" t="s">
        <v>3506</v>
      </c>
      <c r="B1044" s="1" t="s">
        <v>21</v>
      </c>
      <c r="C1044" s="1" t="s">
        <v>1452</v>
      </c>
      <c r="D1044" s="1" t="s">
        <v>405</v>
      </c>
      <c r="E1044" s="1" t="s">
        <v>49</v>
      </c>
      <c r="F1044" s="1" t="s">
        <v>34</v>
      </c>
      <c r="G1044" s="2">
        <v>45654</v>
      </c>
      <c r="H1044" s="2"/>
      <c r="I1044">
        <v>25</v>
      </c>
      <c r="J1044">
        <v>22</v>
      </c>
      <c r="K1044">
        <v>0</v>
      </c>
      <c r="L1044" s="1" t="s">
        <v>26</v>
      </c>
      <c r="M1044">
        <v>350.3</v>
      </c>
      <c r="N1044">
        <v>636327.68000000005</v>
      </c>
      <c r="O1044">
        <v>4523141.88</v>
      </c>
      <c r="P1044">
        <v>792933.31</v>
      </c>
      <c r="Q1044" s="1" t="s">
        <v>3507</v>
      </c>
      <c r="R1044">
        <v>51</v>
      </c>
      <c r="S1044" s="1" t="s">
        <v>3508</v>
      </c>
      <c r="T1044" t="b">
        <v>1</v>
      </c>
    </row>
    <row r="1045" spans="1:20" x14ac:dyDescent="0.25">
      <c r="A1045" s="1" t="s">
        <v>3509</v>
      </c>
      <c r="B1045" s="1" t="s">
        <v>169</v>
      </c>
      <c r="C1045" s="1" t="s">
        <v>634</v>
      </c>
      <c r="D1045" s="1" t="s">
        <v>405</v>
      </c>
      <c r="E1045" s="1" t="s">
        <v>33</v>
      </c>
      <c r="F1045" s="1" t="s">
        <v>25</v>
      </c>
      <c r="G1045" s="2">
        <v>44963</v>
      </c>
      <c r="H1045" s="2">
        <v>44978</v>
      </c>
      <c r="I1045">
        <v>12</v>
      </c>
      <c r="J1045">
        <v>15</v>
      </c>
      <c r="K1045">
        <v>3</v>
      </c>
      <c r="L1045" s="1" t="s">
        <v>26</v>
      </c>
      <c r="M1045">
        <v>167.2</v>
      </c>
      <c r="N1045">
        <v>726112.01</v>
      </c>
      <c r="O1045">
        <v>2226000.81</v>
      </c>
      <c r="P1045">
        <v>527127.34</v>
      </c>
      <c r="Q1045" s="1" t="s">
        <v>3416</v>
      </c>
      <c r="R1045">
        <v>46</v>
      </c>
      <c r="S1045" s="1" t="s">
        <v>3510</v>
      </c>
      <c r="T1045" t="b">
        <v>0</v>
      </c>
    </row>
    <row r="1046" spans="1:20" x14ac:dyDescent="0.25">
      <c r="A1046" s="1" t="s">
        <v>3511</v>
      </c>
      <c r="B1046" s="1" t="s">
        <v>451</v>
      </c>
      <c r="C1046" s="1" t="s">
        <v>112</v>
      </c>
      <c r="D1046" s="1" t="s">
        <v>268</v>
      </c>
      <c r="E1046" s="1" t="s">
        <v>41</v>
      </c>
      <c r="F1046" s="1" t="s">
        <v>50</v>
      </c>
      <c r="G1046" s="2">
        <v>44898</v>
      </c>
      <c r="H1046" s="2"/>
      <c r="I1046">
        <v>9</v>
      </c>
      <c r="J1046">
        <v>9</v>
      </c>
      <c r="K1046">
        <v>0</v>
      </c>
      <c r="L1046" s="1" t="s">
        <v>26</v>
      </c>
      <c r="M1046">
        <v>44.2</v>
      </c>
      <c r="N1046">
        <v>166731.53</v>
      </c>
      <c r="O1046">
        <v>4598413.53</v>
      </c>
      <c r="P1046">
        <v>501994.32</v>
      </c>
      <c r="Q1046" s="1" t="s">
        <v>3512</v>
      </c>
      <c r="R1046">
        <v>47</v>
      </c>
      <c r="S1046" s="1" t="s">
        <v>3513</v>
      </c>
      <c r="T1046" t="b">
        <v>0</v>
      </c>
    </row>
    <row r="1047" spans="1:20" x14ac:dyDescent="0.25">
      <c r="A1047" s="1" t="s">
        <v>3514</v>
      </c>
      <c r="B1047" s="1" t="s">
        <v>328</v>
      </c>
      <c r="C1047" s="1" t="s">
        <v>2811</v>
      </c>
      <c r="D1047" s="1" t="s">
        <v>1022</v>
      </c>
      <c r="E1047" s="1" t="s">
        <v>49</v>
      </c>
      <c r="F1047" s="1" t="s">
        <v>25</v>
      </c>
      <c r="G1047" s="2">
        <v>45352</v>
      </c>
      <c r="H1047" s="2">
        <v>45376</v>
      </c>
      <c r="I1047">
        <v>25</v>
      </c>
      <c r="J1047">
        <v>24</v>
      </c>
      <c r="K1047">
        <v>0</v>
      </c>
      <c r="L1047" s="1" t="s">
        <v>26</v>
      </c>
      <c r="M1047">
        <v>255.6</v>
      </c>
      <c r="N1047">
        <v>1132051.8500000001</v>
      </c>
      <c r="O1047">
        <v>3181434.47</v>
      </c>
      <c r="P1047">
        <v>590298.78</v>
      </c>
      <c r="Q1047" s="1" t="s">
        <v>3515</v>
      </c>
      <c r="R1047">
        <v>62</v>
      </c>
      <c r="S1047" s="1" t="s">
        <v>3516</v>
      </c>
      <c r="T1047" t="b">
        <v>1</v>
      </c>
    </row>
    <row r="1048" spans="1:20" x14ac:dyDescent="0.25">
      <c r="A1048" s="1" t="s">
        <v>3517</v>
      </c>
      <c r="B1048" s="1" t="s">
        <v>348</v>
      </c>
      <c r="C1048" s="1" t="s">
        <v>404</v>
      </c>
      <c r="D1048" s="1" t="s">
        <v>315</v>
      </c>
      <c r="E1048" s="1" t="s">
        <v>24</v>
      </c>
      <c r="F1048" s="1" t="s">
        <v>25</v>
      </c>
      <c r="G1048" s="2">
        <v>45593</v>
      </c>
      <c r="H1048" s="2">
        <v>45596</v>
      </c>
      <c r="I1048">
        <v>3</v>
      </c>
      <c r="J1048">
        <v>3</v>
      </c>
      <c r="K1048">
        <v>0</v>
      </c>
      <c r="L1048" s="1" t="s">
        <v>26</v>
      </c>
      <c r="M1048">
        <v>40.700000000000003</v>
      </c>
      <c r="N1048">
        <v>180946.51</v>
      </c>
      <c r="O1048">
        <v>1349090.21</v>
      </c>
      <c r="P1048">
        <v>157813.42000000001</v>
      </c>
      <c r="Q1048" s="1" t="s">
        <v>3518</v>
      </c>
      <c r="R1048">
        <v>49</v>
      </c>
      <c r="S1048" s="1" t="s">
        <v>3519</v>
      </c>
      <c r="T1048" t="b">
        <v>0</v>
      </c>
    </row>
    <row r="1049" spans="1:20" x14ac:dyDescent="0.25">
      <c r="A1049" s="1" t="s">
        <v>3520</v>
      </c>
      <c r="B1049" s="1" t="s">
        <v>253</v>
      </c>
      <c r="C1049" s="1" t="s">
        <v>844</v>
      </c>
      <c r="D1049" s="1" t="s">
        <v>89</v>
      </c>
      <c r="E1049" s="1" t="s">
        <v>57</v>
      </c>
      <c r="F1049" s="1" t="s">
        <v>50</v>
      </c>
      <c r="G1049" s="2">
        <v>44860</v>
      </c>
      <c r="H1049" s="2"/>
      <c r="I1049">
        <v>40</v>
      </c>
      <c r="J1049">
        <v>24</v>
      </c>
      <c r="K1049">
        <v>0</v>
      </c>
      <c r="L1049" s="1" t="s">
        <v>26</v>
      </c>
      <c r="M1049">
        <v>128.1</v>
      </c>
      <c r="N1049">
        <v>557241.88</v>
      </c>
      <c r="O1049">
        <v>779277.51</v>
      </c>
      <c r="P1049">
        <v>228935.78</v>
      </c>
      <c r="Q1049" s="1" t="s">
        <v>3521</v>
      </c>
      <c r="R1049">
        <v>80</v>
      </c>
      <c r="S1049" s="1" t="s">
        <v>3522</v>
      </c>
      <c r="T1049" t="b">
        <v>1</v>
      </c>
    </row>
    <row r="1050" spans="1:20" x14ac:dyDescent="0.25">
      <c r="A1050" s="1" t="s">
        <v>3523</v>
      </c>
      <c r="B1050" s="1" t="s">
        <v>54</v>
      </c>
      <c r="C1050" s="1" t="s">
        <v>47</v>
      </c>
      <c r="D1050" s="1" t="s">
        <v>32</v>
      </c>
      <c r="E1050" s="1" t="s">
        <v>65</v>
      </c>
      <c r="F1050" s="1" t="s">
        <v>50</v>
      </c>
      <c r="G1050" s="2">
        <v>45485</v>
      </c>
      <c r="H1050" s="2"/>
      <c r="I1050">
        <v>4</v>
      </c>
      <c r="J1050">
        <v>7</v>
      </c>
      <c r="K1050">
        <v>2.5</v>
      </c>
      <c r="L1050" s="1" t="s">
        <v>26</v>
      </c>
      <c r="M1050">
        <v>92.2</v>
      </c>
      <c r="N1050">
        <v>226426.58</v>
      </c>
      <c r="O1050">
        <v>1474414.45</v>
      </c>
      <c r="P1050">
        <v>279195.71999999997</v>
      </c>
      <c r="Q1050" s="1" t="s">
        <v>3524</v>
      </c>
      <c r="R1050">
        <v>73</v>
      </c>
      <c r="S1050" s="1" t="s">
        <v>3525</v>
      </c>
      <c r="T1050" t="b">
        <v>0</v>
      </c>
    </row>
    <row r="1051" spans="1:20" x14ac:dyDescent="0.25">
      <c r="A1051" s="1" t="s">
        <v>3526</v>
      </c>
      <c r="B1051" s="1" t="s">
        <v>629</v>
      </c>
      <c r="C1051" s="1" t="s">
        <v>1216</v>
      </c>
      <c r="D1051" s="1" t="s">
        <v>144</v>
      </c>
      <c r="E1051" s="1" t="s">
        <v>33</v>
      </c>
      <c r="F1051" s="1" t="s">
        <v>25</v>
      </c>
      <c r="G1051" s="2">
        <v>44909</v>
      </c>
      <c r="H1051" s="2">
        <v>44920</v>
      </c>
      <c r="I1051">
        <v>12</v>
      </c>
      <c r="J1051">
        <v>11</v>
      </c>
      <c r="K1051">
        <v>0</v>
      </c>
      <c r="L1051" s="1" t="s">
        <v>26</v>
      </c>
      <c r="M1051">
        <v>138.30000000000001</v>
      </c>
      <c r="N1051">
        <v>493544.01</v>
      </c>
      <c r="O1051">
        <v>313283.28999999998</v>
      </c>
      <c r="P1051">
        <v>149004.45000000001</v>
      </c>
      <c r="Q1051" s="1" t="s">
        <v>3527</v>
      </c>
      <c r="R1051">
        <v>41</v>
      </c>
      <c r="S1051" s="1" t="s">
        <v>3528</v>
      </c>
      <c r="T1051" t="b">
        <v>1</v>
      </c>
    </row>
    <row r="1052" spans="1:20" x14ac:dyDescent="0.25">
      <c r="A1052" s="1" t="s">
        <v>3529</v>
      </c>
      <c r="B1052" s="1" t="s">
        <v>93</v>
      </c>
      <c r="C1052" s="1" t="s">
        <v>1360</v>
      </c>
      <c r="D1052" s="1" t="s">
        <v>192</v>
      </c>
      <c r="E1052" s="1" t="s">
        <v>65</v>
      </c>
      <c r="F1052" s="1" t="s">
        <v>66</v>
      </c>
      <c r="G1052" s="2">
        <v>44629</v>
      </c>
      <c r="H1052" s="2"/>
      <c r="I1052">
        <v>4</v>
      </c>
      <c r="J1052">
        <v>4</v>
      </c>
      <c r="K1052">
        <v>0</v>
      </c>
      <c r="L1052" s="1" t="s">
        <v>26</v>
      </c>
      <c r="M1052">
        <v>31.6</v>
      </c>
      <c r="N1052">
        <v>103406.59</v>
      </c>
      <c r="O1052">
        <v>4150420.13</v>
      </c>
      <c r="P1052">
        <v>538860.02</v>
      </c>
      <c r="Q1052" s="1" t="s">
        <v>3530</v>
      </c>
      <c r="R1052">
        <v>22</v>
      </c>
      <c r="S1052" s="1" t="s">
        <v>3531</v>
      </c>
      <c r="T1052" t="b">
        <v>1</v>
      </c>
    </row>
    <row r="1053" spans="1:20" x14ac:dyDescent="0.25">
      <c r="A1053" s="1" t="s">
        <v>3532</v>
      </c>
      <c r="B1053" s="1" t="s">
        <v>117</v>
      </c>
      <c r="C1053" s="1" t="s">
        <v>1103</v>
      </c>
      <c r="D1053" s="1" t="s">
        <v>144</v>
      </c>
      <c r="E1053" s="1" t="s">
        <v>33</v>
      </c>
      <c r="F1053" s="1" t="s">
        <v>34</v>
      </c>
      <c r="G1053" s="2">
        <v>45616</v>
      </c>
      <c r="H1053" s="2"/>
      <c r="I1053">
        <v>12</v>
      </c>
      <c r="J1053">
        <v>12</v>
      </c>
      <c r="K1053">
        <v>0</v>
      </c>
      <c r="L1053" s="1" t="s">
        <v>26</v>
      </c>
      <c r="M1053">
        <v>111.4</v>
      </c>
      <c r="N1053">
        <v>352460.97</v>
      </c>
      <c r="O1053">
        <v>2575801.0499999998</v>
      </c>
      <c r="P1053">
        <v>312434.09999999998</v>
      </c>
      <c r="Q1053" s="1" t="s">
        <v>3533</v>
      </c>
      <c r="R1053">
        <v>78</v>
      </c>
      <c r="S1053" s="1" t="s">
        <v>3534</v>
      </c>
      <c r="T1053" t="b">
        <v>0</v>
      </c>
    </row>
    <row r="1054" spans="1:20" x14ac:dyDescent="0.25">
      <c r="A1054" s="1" t="s">
        <v>3535</v>
      </c>
      <c r="B1054" s="1" t="s">
        <v>76</v>
      </c>
      <c r="C1054" s="1" t="s">
        <v>463</v>
      </c>
      <c r="D1054" s="1" t="s">
        <v>405</v>
      </c>
      <c r="E1054" s="1" t="s">
        <v>24</v>
      </c>
      <c r="F1054" s="1" t="s">
        <v>25</v>
      </c>
      <c r="G1054" s="2">
        <v>45097</v>
      </c>
      <c r="H1054" s="2">
        <v>45098</v>
      </c>
      <c r="I1054">
        <v>3</v>
      </c>
      <c r="J1054">
        <v>1</v>
      </c>
      <c r="K1054">
        <v>0</v>
      </c>
      <c r="L1054" s="1" t="s">
        <v>26</v>
      </c>
      <c r="M1054">
        <v>13.9</v>
      </c>
      <c r="N1054">
        <v>32911.279999999999</v>
      </c>
      <c r="O1054">
        <v>2680050.2799999998</v>
      </c>
      <c r="P1054">
        <v>369405.46</v>
      </c>
      <c r="Q1054" s="1" t="s">
        <v>3536</v>
      </c>
      <c r="R1054">
        <v>70</v>
      </c>
      <c r="S1054" s="1" t="s">
        <v>3537</v>
      </c>
      <c r="T1054" t="b">
        <v>1</v>
      </c>
    </row>
    <row r="1055" spans="1:20" x14ac:dyDescent="0.25">
      <c r="A1055" s="1" t="s">
        <v>3538</v>
      </c>
      <c r="B1055" s="1" t="s">
        <v>334</v>
      </c>
      <c r="C1055" s="1" t="s">
        <v>310</v>
      </c>
      <c r="D1055" s="1" t="s">
        <v>187</v>
      </c>
      <c r="E1055" s="1" t="s">
        <v>41</v>
      </c>
      <c r="F1055" s="1" t="s">
        <v>34</v>
      </c>
      <c r="G1055" s="2">
        <v>44593</v>
      </c>
      <c r="H1055" s="2"/>
      <c r="I1055">
        <v>9</v>
      </c>
      <c r="J1055">
        <v>13</v>
      </c>
      <c r="K1055">
        <v>4</v>
      </c>
      <c r="L1055" s="1" t="s">
        <v>26</v>
      </c>
      <c r="M1055">
        <v>169.9</v>
      </c>
      <c r="N1055">
        <v>673011.83</v>
      </c>
      <c r="O1055">
        <v>3350895.36</v>
      </c>
      <c r="P1055">
        <v>499336.13</v>
      </c>
      <c r="Q1055" s="1" t="s">
        <v>3539</v>
      </c>
      <c r="R1055">
        <v>36</v>
      </c>
      <c r="S1055" s="1" t="s">
        <v>3540</v>
      </c>
      <c r="T1055" t="b">
        <v>0</v>
      </c>
    </row>
    <row r="1056" spans="1:20" x14ac:dyDescent="0.25">
      <c r="A1056" s="1" t="s">
        <v>3541</v>
      </c>
      <c r="B1056" s="1" t="s">
        <v>451</v>
      </c>
      <c r="C1056" s="1" t="s">
        <v>892</v>
      </c>
      <c r="D1056" s="1" t="s">
        <v>410</v>
      </c>
      <c r="E1056" s="1" t="s">
        <v>49</v>
      </c>
      <c r="F1056" s="1" t="s">
        <v>66</v>
      </c>
      <c r="G1056" s="2">
        <v>45433</v>
      </c>
      <c r="H1056" s="2"/>
      <c r="I1056">
        <v>25</v>
      </c>
      <c r="J1056">
        <v>26</v>
      </c>
      <c r="K1056">
        <v>1</v>
      </c>
      <c r="L1056" s="1" t="s">
        <v>26</v>
      </c>
      <c r="M1056">
        <v>346.2</v>
      </c>
      <c r="N1056">
        <v>1450217.22</v>
      </c>
      <c r="O1056">
        <v>3824027.54</v>
      </c>
      <c r="P1056">
        <v>843272.85</v>
      </c>
      <c r="Q1056" s="1" t="s">
        <v>3230</v>
      </c>
      <c r="R1056">
        <v>28</v>
      </c>
      <c r="S1056" s="1" t="s">
        <v>3542</v>
      </c>
      <c r="T1056" t="b">
        <v>0</v>
      </c>
    </row>
    <row r="1057" spans="1:20" x14ac:dyDescent="0.25">
      <c r="A1057" s="1" t="s">
        <v>3543</v>
      </c>
      <c r="B1057" s="1" t="s">
        <v>122</v>
      </c>
      <c r="C1057" s="1" t="s">
        <v>1381</v>
      </c>
      <c r="D1057" s="1" t="s">
        <v>405</v>
      </c>
      <c r="E1057" s="1" t="s">
        <v>24</v>
      </c>
      <c r="F1057" s="1" t="s">
        <v>50</v>
      </c>
      <c r="G1057" s="2">
        <v>44776</v>
      </c>
      <c r="H1057" s="2"/>
      <c r="I1057">
        <v>3</v>
      </c>
      <c r="J1057">
        <v>4</v>
      </c>
      <c r="K1057">
        <v>1</v>
      </c>
      <c r="L1057" s="1" t="s">
        <v>26</v>
      </c>
      <c r="M1057">
        <v>48.7</v>
      </c>
      <c r="N1057">
        <v>121031.26</v>
      </c>
      <c r="O1057">
        <v>1170430.46</v>
      </c>
      <c r="P1057">
        <v>233783.48</v>
      </c>
      <c r="Q1057" s="1" t="s">
        <v>3544</v>
      </c>
      <c r="R1057">
        <v>36</v>
      </c>
      <c r="S1057" s="1" t="s">
        <v>3545</v>
      </c>
      <c r="T1057" t="b">
        <v>1</v>
      </c>
    </row>
    <row r="1058" spans="1:20" x14ac:dyDescent="0.25">
      <c r="A1058" s="1" t="s">
        <v>3546</v>
      </c>
      <c r="B1058" s="1" t="s">
        <v>99</v>
      </c>
      <c r="C1058" s="1" t="s">
        <v>1072</v>
      </c>
      <c r="D1058" s="1" t="s">
        <v>505</v>
      </c>
      <c r="E1058" s="1" t="s">
        <v>57</v>
      </c>
      <c r="F1058" s="1" t="s">
        <v>25</v>
      </c>
      <c r="G1058" s="2">
        <v>45110</v>
      </c>
      <c r="H1058" s="2">
        <v>45165</v>
      </c>
      <c r="I1058">
        <v>40</v>
      </c>
      <c r="J1058">
        <v>55</v>
      </c>
      <c r="K1058">
        <v>15</v>
      </c>
      <c r="L1058" s="1" t="s">
        <v>58</v>
      </c>
      <c r="M1058">
        <v>648.1</v>
      </c>
      <c r="N1058">
        <v>2203190.56</v>
      </c>
      <c r="O1058">
        <v>822042.84</v>
      </c>
      <c r="P1058">
        <v>373757.25</v>
      </c>
      <c r="Q1058" s="1" t="s">
        <v>3547</v>
      </c>
      <c r="R1058">
        <v>45</v>
      </c>
      <c r="S1058" s="1" t="s">
        <v>3548</v>
      </c>
      <c r="T1058" t="b">
        <v>1</v>
      </c>
    </row>
    <row r="1059" spans="1:20" x14ac:dyDescent="0.25">
      <c r="A1059" s="1" t="s">
        <v>3549</v>
      </c>
      <c r="B1059" s="1" t="s">
        <v>272</v>
      </c>
      <c r="C1059" s="1" t="s">
        <v>1570</v>
      </c>
      <c r="D1059" s="1" t="s">
        <v>268</v>
      </c>
      <c r="E1059" s="1" t="s">
        <v>57</v>
      </c>
      <c r="F1059" s="1" t="s">
        <v>66</v>
      </c>
      <c r="G1059" s="2">
        <v>44992</v>
      </c>
      <c r="H1059" s="2"/>
      <c r="I1059">
        <v>40</v>
      </c>
      <c r="J1059">
        <v>52</v>
      </c>
      <c r="K1059">
        <v>12</v>
      </c>
      <c r="L1059" s="1" t="s">
        <v>58</v>
      </c>
      <c r="M1059">
        <v>784.7</v>
      </c>
      <c r="N1059">
        <v>2920311.93</v>
      </c>
      <c r="O1059">
        <v>2789658.77</v>
      </c>
      <c r="P1059">
        <v>692100.48</v>
      </c>
      <c r="Q1059" s="1" t="s">
        <v>3550</v>
      </c>
      <c r="R1059">
        <v>31</v>
      </c>
      <c r="S1059" s="1" t="s">
        <v>3551</v>
      </c>
      <c r="T1059" t="b">
        <v>1</v>
      </c>
    </row>
    <row r="1060" spans="1:20" x14ac:dyDescent="0.25">
      <c r="A1060" s="1" t="s">
        <v>3552</v>
      </c>
      <c r="B1060" s="1" t="s">
        <v>99</v>
      </c>
      <c r="C1060" s="1" t="s">
        <v>1452</v>
      </c>
      <c r="D1060" s="1" t="s">
        <v>405</v>
      </c>
      <c r="E1060" s="1" t="s">
        <v>33</v>
      </c>
      <c r="F1060" s="1" t="s">
        <v>34</v>
      </c>
      <c r="G1060" s="2">
        <v>44595</v>
      </c>
      <c r="H1060" s="2"/>
      <c r="I1060">
        <v>12</v>
      </c>
      <c r="J1060">
        <v>14</v>
      </c>
      <c r="K1060">
        <v>2</v>
      </c>
      <c r="L1060" s="1" t="s">
        <v>26</v>
      </c>
      <c r="M1060">
        <v>120.8</v>
      </c>
      <c r="N1060">
        <v>358983.83</v>
      </c>
      <c r="O1060">
        <v>581925.51</v>
      </c>
      <c r="P1060">
        <v>179717.52</v>
      </c>
      <c r="Q1060" s="1" t="s">
        <v>3553</v>
      </c>
      <c r="R1060">
        <v>44</v>
      </c>
      <c r="S1060" s="1" t="s">
        <v>3554</v>
      </c>
      <c r="T1060" t="b">
        <v>1</v>
      </c>
    </row>
    <row r="1061" spans="1:20" x14ac:dyDescent="0.25">
      <c r="A1061" s="1" t="s">
        <v>3555</v>
      </c>
      <c r="B1061" s="1" t="s">
        <v>163</v>
      </c>
      <c r="C1061" s="1" t="s">
        <v>88</v>
      </c>
      <c r="D1061" s="1" t="s">
        <v>315</v>
      </c>
      <c r="E1061" s="1" t="s">
        <v>49</v>
      </c>
      <c r="F1061" s="1" t="s">
        <v>25</v>
      </c>
      <c r="G1061" s="2">
        <v>44584</v>
      </c>
      <c r="H1061" s="2">
        <v>44620</v>
      </c>
      <c r="I1061">
        <v>25</v>
      </c>
      <c r="J1061">
        <v>36</v>
      </c>
      <c r="K1061">
        <v>11</v>
      </c>
      <c r="L1061" s="1" t="s">
        <v>26</v>
      </c>
      <c r="M1061">
        <v>271.60000000000002</v>
      </c>
      <c r="N1061">
        <v>762167.35</v>
      </c>
      <c r="O1061">
        <v>3986329.33</v>
      </c>
      <c r="P1061">
        <v>611969.1</v>
      </c>
      <c r="Q1061" s="1" t="s">
        <v>3556</v>
      </c>
      <c r="R1061">
        <v>35</v>
      </c>
      <c r="S1061" s="1" t="s">
        <v>3557</v>
      </c>
      <c r="T1061" t="b">
        <v>1</v>
      </c>
    </row>
    <row r="1062" spans="1:20" x14ac:dyDescent="0.25">
      <c r="A1062" s="1" t="s">
        <v>3558</v>
      </c>
      <c r="B1062" s="1" t="s">
        <v>38</v>
      </c>
      <c r="C1062" s="1" t="s">
        <v>459</v>
      </c>
      <c r="D1062" s="1" t="s">
        <v>244</v>
      </c>
      <c r="E1062" s="1" t="s">
        <v>33</v>
      </c>
      <c r="F1062" s="1" t="s">
        <v>50</v>
      </c>
      <c r="G1062" s="2">
        <v>45607</v>
      </c>
      <c r="H1062" s="2"/>
      <c r="I1062">
        <v>12</v>
      </c>
      <c r="J1062">
        <v>13</v>
      </c>
      <c r="K1062">
        <v>1</v>
      </c>
      <c r="L1062" s="1" t="s">
        <v>26</v>
      </c>
      <c r="M1062">
        <v>95.1</v>
      </c>
      <c r="N1062">
        <v>372240.76</v>
      </c>
      <c r="O1062">
        <v>3834507.47</v>
      </c>
      <c r="P1062">
        <v>652185.41</v>
      </c>
      <c r="Q1062" s="1" t="s">
        <v>3559</v>
      </c>
      <c r="R1062">
        <v>63</v>
      </c>
      <c r="S1062" s="1" t="s">
        <v>3560</v>
      </c>
      <c r="T1062" t="b">
        <v>1</v>
      </c>
    </row>
    <row r="1063" spans="1:20" x14ac:dyDescent="0.25">
      <c r="A1063" s="1" t="s">
        <v>3561</v>
      </c>
      <c r="B1063" s="1" t="s">
        <v>117</v>
      </c>
      <c r="C1063" s="1" t="s">
        <v>1595</v>
      </c>
      <c r="D1063" s="1" t="s">
        <v>288</v>
      </c>
      <c r="E1063" s="1" t="s">
        <v>33</v>
      </c>
      <c r="F1063" s="1" t="s">
        <v>25</v>
      </c>
      <c r="G1063" s="2">
        <v>44633</v>
      </c>
      <c r="H1063" s="2">
        <v>44650</v>
      </c>
      <c r="I1063">
        <v>12</v>
      </c>
      <c r="J1063">
        <v>17</v>
      </c>
      <c r="K1063">
        <v>5</v>
      </c>
      <c r="L1063" s="1" t="s">
        <v>42</v>
      </c>
      <c r="M1063">
        <v>225.7</v>
      </c>
      <c r="N1063">
        <v>416559.73</v>
      </c>
      <c r="O1063">
        <v>4178152.37</v>
      </c>
      <c r="P1063">
        <v>645225.18000000005</v>
      </c>
      <c r="Q1063" s="1" t="s">
        <v>3562</v>
      </c>
      <c r="R1063">
        <v>57</v>
      </c>
      <c r="S1063" s="1" t="s">
        <v>3563</v>
      </c>
      <c r="T1063" t="b">
        <v>0</v>
      </c>
    </row>
    <row r="1064" spans="1:20" x14ac:dyDescent="0.25">
      <c r="A1064" s="1" t="s">
        <v>3564</v>
      </c>
      <c r="B1064" s="1" t="s">
        <v>82</v>
      </c>
      <c r="C1064" s="1" t="s">
        <v>2038</v>
      </c>
      <c r="D1064" s="1" t="s">
        <v>713</v>
      </c>
      <c r="E1064" s="1" t="s">
        <v>33</v>
      </c>
      <c r="F1064" s="1" t="s">
        <v>25</v>
      </c>
      <c r="G1064" s="2">
        <v>45458</v>
      </c>
      <c r="H1064" s="2">
        <v>45464</v>
      </c>
      <c r="I1064">
        <v>12</v>
      </c>
      <c r="J1064">
        <v>6</v>
      </c>
      <c r="K1064">
        <v>0</v>
      </c>
      <c r="L1064" s="1" t="s">
        <v>26</v>
      </c>
      <c r="M1064">
        <v>89</v>
      </c>
      <c r="N1064">
        <v>171272.35</v>
      </c>
      <c r="O1064">
        <v>2169925.6800000002</v>
      </c>
      <c r="P1064">
        <v>444098.76</v>
      </c>
      <c r="Q1064" s="1" t="s">
        <v>3565</v>
      </c>
      <c r="R1064">
        <v>61</v>
      </c>
      <c r="S1064" s="1" t="s">
        <v>3566</v>
      </c>
      <c r="T1064" t="b">
        <v>0</v>
      </c>
    </row>
    <row r="1065" spans="1:20" x14ac:dyDescent="0.25">
      <c r="A1065" s="1" t="s">
        <v>3567</v>
      </c>
      <c r="B1065" s="1" t="s">
        <v>169</v>
      </c>
      <c r="C1065" s="1" t="s">
        <v>2469</v>
      </c>
      <c r="D1065" s="1" t="s">
        <v>758</v>
      </c>
      <c r="E1065" s="1" t="s">
        <v>24</v>
      </c>
      <c r="F1065" s="1" t="s">
        <v>50</v>
      </c>
      <c r="G1065" s="2">
        <v>45321</v>
      </c>
      <c r="H1065" s="2"/>
      <c r="I1065">
        <v>3</v>
      </c>
      <c r="J1065">
        <v>1</v>
      </c>
      <c r="K1065">
        <v>0</v>
      </c>
      <c r="L1065" s="1" t="s">
        <v>26</v>
      </c>
      <c r="M1065">
        <v>12.5</v>
      </c>
      <c r="N1065">
        <v>46262.69</v>
      </c>
      <c r="O1065">
        <v>4460127.51</v>
      </c>
      <c r="P1065">
        <v>875409.62</v>
      </c>
      <c r="Q1065" s="1" t="s">
        <v>3568</v>
      </c>
      <c r="R1065">
        <v>26</v>
      </c>
      <c r="S1065" s="1" t="s">
        <v>3569</v>
      </c>
      <c r="T1065" t="b">
        <v>0</v>
      </c>
    </row>
    <row r="1066" spans="1:20" x14ac:dyDescent="0.25">
      <c r="A1066" s="1" t="s">
        <v>3570</v>
      </c>
      <c r="B1066" s="1" t="s">
        <v>163</v>
      </c>
      <c r="C1066" s="1" t="s">
        <v>536</v>
      </c>
      <c r="D1066" s="1" t="s">
        <v>306</v>
      </c>
      <c r="E1066" s="1" t="s">
        <v>49</v>
      </c>
      <c r="F1066" s="1" t="s">
        <v>25</v>
      </c>
      <c r="G1066" s="2">
        <v>45112</v>
      </c>
      <c r="H1066" s="2">
        <v>45123</v>
      </c>
      <c r="I1066">
        <v>25</v>
      </c>
      <c r="J1066">
        <v>11</v>
      </c>
      <c r="K1066">
        <v>0</v>
      </c>
      <c r="L1066" s="1" t="s">
        <v>26</v>
      </c>
      <c r="M1066">
        <v>113</v>
      </c>
      <c r="N1066">
        <v>207990.04</v>
      </c>
      <c r="O1066">
        <v>3867297.84</v>
      </c>
      <c r="P1066">
        <v>717335.75</v>
      </c>
      <c r="Q1066" s="1" t="s">
        <v>3571</v>
      </c>
      <c r="R1066">
        <v>44</v>
      </c>
      <c r="S1066" s="1" t="s">
        <v>3572</v>
      </c>
      <c r="T1066" t="b">
        <v>0</v>
      </c>
    </row>
    <row r="1067" spans="1:20" x14ac:dyDescent="0.25">
      <c r="A1067" s="1" t="s">
        <v>3573</v>
      </c>
      <c r="B1067" s="1" t="s">
        <v>451</v>
      </c>
      <c r="C1067" s="1" t="s">
        <v>808</v>
      </c>
      <c r="D1067" s="1" t="s">
        <v>89</v>
      </c>
      <c r="E1067" s="1" t="s">
        <v>65</v>
      </c>
      <c r="F1067" s="1" t="s">
        <v>66</v>
      </c>
      <c r="G1067" s="2">
        <v>44888</v>
      </c>
      <c r="H1067" s="2"/>
      <c r="I1067">
        <v>4</v>
      </c>
      <c r="J1067">
        <v>8</v>
      </c>
      <c r="K1067">
        <v>3.5</v>
      </c>
      <c r="L1067" s="1" t="s">
        <v>58</v>
      </c>
      <c r="M1067">
        <v>107.4</v>
      </c>
      <c r="N1067">
        <v>346416.24</v>
      </c>
      <c r="O1067">
        <v>2704278.72</v>
      </c>
      <c r="P1067">
        <v>475307.45</v>
      </c>
      <c r="Q1067" s="1" t="s">
        <v>3574</v>
      </c>
      <c r="R1067">
        <v>62</v>
      </c>
      <c r="S1067" s="1" t="s">
        <v>3575</v>
      </c>
      <c r="T1067" t="b">
        <v>0</v>
      </c>
    </row>
    <row r="1068" spans="1:20" x14ac:dyDescent="0.25">
      <c r="A1068" s="1" t="s">
        <v>3576</v>
      </c>
      <c r="B1068" s="1" t="s">
        <v>54</v>
      </c>
      <c r="C1068" s="1" t="s">
        <v>1584</v>
      </c>
      <c r="D1068" s="1" t="s">
        <v>176</v>
      </c>
      <c r="E1068" s="1" t="s">
        <v>24</v>
      </c>
      <c r="F1068" s="1" t="s">
        <v>25</v>
      </c>
      <c r="G1068" s="2">
        <v>44710</v>
      </c>
      <c r="H1068" s="2">
        <v>44713</v>
      </c>
      <c r="I1068">
        <v>3</v>
      </c>
      <c r="J1068">
        <v>3</v>
      </c>
      <c r="K1068">
        <v>0</v>
      </c>
      <c r="L1068" s="1" t="s">
        <v>26</v>
      </c>
      <c r="M1068">
        <v>40.9</v>
      </c>
      <c r="N1068">
        <v>120967.34</v>
      </c>
      <c r="O1068">
        <v>1821476.52</v>
      </c>
      <c r="P1068">
        <v>358165.85</v>
      </c>
      <c r="Q1068" s="1" t="s">
        <v>3577</v>
      </c>
      <c r="R1068">
        <v>21</v>
      </c>
      <c r="S1068" s="1" t="s">
        <v>3578</v>
      </c>
      <c r="T1068" t="b">
        <v>1</v>
      </c>
    </row>
    <row r="1069" spans="1:20" x14ac:dyDescent="0.25">
      <c r="A1069" s="1" t="s">
        <v>3579</v>
      </c>
      <c r="B1069" s="1" t="s">
        <v>328</v>
      </c>
      <c r="C1069" s="1" t="s">
        <v>554</v>
      </c>
      <c r="D1069" s="1" t="s">
        <v>202</v>
      </c>
      <c r="E1069" s="1" t="s">
        <v>65</v>
      </c>
      <c r="F1069" s="1" t="s">
        <v>34</v>
      </c>
      <c r="G1069" s="2">
        <v>44833</v>
      </c>
      <c r="H1069" s="2"/>
      <c r="I1069">
        <v>4</v>
      </c>
      <c r="J1069">
        <v>6</v>
      </c>
      <c r="K1069">
        <v>1.5</v>
      </c>
      <c r="L1069" s="1" t="s">
        <v>26</v>
      </c>
      <c r="M1069">
        <v>56.7</v>
      </c>
      <c r="N1069">
        <v>249545.72</v>
      </c>
      <c r="O1069">
        <v>2614663.36</v>
      </c>
      <c r="P1069">
        <v>446549.62</v>
      </c>
      <c r="Q1069" s="1" t="s">
        <v>506</v>
      </c>
      <c r="R1069">
        <v>74</v>
      </c>
      <c r="S1069" s="1" t="s">
        <v>3580</v>
      </c>
      <c r="T1069" t="b">
        <v>1</v>
      </c>
    </row>
    <row r="1070" spans="1:20" x14ac:dyDescent="0.25">
      <c r="A1070" s="1" t="s">
        <v>3581</v>
      </c>
      <c r="B1070" s="1" t="s">
        <v>70</v>
      </c>
      <c r="C1070" s="1" t="s">
        <v>329</v>
      </c>
      <c r="D1070" s="1" t="s">
        <v>238</v>
      </c>
      <c r="E1070" s="1" t="s">
        <v>57</v>
      </c>
      <c r="F1070" s="1" t="s">
        <v>25</v>
      </c>
      <c r="G1070" s="2">
        <v>45316</v>
      </c>
      <c r="H1070" s="2">
        <v>45365</v>
      </c>
      <c r="I1070">
        <v>40</v>
      </c>
      <c r="J1070">
        <v>49</v>
      </c>
      <c r="K1070">
        <v>9</v>
      </c>
      <c r="L1070" s="1" t="s">
        <v>58</v>
      </c>
      <c r="M1070">
        <v>408.4</v>
      </c>
      <c r="N1070">
        <v>1298034.57</v>
      </c>
      <c r="O1070">
        <v>4857861.97</v>
      </c>
      <c r="P1070">
        <v>688092.91</v>
      </c>
      <c r="Q1070" s="1" t="s">
        <v>3582</v>
      </c>
      <c r="R1070">
        <v>44</v>
      </c>
      <c r="S1070" s="1" t="s">
        <v>3583</v>
      </c>
      <c r="T1070" t="b">
        <v>1</v>
      </c>
    </row>
    <row r="1071" spans="1:20" x14ac:dyDescent="0.25">
      <c r="A1071" s="1" t="s">
        <v>3584</v>
      </c>
      <c r="B1071" s="1" t="s">
        <v>286</v>
      </c>
      <c r="C1071" s="1" t="s">
        <v>599</v>
      </c>
      <c r="D1071" s="1" t="s">
        <v>344</v>
      </c>
      <c r="E1071" s="1" t="s">
        <v>33</v>
      </c>
      <c r="F1071" s="1" t="s">
        <v>66</v>
      </c>
      <c r="G1071" s="2">
        <v>44714</v>
      </c>
      <c r="H1071" s="2"/>
      <c r="I1071">
        <v>12</v>
      </c>
      <c r="J1071">
        <v>16</v>
      </c>
      <c r="K1071">
        <v>4</v>
      </c>
      <c r="L1071" s="1" t="s">
        <v>193</v>
      </c>
      <c r="M1071">
        <v>217.1</v>
      </c>
      <c r="N1071">
        <v>768848.54</v>
      </c>
      <c r="O1071">
        <v>731820.6</v>
      </c>
      <c r="P1071">
        <v>163858.37</v>
      </c>
      <c r="Q1071" s="1" t="s">
        <v>3585</v>
      </c>
      <c r="R1071">
        <v>30</v>
      </c>
      <c r="S1071" s="1" t="s">
        <v>3586</v>
      </c>
      <c r="T1071" t="b">
        <v>1</v>
      </c>
    </row>
    <row r="1072" spans="1:20" x14ac:dyDescent="0.25">
      <c r="A1072" s="1" t="s">
        <v>3587</v>
      </c>
      <c r="B1072" s="1" t="s">
        <v>348</v>
      </c>
      <c r="C1072" s="1" t="s">
        <v>599</v>
      </c>
      <c r="D1072" s="1" t="s">
        <v>181</v>
      </c>
      <c r="E1072" s="1" t="s">
        <v>24</v>
      </c>
      <c r="F1072" s="1" t="s">
        <v>66</v>
      </c>
      <c r="G1072" s="2">
        <v>45539</v>
      </c>
      <c r="H1072" s="2"/>
      <c r="I1072">
        <v>3</v>
      </c>
      <c r="J1072">
        <v>5</v>
      </c>
      <c r="K1072">
        <v>2</v>
      </c>
      <c r="L1072" s="1" t="s">
        <v>26</v>
      </c>
      <c r="M1072">
        <v>24.5</v>
      </c>
      <c r="N1072">
        <v>47632.05</v>
      </c>
      <c r="O1072">
        <v>3538593.42</v>
      </c>
      <c r="P1072">
        <v>715704.2</v>
      </c>
      <c r="Q1072" s="1" t="s">
        <v>3588</v>
      </c>
      <c r="R1072">
        <v>28</v>
      </c>
      <c r="S1072" s="1" t="s">
        <v>3589</v>
      </c>
      <c r="T1072" t="b">
        <v>1</v>
      </c>
    </row>
    <row r="1073" spans="1:20" x14ac:dyDescent="0.25">
      <c r="A1073" s="1" t="s">
        <v>3590</v>
      </c>
      <c r="B1073" s="1" t="s">
        <v>471</v>
      </c>
      <c r="C1073" s="1" t="s">
        <v>877</v>
      </c>
      <c r="D1073" s="1" t="s">
        <v>64</v>
      </c>
      <c r="E1073" s="1" t="s">
        <v>41</v>
      </c>
      <c r="F1073" s="1" t="s">
        <v>25</v>
      </c>
      <c r="G1073" s="2">
        <v>45271</v>
      </c>
      <c r="H1073" s="2">
        <v>45279</v>
      </c>
      <c r="I1073">
        <v>9</v>
      </c>
      <c r="J1073">
        <v>8</v>
      </c>
      <c r="K1073">
        <v>0</v>
      </c>
      <c r="L1073" s="1" t="s">
        <v>26</v>
      </c>
      <c r="M1073">
        <v>78.7</v>
      </c>
      <c r="N1073">
        <v>319090.92</v>
      </c>
      <c r="O1073">
        <v>1601612.63</v>
      </c>
      <c r="P1073">
        <v>341789.64</v>
      </c>
      <c r="Q1073" s="1" t="s">
        <v>3591</v>
      </c>
      <c r="R1073">
        <v>75</v>
      </c>
      <c r="S1073" s="1" t="s">
        <v>3592</v>
      </c>
      <c r="T1073" t="b">
        <v>0</v>
      </c>
    </row>
    <row r="1074" spans="1:20" x14ac:dyDescent="0.25">
      <c r="A1074" s="1" t="s">
        <v>3593</v>
      </c>
      <c r="B1074" s="1" t="s">
        <v>38</v>
      </c>
      <c r="C1074" s="1" t="s">
        <v>804</v>
      </c>
      <c r="D1074" s="1" t="s">
        <v>107</v>
      </c>
      <c r="E1074" s="1" t="s">
        <v>33</v>
      </c>
      <c r="F1074" s="1" t="s">
        <v>34</v>
      </c>
      <c r="G1074" s="2">
        <v>45579</v>
      </c>
      <c r="H1074" s="2"/>
      <c r="I1074">
        <v>12</v>
      </c>
      <c r="J1074">
        <v>15</v>
      </c>
      <c r="K1074">
        <v>3</v>
      </c>
      <c r="L1074" s="1" t="s">
        <v>26</v>
      </c>
      <c r="M1074">
        <v>63.3</v>
      </c>
      <c r="N1074">
        <v>239442.18</v>
      </c>
      <c r="O1074">
        <v>326212.96000000002</v>
      </c>
      <c r="P1074">
        <v>79152.039999999994</v>
      </c>
      <c r="Q1074" s="1" t="s">
        <v>3594</v>
      </c>
      <c r="R1074">
        <v>49</v>
      </c>
      <c r="S1074" s="1" t="s">
        <v>3595</v>
      </c>
      <c r="T1074" t="b">
        <v>1</v>
      </c>
    </row>
    <row r="1075" spans="1:20" x14ac:dyDescent="0.25">
      <c r="A1075" s="1" t="s">
        <v>3596</v>
      </c>
      <c r="B1075" s="1" t="s">
        <v>272</v>
      </c>
      <c r="C1075" s="1" t="s">
        <v>3212</v>
      </c>
      <c r="D1075" s="1" t="s">
        <v>670</v>
      </c>
      <c r="E1075" s="1" t="s">
        <v>57</v>
      </c>
      <c r="F1075" s="1" t="s">
        <v>25</v>
      </c>
      <c r="G1075" s="2">
        <v>44994</v>
      </c>
      <c r="H1075" s="2">
        <v>45044</v>
      </c>
      <c r="I1075">
        <v>40</v>
      </c>
      <c r="J1075">
        <v>50</v>
      </c>
      <c r="K1075">
        <v>10</v>
      </c>
      <c r="L1075" s="1" t="s">
        <v>330</v>
      </c>
      <c r="M1075">
        <v>795.1</v>
      </c>
      <c r="N1075">
        <v>2511217.16</v>
      </c>
      <c r="O1075">
        <v>4598516.5</v>
      </c>
      <c r="P1075">
        <v>1145396.96</v>
      </c>
      <c r="Q1075" s="1" t="s">
        <v>3597</v>
      </c>
      <c r="R1075">
        <v>51</v>
      </c>
      <c r="S1075" s="1" t="s">
        <v>3598</v>
      </c>
      <c r="T1075" t="b">
        <v>1</v>
      </c>
    </row>
    <row r="1076" spans="1:20" x14ac:dyDescent="0.25">
      <c r="A1076" s="1" t="s">
        <v>3599</v>
      </c>
      <c r="B1076" s="1" t="s">
        <v>348</v>
      </c>
      <c r="C1076" s="1" t="s">
        <v>440</v>
      </c>
      <c r="D1076" s="1" t="s">
        <v>350</v>
      </c>
      <c r="E1076" s="1" t="s">
        <v>41</v>
      </c>
      <c r="F1076" s="1" t="s">
        <v>25</v>
      </c>
      <c r="G1076" s="2">
        <v>44891</v>
      </c>
      <c r="H1076" s="2">
        <v>44905</v>
      </c>
      <c r="I1076">
        <v>9</v>
      </c>
      <c r="J1076">
        <v>14</v>
      </c>
      <c r="K1076">
        <v>5</v>
      </c>
      <c r="L1076" s="1" t="s">
        <v>42</v>
      </c>
      <c r="M1076">
        <v>132</v>
      </c>
      <c r="N1076">
        <v>269707.88</v>
      </c>
      <c r="O1076">
        <v>4968492.1399999997</v>
      </c>
      <c r="P1076">
        <v>561790.66</v>
      </c>
      <c r="Q1076" s="1" t="s">
        <v>3600</v>
      </c>
      <c r="R1076">
        <v>24</v>
      </c>
      <c r="S1076" s="1" t="s">
        <v>3601</v>
      </c>
      <c r="T1076" t="b">
        <v>1</v>
      </c>
    </row>
    <row r="1077" spans="1:20" x14ac:dyDescent="0.25">
      <c r="A1077" s="1" t="s">
        <v>3602</v>
      </c>
      <c r="B1077" s="1" t="s">
        <v>148</v>
      </c>
      <c r="C1077" s="1" t="s">
        <v>963</v>
      </c>
      <c r="D1077" s="1" t="s">
        <v>758</v>
      </c>
      <c r="E1077" s="1" t="s">
        <v>49</v>
      </c>
      <c r="F1077" s="1" t="s">
        <v>34</v>
      </c>
      <c r="G1077" s="2">
        <v>45281</v>
      </c>
      <c r="H1077" s="2"/>
      <c r="I1077">
        <v>25</v>
      </c>
      <c r="J1077">
        <v>32</v>
      </c>
      <c r="K1077">
        <v>7</v>
      </c>
      <c r="L1077" s="1" t="s">
        <v>26</v>
      </c>
      <c r="M1077">
        <v>417.2</v>
      </c>
      <c r="N1077">
        <v>817422.05</v>
      </c>
      <c r="O1077">
        <v>589681.56999999995</v>
      </c>
      <c r="P1077">
        <v>193026.69</v>
      </c>
      <c r="Q1077" s="1" t="s">
        <v>3603</v>
      </c>
      <c r="R1077">
        <v>31</v>
      </c>
      <c r="S1077" s="1" t="s">
        <v>3604</v>
      </c>
      <c r="T1077" t="b">
        <v>0</v>
      </c>
    </row>
    <row r="1078" spans="1:20" x14ac:dyDescent="0.25">
      <c r="A1078" s="1" t="s">
        <v>3605</v>
      </c>
      <c r="B1078" s="1" t="s">
        <v>138</v>
      </c>
      <c r="C1078" s="1" t="s">
        <v>314</v>
      </c>
      <c r="D1078" s="1" t="s">
        <v>159</v>
      </c>
      <c r="E1078" s="1" t="s">
        <v>41</v>
      </c>
      <c r="F1078" s="1" t="s">
        <v>25</v>
      </c>
      <c r="G1078" s="2">
        <v>44727</v>
      </c>
      <c r="H1078" s="2">
        <v>44741</v>
      </c>
      <c r="I1078">
        <v>9</v>
      </c>
      <c r="J1078">
        <v>14</v>
      </c>
      <c r="K1078">
        <v>5</v>
      </c>
      <c r="L1078" s="1" t="s">
        <v>58</v>
      </c>
      <c r="M1078">
        <v>116.9</v>
      </c>
      <c r="N1078">
        <v>509322.96</v>
      </c>
      <c r="O1078">
        <v>4312351.26</v>
      </c>
      <c r="P1078">
        <v>694605.04</v>
      </c>
      <c r="Q1078" s="1" t="s">
        <v>2460</v>
      </c>
      <c r="R1078">
        <v>71</v>
      </c>
      <c r="S1078" s="1" t="s">
        <v>3606</v>
      </c>
      <c r="T1078" t="b">
        <v>0</v>
      </c>
    </row>
    <row r="1079" spans="1:20" x14ac:dyDescent="0.25">
      <c r="A1079" s="1" t="s">
        <v>3607</v>
      </c>
      <c r="B1079" s="1" t="s">
        <v>328</v>
      </c>
      <c r="C1079" s="1" t="s">
        <v>1267</v>
      </c>
      <c r="D1079" s="1" t="s">
        <v>405</v>
      </c>
      <c r="E1079" s="1" t="s">
        <v>41</v>
      </c>
      <c r="F1079" s="1" t="s">
        <v>25</v>
      </c>
      <c r="G1079" s="2">
        <v>45204</v>
      </c>
      <c r="H1079" s="2">
        <v>45207</v>
      </c>
      <c r="I1079">
        <v>9</v>
      </c>
      <c r="J1079">
        <v>3</v>
      </c>
      <c r="K1079">
        <v>0</v>
      </c>
      <c r="L1079" s="1" t="s">
        <v>26</v>
      </c>
      <c r="M1079">
        <v>46.5</v>
      </c>
      <c r="N1079">
        <v>115894.24</v>
      </c>
      <c r="O1079">
        <v>3506298.7</v>
      </c>
      <c r="P1079">
        <v>720082.63</v>
      </c>
      <c r="Q1079" s="1" t="s">
        <v>3608</v>
      </c>
      <c r="R1079">
        <v>40</v>
      </c>
      <c r="S1079" s="1" t="s">
        <v>3609</v>
      </c>
      <c r="T1079" t="b">
        <v>0</v>
      </c>
    </row>
    <row r="1080" spans="1:20" x14ac:dyDescent="0.25">
      <c r="A1080" s="1" t="s">
        <v>3610</v>
      </c>
      <c r="B1080" s="1" t="s">
        <v>566</v>
      </c>
      <c r="C1080" s="1" t="s">
        <v>577</v>
      </c>
      <c r="D1080" s="1" t="s">
        <v>84</v>
      </c>
      <c r="E1080" s="1" t="s">
        <v>41</v>
      </c>
      <c r="F1080" s="1" t="s">
        <v>25</v>
      </c>
      <c r="G1080" s="2">
        <v>45026</v>
      </c>
      <c r="H1080" s="2">
        <v>45041</v>
      </c>
      <c r="I1080">
        <v>9</v>
      </c>
      <c r="J1080">
        <v>15</v>
      </c>
      <c r="K1080">
        <v>6</v>
      </c>
      <c r="L1080" s="1" t="s">
        <v>193</v>
      </c>
      <c r="M1080">
        <v>162.1</v>
      </c>
      <c r="N1080">
        <v>496751.9</v>
      </c>
      <c r="O1080">
        <v>2969559.41</v>
      </c>
      <c r="P1080">
        <v>545280.01</v>
      </c>
      <c r="Q1080" s="1" t="s">
        <v>3611</v>
      </c>
      <c r="R1080">
        <v>50</v>
      </c>
      <c r="S1080" s="1" t="s">
        <v>3612</v>
      </c>
      <c r="T1080" t="b">
        <v>1</v>
      </c>
    </row>
    <row r="1081" spans="1:20" x14ac:dyDescent="0.25">
      <c r="A1081" s="1" t="s">
        <v>3613</v>
      </c>
      <c r="B1081" s="1" t="s">
        <v>158</v>
      </c>
      <c r="C1081" s="1" t="s">
        <v>1017</v>
      </c>
      <c r="D1081" s="1" t="s">
        <v>713</v>
      </c>
      <c r="E1081" s="1" t="s">
        <v>41</v>
      </c>
      <c r="F1081" s="1" t="s">
        <v>25</v>
      </c>
      <c r="G1081" s="2">
        <v>45408</v>
      </c>
      <c r="H1081" s="2">
        <v>45420</v>
      </c>
      <c r="I1081">
        <v>9</v>
      </c>
      <c r="J1081">
        <v>12</v>
      </c>
      <c r="K1081">
        <v>3</v>
      </c>
      <c r="L1081" s="1" t="s">
        <v>26</v>
      </c>
      <c r="M1081">
        <v>162.19999999999999</v>
      </c>
      <c r="N1081">
        <v>517354.76</v>
      </c>
      <c r="O1081">
        <v>714840.88</v>
      </c>
      <c r="P1081">
        <v>181642.26</v>
      </c>
      <c r="Q1081" s="1" t="s">
        <v>3614</v>
      </c>
      <c r="R1081">
        <v>69</v>
      </c>
      <c r="S1081" s="1" t="s">
        <v>3615</v>
      </c>
      <c r="T1081" t="b">
        <v>1</v>
      </c>
    </row>
    <row r="1082" spans="1:20" x14ac:dyDescent="0.25">
      <c r="A1082" s="1" t="s">
        <v>3616</v>
      </c>
      <c r="B1082" s="1" t="s">
        <v>163</v>
      </c>
      <c r="C1082" s="1" t="s">
        <v>1017</v>
      </c>
      <c r="D1082" s="1" t="s">
        <v>48</v>
      </c>
      <c r="E1082" s="1" t="s">
        <v>24</v>
      </c>
      <c r="F1082" s="1" t="s">
        <v>25</v>
      </c>
      <c r="G1082" s="2">
        <v>44634</v>
      </c>
      <c r="H1082" s="2">
        <v>44635</v>
      </c>
      <c r="I1082">
        <v>3</v>
      </c>
      <c r="J1082">
        <v>1</v>
      </c>
      <c r="K1082">
        <v>0</v>
      </c>
      <c r="L1082" s="1" t="s">
        <v>26</v>
      </c>
      <c r="M1082">
        <v>5.8</v>
      </c>
      <c r="N1082">
        <v>22571.54</v>
      </c>
      <c r="O1082">
        <v>3323299.3</v>
      </c>
      <c r="P1082">
        <v>469519.93</v>
      </c>
      <c r="Q1082" s="1" t="s">
        <v>3617</v>
      </c>
      <c r="R1082">
        <v>70</v>
      </c>
      <c r="S1082" s="1" t="s">
        <v>3618</v>
      </c>
      <c r="T1082" t="b">
        <v>0</v>
      </c>
    </row>
    <row r="1083" spans="1:20" x14ac:dyDescent="0.25">
      <c r="A1083" s="1" t="s">
        <v>3619</v>
      </c>
      <c r="B1083" s="1" t="s">
        <v>286</v>
      </c>
      <c r="C1083" s="1" t="s">
        <v>22</v>
      </c>
      <c r="D1083" s="1" t="s">
        <v>288</v>
      </c>
      <c r="E1083" s="1" t="s">
        <v>24</v>
      </c>
      <c r="F1083" s="1" t="s">
        <v>66</v>
      </c>
      <c r="G1083" s="2">
        <v>45458</v>
      </c>
      <c r="H1083" s="2"/>
      <c r="I1083">
        <v>3</v>
      </c>
      <c r="J1083">
        <v>2</v>
      </c>
      <c r="K1083">
        <v>0</v>
      </c>
      <c r="L1083" s="1" t="s">
        <v>26</v>
      </c>
      <c r="M1083">
        <v>16.100000000000001</v>
      </c>
      <c r="N1083">
        <v>68902.679999999993</v>
      </c>
      <c r="O1083">
        <v>2109177.54</v>
      </c>
      <c r="P1083">
        <v>230980.07</v>
      </c>
      <c r="Q1083" s="1" t="s">
        <v>3620</v>
      </c>
      <c r="R1083">
        <v>47</v>
      </c>
      <c r="S1083" s="1" t="s">
        <v>3621</v>
      </c>
      <c r="T1083" t="b">
        <v>0</v>
      </c>
    </row>
    <row r="1084" spans="1:20" x14ac:dyDescent="0.25">
      <c r="A1084" s="1" t="s">
        <v>3622</v>
      </c>
      <c r="B1084" s="1" t="s">
        <v>46</v>
      </c>
      <c r="C1084" s="1" t="s">
        <v>3623</v>
      </c>
      <c r="D1084" s="1" t="s">
        <v>165</v>
      </c>
      <c r="E1084" s="1" t="s">
        <v>49</v>
      </c>
      <c r="F1084" s="1" t="s">
        <v>66</v>
      </c>
      <c r="G1084" s="2">
        <v>44958</v>
      </c>
      <c r="H1084" s="2"/>
      <c r="I1084">
        <v>25</v>
      </c>
      <c r="J1084">
        <v>17</v>
      </c>
      <c r="K1084">
        <v>0</v>
      </c>
      <c r="L1084" s="1" t="s">
        <v>26</v>
      </c>
      <c r="M1084">
        <v>269.89999999999998</v>
      </c>
      <c r="N1084">
        <v>1211967.29</v>
      </c>
      <c r="O1084">
        <v>4456068.8</v>
      </c>
      <c r="P1084">
        <v>1094468.83</v>
      </c>
      <c r="Q1084" s="1" t="s">
        <v>2681</v>
      </c>
      <c r="R1084">
        <v>34</v>
      </c>
      <c r="S1084" s="1" t="s">
        <v>3624</v>
      </c>
      <c r="T1084" t="b">
        <v>0</v>
      </c>
    </row>
    <row r="1085" spans="1:20" x14ac:dyDescent="0.25">
      <c r="A1085" s="1" t="s">
        <v>3625</v>
      </c>
      <c r="B1085" s="1" t="s">
        <v>169</v>
      </c>
      <c r="C1085" s="1" t="s">
        <v>888</v>
      </c>
      <c r="D1085" s="1" t="s">
        <v>622</v>
      </c>
      <c r="E1085" s="1" t="s">
        <v>65</v>
      </c>
      <c r="F1085" s="1" t="s">
        <v>25</v>
      </c>
      <c r="G1085" s="2">
        <v>45172</v>
      </c>
      <c r="H1085" s="2">
        <v>45173</v>
      </c>
      <c r="I1085">
        <v>4</v>
      </c>
      <c r="J1085">
        <v>1</v>
      </c>
      <c r="K1085">
        <v>0</v>
      </c>
      <c r="L1085" s="1" t="s">
        <v>26</v>
      </c>
      <c r="M1085">
        <v>8</v>
      </c>
      <c r="N1085">
        <v>15546.38</v>
      </c>
      <c r="O1085">
        <v>4083358.98</v>
      </c>
      <c r="P1085">
        <v>789863.97</v>
      </c>
      <c r="Q1085" s="1" t="s">
        <v>3626</v>
      </c>
      <c r="R1085">
        <v>25</v>
      </c>
      <c r="S1085" s="1" t="s">
        <v>3627</v>
      </c>
      <c r="T1085" t="b">
        <v>0</v>
      </c>
    </row>
    <row r="1086" spans="1:20" x14ac:dyDescent="0.25">
      <c r="A1086" s="1" t="s">
        <v>3628</v>
      </c>
      <c r="B1086" s="1" t="s">
        <v>138</v>
      </c>
      <c r="C1086" s="1" t="s">
        <v>1021</v>
      </c>
      <c r="D1086" s="1" t="s">
        <v>95</v>
      </c>
      <c r="E1086" s="1" t="s">
        <v>57</v>
      </c>
      <c r="F1086" s="1" t="s">
        <v>25</v>
      </c>
      <c r="G1086" s="2">
        <v>45375</v>
      </c>
      <c r="H1086" s="2">
        <v>45431</v>
      </c>
      <c r="I1086">
        <v>40</v>
      </c>
      <c r="J1086">
        <v>56</v>
      </c>
      <c r="K1086">
        <v>16</v>
      </c>
      <c r="L1086" s="1" t="s">
        <v>58</v>
      </c>
      <c r="M1086">
        <v>346.8</v>
      </c>
      <c r="N1086">
        <v>1396411.1</v>
      </c>
      <c r="O1086">
        <v>2974392.43</v>
      </c>
      <c r="P1086">
        <v>673471.83</v>
      </c>
      <c r="Q1086" s="1" t="s">
        <v>2843</v>
      </c>
      <c r="R1086">
        <v>64</v>
      </c>
      <c r="S1086" s="1" t="s">
        <v>3629</v>
      </c>
      <c r="T1086" t="b">
        <v>0</v>
      </c>
    </row>
    <row r="1087" spans="1:20" x14ac:dyDescent="0.25">
      <c r="A1087" s="1" t="s">
        <v>3630</v>
      </c>
      <c r="B1087" s="1" t="s">
        <v>148</v>
      </c>
      <c r="C1087" s="1" t="s">
        <v>621</v>
      </c>
      <c r="D1087" s="1" t="s">
        <v>306</v>
      </c>
      <c r="E1087" s="1" t="s">
        <v>41</v>
      </c>
      <c r="F1087" s="1" t="s">
        <v>66</v>
      </c>
      <c r="G1087" s="2">
        <v>44618</v>
      </c>
      <c r="H1087" s="2"/>
      <c r="I1087">
        <v>9</v>
      </c>
      <c r="J1087">
        <v>4</v>
      </c>
      <c r="K1087">
        <v>0</v>
      </c>
      <c r="L1087" s="1" t="s">
        <v>26</v>
      </c>
      <c r="M1087">
        <v>58.7</v>
      </c>
      <c r="N1087">
        <v>121466.19</v>
      </c>
      <c r="O1087">
        <v>425839.96</v>
      </c>
      <c r="P1087">
        <v>60210.080000000002</v>
      </c>
      <c r="Q1087" s="1" t="s">
        <v>3631</v>
      </c>
      <c r="R1087">
        <v>41</v>
      </c>
      <c r="S1087" s="1" t="s">
        <v>3632</v>
      </c>
      <c r="T1087" t="b">
        <v>0</v>
      </c>
    </row>
    <row r="1088" spans="1:20" x14ac:dyDescent="0.25">
      <c r="A1088" s="1" t="s">
        <v>3633</v>
      </c>
      <c r="B1088" s="1" t="s">
        <v>545</v>
      </c>
      <c r="C1088" s="1" t="s">
        <v>170</v>
      </c>
      <c r="D1088" s="1" t="s">
        <v>410</v>
      </c>
      <c r="E1088" s="1" t="s">
        <v>41</v>
      </c>
      <c r="F1088" s="1" t="s">
        <v>25</v>
      </c>
      <c r="G1088" s="2">
        <v>45473</v>
      </c>
      <c r="H1088" s="2">
        <v>45476</v>
      </c>
      <c r="I1088">
        <v>9</v>
      </c>
      <c r="J1088">
        <v>3</v>
      </c>
      <c r="K1088">
        <v>0</v>
      </c>
      <c r="L1088" s="1" t="s">
        <v>26</v>
      </c>
      <c r="M1088">
        <v>36.700000000000003</v>
      </c>
      <c r="N1088">
        <v>83613.56</v>
      </c>
      <c r="O1088">
        <v>3172891.06</v>
      </c>
      <c r="P1088">
        <v>457904.57</v>
      </c>
      <c r="Q1088" s="1" t="s">
        <v>3634</v>
      </c>
      <c r="R1088">
        <v>80</v>
      </c>
      <c r="S1088" s="1" t="s">
        <v>3635</v>
      </c>
      <c r="T1088" t="b">
        <v>1</v>
      </c>
    </row>
    <row r="1089" spans="1:20" x14ac:dyDescent="0.25">
      <c r="A1089" s="1" t="s">
        <v>3636</v>
      </c>
      <c r="B1089" s="1" t="s">
        <v>272</v>
      </c>
      <c r="C1089" s="1" t="s">
        <v>873</v>
      </c>
      <c r="D1089" s="1" t="s">
        <v>32</v>
      </c>
      <c r="E1089" s="1" t="s">
        <v>33</v>
      </c>
      <c r="F1089" s="1" t="s">
        <v>25</v>
      </c>
      <c r="G1089" s="2">
        <v>44924</v>
      </c>
      <c r="H1089" s="2">
        <v>44940</v>
      </c>
      <c r="I1089">
        <v>12</v>
      </c>
      <c r="J1089">
        <v>16</v>
      </c>
      <c r="K1089">
        <v>4</v>
      </c>
      <c r="L1089" s="1" t="s">
        <v>58</v>
      </c>
      <c r="M1089">
        <v>90</v>
      </c>
      <c r="N1089">
        <v>268370.18</v>
      </c>
      <c r="O1089">
        <v>1575597.58</v>
      </c>
      <c r="P1089">
        <v>330786.84000000003</v>
      </c>
      <c r="Q1089" s="1" t="s">
        <v>3637</v>
      </c>
      <c r="R1089">
        <v>46</v>
      </c>
      <c r="S1089" s="1" t="s">
        <v>3638</v>
      </c>
      <c r="T1089" t="b">
        <v>1</v>
      </c>
    </row>
    <row r="1090" spans="1:20" x14ac:dyDescent="0.25">
      <c r="A1090" s="1" t="s">
        <v>3639</v>
      </c>
      <c r="B1090" s="1" t="s">
        <v>220</v>
      </c>
      <c r="C1090" s="1" t="s">
        <v>428</v>
      </c>
      <c r="D1090" s="1" t="s">
        <v>230</v>
      </c>
      <c r="E1090" s="1" t="s">
        <v>24</v>
      </c>
      <c r="F1090" s="1" t="s">
        <v>25</v>
      </c>
      <c r="G1090" s="2">
        <v>44723</v>
      </c>
      <c r="H1090" s="2">
        <v>44726</v>
      </c>
      <c r="I1090">
        <v>3</v>
      </c>
      <c r="J1090">
        <v>3</v>
      </c>
      <c r="K1090">
        <v>0</v>
      </c>
      <c r="L1090" s="1" t="s">
        <v>26</v>
      </c>
      <c r="M1090">
        <v>19.7</v>
      </c>
      <c r="N1090">
        <v>73728.84</v>
      </c>
      <c r="O1090">
        <v>923632.97</v>
      </c>
      <c r="P1090">
        <v>187355.19</v>
      </c>
      <c r="Q1090" s="1" t="s">
        <v>3640</v>
      </c>
      <c r="R1090">
        <v>60</v>
      </c>
      <c r="S1090" s="1" t="s">
        <v>3641</v>
      </c>
      <c r="T1090" t="b">
        <v>0</v>
      </c>
    </row>
    <row r="1091" spans="1:20" x14ac:dyDescent="0.25">
      <c r="A1091" s="1" t="s">
        <v>3642</v>
      </c>
      <c r="B1091" s="1" t="s">
        <v>99</v>
      </c>
      <c r="C1091" s="1" t="s">
        <v>685</v>
      </c>
      <c r="D1091" s="1" t="s">
        <v>297</v>
      </c>
      <c r="E1091" s="1" t="s">
        <v>65</v>
      </c>
      <c r="F1091" s="1" t="s">
        <v>25</v>
      </c>
      <c r="G1091" s="2">
        <v>44627</v>
      </c>
      <c r="H1091" s="2">
        <v>44628</v>
      </c>
      <c r="I1091">
        <v>4</v>
      </c>
      <c r="J1091">
        <v>1</v>
      </c>
      <c r="K1091">
        <v>0</v>
      </c>
      <c r="L1091" s="1" t="s">
        <v>26</v>
      </c>
      <c r="M1091">
        <v>15.5</v>
      </c>
      <c r="N1091">
        <v>48503.29</v>
      </c>
      <c r="O1091">
        <v>3827274.99</v>
      </c>
      <c r="P1091">
        <v>660504.12</v>
      </c>
      <c r="Q1091" s="1" t="s">
        <v>3643</v>
      </c>
      <c r="R1091">
        <v>42</v>
      </c>
      <c r="S1091" s="1" t="s">
        <v>3644</v>
      </c>
      <c r="T1091" t="b">
        <v>0</v>
      </c>
    </row>
    <row r="1092" spans="1:20" x14ac:dyDescent="0.25">
      <c r="A1092" s="1" t="s">
        <v>3645</v>
      </c>
      <c r="B1092" s="1" t="s">
        <v>272</v>
      </c>
      <c r="C1092" s="1" t="s">
        <v>392</v>
      </c>
      <c r="D1092" s="1" t="s">
        <v>410</v>
      </c>
      <c r="E1092" s="1" t="s">
        <v>57</v>
      </c>
      <c r="F1092" s="1" t="s">
        <v>34</v>
      </c>
      <c r="G1092" s="2">
        <v>44619</v>
      </c>
      <c r="H1092" s="2"/>
      <c r="I1092">
        <v>40</v>
      </c>
      <c r="J1092">
        <v>24</v>
      </c>
      <c r="K1092">
        <v>0</v>
      </c>
      <c r="L1092" s="1" t="s">
        <v>26</v>
      </c>
      <c r="M1092">
        <v>109.9</v>
      </c>
      <c r="N1092">
        <v>489377.16</v>
      </c>
      <c r="O1092">
        <v>1446349.67</v>
      </c>
      <c r="P1092">
        <v>324725.61</v>
      </c>
      <c r="Q1092" s="1" t="s">
        <v>3646</v>
      </c>
      <c r="R1092">
        <v>77</v>
      </c>
      <c r="S1092" s="1" t="s">
        <v>3647</v>
      </c>
      <c r="T1092" t="b">
        <v>1</v>
      </c>
    </row>
    <row r="1093" spans="1:20" x14ac:dyDescent="0.25">
      <c r="A1093" s="1" t="s">
        <v>3648</v>
      </c>
      <c r="B1093" s="1" t="s">
        <v>82</v>
      </c>
      <c r="C1093" s="1" t="s">
        <v>287</v>
      </c>
      <c r="D1093" s="1" t="s">
        <v>282</v>
      </c>
      <c r="E1093" s="1" t="s">
        <v>24</v>
      </c>
      <c r="F1093" s="1" t="s">
        <v>25</v>
      </c>
      <c r="G1093" s="2">
        <v>44568</v>
      </c>
      <c r="H1093" s="2">
        <v>44570</v>
      </c>
      <c r="I1093">
        <v>3</v>
      </c>
      <c r="J1093">
        <v>2</v>
      </c>
      <c r="K1093">
        <v>0</v>
      </c>
      <c r="L1093" s="1" t="s">
        <v>26</v>
      </c>
      <c r="M1093">
        <v>30.5</v>
      </c>
      <c r="N1093">
        <v>127226.92</v>
      </c>
      <c r="O1093">
        <v>2147757.13</v>
      </c>
      <c r="P1093">
        <v>342722.32</v>
      </c>
      <c r="Q1093" s="1" t="s">
        <v>3649</v>
      </c>
      <c r="R1093">
        <v>39</v>
      </c>
      <c r="S1093" s="1" t="s">
        <v>3650</v>
      </c>
      <c r="T1093" t="b">
        <v>1</v>
      </c>
    </row>
    <row r="1094" spans="1:20" x14ac:dyDescent="0.25">
      <c r="A1094" s="1" t="s">
        <v>3651</v>
      </c>
      <c r="B1094" s="1" t="s">
        <v>185</v>
      </c>
      <c r="C1094" s="1" t="s">
        <v>709</v>
      </c>
      <c r="D1094" s="1" t="s">
        <v>306</v>
      </c>
      <c r="E1094" s="1" t="s">
        <v>41</v>
      </c>
      <c r="F1094" s="1" t="s">
        <v>25</v>
      </c>
      <c r="G1094" s="2">
        <v>45015</v>
      </c>
      <c r="H1094" s="2">
        <v>45027</v>
      </c>
      <c r="I1094">
        <v>9</v>
      </c>
      <c r="J1094">
        <v>12</v>
      </c>
      <c r="K1094">
        <v>3</v>
      </c>
      <c r="L1094" s="1" t="s">
        <v>26</v>
      </c>
      <c r="M1094">
        <v>136.80000000000001</v>
      </c>
      <c r="N1094">
        <v>310605.57</v>
      </c>
      <c r="O1094">
        <v>2731762.36</v>
      </c>
      <c r="P1094">
        <v>409535.63</v>
      </c>
      <c r="Q1094" s="1" t="s">
        <v>3652</v>
      </c>
      <c r="R1094">
        <v>22</v>
      </c>
      <c r="S1094" s="1" t="s">
        <v>3653</v>
      </c>
      <c r="T1094" t="b">
        <v>0</v>
      </c>
    </row>
    <row r="1095" spans="1:20" x14ac:dyDescent="0.25">
      <c r="A1095" s="1" t="s">
        <v>3654</v>
      </c>
      <c r="B1095" s="1" t="s">
        <v>99</v>
      </c>
      <c r="C1095" s="1" t="s">
        <v>1546</v>
      </c>
      <c r="D1095" s="1" t="s">
        <v>159</v>
      </c>
      <c r="E1095" s="1" t="s">
        <v>33</v>
      </c>
      <c r="F1095" s="1" t="s">
        <v>25</v>
      </c>
      <c r="G1095" s="2">
        <v>45356</v>
      </c>
      <c r="H1095" s="2">
        <v>45362</v>
      </c>
      <c r="I1095">
        <v>12</v>
      </c>
      <c r="J1095">
        <v>6</v>
      </c>
      <c r="K1095">
        <v>0</v>
      </c>
      <c r="L1095" s="1" t="s">
        <v>26</v>
      </c>
      <c r="M1095">
        <v>53.3</v>
      </c>
      <c r="N1095">
        <v>166008.74</v>
      </c>
      <c r="O1095">
        <v>4703445.38</v>
      </c>
      <c r="P1095">
        <v>493299.18</v>
      </c>
      <c r="Q1095" s="1" t="s">
        <v>3655</v>
      </c>
      <c r="R1095">
        <v>54</v>
      </c>
      <c r="S1095" s="1" t="s">
        <v>3656</v>
      </c>
      <c r="T1095" t="b">
        <v>0</v>
      </c>
    </row>
    <row r="1096" spans="1:20" x14ac:dyDescent="0.25">
      <c r="A1096" s="1" t="s">
        <v>3657</v>
      </c>
      <c r="B1096" s="1" t="s">
        <v>76</v>
      </c>
      <c r="C1096" s="1" t="s">
        <v>823</v>
      </c>
      <c r="D1096" s="1" t="s">
        <v>420</v>
      </c>
      <c r="E1096" s="1" t="s">
        <v>65</v>
      </c>
      <c r="F1096" s="1" t="s">
        <v>25</v>
      </c>
      <c r="G1096" s="2">
        <v>45461</v>
      </c>
      <c r="H1096" s="2">
        <v>45462</v>
      </c>
      <c r="I1096">
        <v>4</v>
      </c>
      <c r="J1096">
        <v>1</v>
      </c>
      <c r="K1096">
        <v>0</v>
      </c>
      <c r="L1096" s="1" t="s">
        <v>26</v>
      </c>
      <c r="M1096">
        <v>13.3</v>
      </c>
      <c r="N1096">
        <v>56095.199999999997</v>
      </c>
      <c r="O1096">
        <v>4980618.4400000004</v>
      </c>
      <c r="P1096">
        <v>755987.47</v>
      </c>
      <c r="Q1096" s="1" t="s">
        <v>3658</v>
      </c>
      <c r="R1096">
        <v>74</v>
      </c>
      <c r="S1096" s="1" t="s">
        <v>3659</v>
      </c>
      <c r="T1096" t="b">
        <v>0</v>
      </c>
    </row>
    <row r="1097" spans="1:20" x14ac:dyDescent="0.25">
      <c r="A1097" s="1" t="s">
        <v>3660</v>
      </c>
      <c r="B1097" s="1" t="s">
        <v>174</v>
      </c>
      <c r="C1097" s="1" t="s">
        <v>888</v>
      </c>
      <c r="D1097" s="1" t="s">
        <v>758</v>
      </c>
      <c r="E1097" s="1" t="s">
        <v>49</v>
      </c>
      <c r="F1097" s="1" t="s">
        <v>34</v>
      </c>
      <c r="G1097" s="2">
        <v>45190</v>
      </c>
      <c r="H1097" s="2"/>
      <c r="I1097">
        <v>25</v>
      </c>
      <c r="J1097">
        <v>40</v>
      </c>
      <c r="K1097">
        <v>15</v>
      </c>
      <c r="L1097" s="1" t="s">
        <v>42</v>
      </c>
      <c r="M1097">
        <v>633.5</v>
      </c>
      <c r="N1097">
        <v>2614516.37</v>
      </c>
      <c r="O1097">
        <v>112350.86</v>
      </c>
      <c r="P1097">
        <v>379751.85</v>
      </c>
      <c r="Q1097" s="1" t="s">
        <v>3661</v>
      </c>
      <c r="R1097">
        <v>20</v>
      </c>
      <c r="S1097" s="1" t="s">
        <v>3662</v>
      </c>
      <c r="T1097" t="b">
        <v>1</v>
      </c>
    </row>
    <row r="1098" spans="1:20" x14ac:dyDescent="0.25">
      <c r="A1098" s="1" t="s">
        <v>3663</v>
      </c>
      <c r="B1098" s="1" t="s">
        <v>148</v>
      </c>
      <c r="C1098" s="1" t="s">
        <v>1879</v>
      </c>
      <c r="D1098" s="1" t="s">
        <v>282</v>
      </c>
      <c r="E1098" s="1" t="s">
        <v>41</v>
      </c>
      <c r="F1098" s="1" t="s">
        <v>25</v>
      </c>
      <c r="G1098" s="2">
        <v>44891</v>
      </c>
      <c r="H1098" s="2">
        <v>44894</v>
      </c>
      <c r="I1098">
        <v>9</v>
      </c>
      <c r="J1098">
        <v>3</v>
      </c>
      <c r="K1098">
        <v>0</v>
      </c>
      <c r="L1098" s="1" t="s">
        <v>26</v>
      </c>
      <c r="M1098">
        <v>14.6</v>
      </c>
      <c r="N1098">
        <v>34657.4</v>
      </c>
      <c r="O1098">
        <v>1903619.88</v>
      </c>
      <c r="P1098">
        <v>243273.93</v>
      </c>
      <c r="Q1098" s="1" t="s">
        <v>3664</v>
      </c>
      <c r="R1098">
        <v>36</v>
      </c>
      <c r="S1098" s="1" t="s">
        <v>3665</v>
      </c>
      <c r="T1098" t="b">
        <v>1</v>
      </c>
    </row>
    <row r="1099" spans="1:20" x14ac:dyDescent="0.25">
      <c r="A1099" s="1" t="s">
        <v>3666</v>
      </c>
      <c r="B1099" s="1" t="s">
        <v>272</v>
      </c>
      <c r="C1099" s="1" t="s">
        <v>721</v>
      </c>
      <c r="D1099" s="1" t="s">
        <v>420</v>
      </c>
      <c r="E1099" s="1" t="s">
        <v>41</v>
      </c>
      <c r="F1099" s="1" t="s">
        <v>25</v>
      </c>
      <c r="G1099" s="2">
        <v>44687</v>
      </c>
      <c r="H1099" s="2">
        <v>44700</v>
      </c>
      <c r="I1099">
        <v>9</v>
      </c>
      <c r="J1099">
        <v>13</v>
      </c>
      <c r="K1099">
        <v>4</v>
      </c>
      <c r="L1099" s="1" t="s">
        <v>58</v>
      </c>
      <c r="M1099">
        <v>199.7</v>
      </c>
      <c r="N1099">
        <v>738217.49</v>
      </c>
      <c r="O1099">
        <v>755763.63</v>
      </c>
      <c r="P1099">
        <v>267314.58</v>
      </c>
      <c r="Q1099" s="1" t="s">
        <v>3667</v>
      </c>
      <c r="R1099">
        <v>22</v>
      </c>
      <c r="S1099" s="1" t="s">
        <v>3668</v>
      </c>
      <c r="T1099" t="b">
        <v>0</v>
      </c>
    </row>
    <row r="1100" spans="1:20" x14ac:dyDescent="0.25">
      <c r="A1100" s="1" t="s">
        <v>3669</v>
      </c>
      <c r="B1100" s="1" t="s">
        <v>105</v>
      </c>
      <c r="C1100" s="1" t="s">
        <v>2195</v>
      </c>
      <c r="D1100" s="1" t="s">
        <v>293</v>
      </c>
      <c r="E1100" s="1" t="s">
        <v>24</v>
      </c>
      <c r="F1100" s="1" t="s">
        <v>25</v>
      </c>
      <c r="G1100" s="2">
        <v>44657</v>
      </c>
      <c r="H1100" s="2">
        <v>44658</v>
      </c>
      <c r="I1100">
        <v>3</v>
      </c>
      <c r="J1100">
        <v>1</v>
      </c>
      <c r="K1100">
        <v>0</v>
      </c>
      <c r="L1100" s="1" t="s">
        <v>26</v>
      </c>
      <c r="M1100">
        <v>11.6</v>
      </c>
      <c r="N1100">
        <v>50918.239999999998</v>
      </c>
      <c r="O1100">
        <v>2783371.46</v>
      </c>
      <c r="P1100">
        <v>400769.85</v>
      </c>
      <c r="Q1100" s="1" t="s">
        <v>3670</v>
      </c>
      <c r="R1100">
        <v>45</v>
      </c>
      <c r="S1100" s="1" t="s">
        <v>3671</v>
      </c>
      <c r="T1100" t="b">
        <v>0</v>
      </c>
    </row>
    <row r="1101" spans="1:20" x14ac:dyDescent="0.25">
      <c r="A1101" s="1" t="s">
        <v>3672</v>
      </c>
      <c r="B1101" s="1" t="s">
        <v>185</v>
      </c>
      <c r="C1101" s="1" t="s">
        <v>305</v>
      </c>
      <c r="D1101" s="1" t="s">
        <v>359</v>
      </c>
      <c r="E1101" s="1" t="s">
        <v>57</v>
      </c>
      <c r="F1101" s="1" t="s">
        <v>66</v>
      </c>
      <c r="G1101" s="2">
        <v>45012</v>
      </c>
      <c r="H1101" s="2"/>
      <c r="I1101">
        <v>40</v>
      </c>
      <c r="J1101">
        <v>20</v>
      </c>
      <c r="K1101">
        <v>0</v>
      </c>
      <c r="L1101" s="1" t="s">
        <v>26</v>
      </c>
      <c r="M1101">
        <v>147.6</v>
      </c>
      <c r="N1101">
        <v>536011.37</v>
      </c>
      <c r="O1101">
        <v>4788861.99</v>
      </c>
      <c r="P1101">
        <v>1024255.16</v>
      </c>
      <c r="Q1101" s="1" t="s">
        <v>3673</v>
      </c>
      <c r="R1101">
        <v>54</v>
      </c>
      <c r="S1101" s="1" t="s">
        <v>3674</v>
      </c>
      <c r="T1101" t="b">
        <v>0</v>
      </c>
    </row>
    <row r="1102" spans="1:20" x14ac:dyDescent="0.25">
      <c r="A1102" s="1" t="s">
        <v>3675</v>
      </c>
      <c r="B1102" s="1" t="s">
        <v>629</v>
      </c>
      <c r="C1102" s="1" t="s">
        <v>1126</v>
      </c>
      <c r="D1102" s="1" t="s">
        <v>187</v>
      </c>
      <c r="E1102" s="1" t="s">
        <v>49</v>
      </c>
      <c r="F1102" s="1" t="s">
        <v>50</v>
      </c>
      <c r="G1102" s="2">
        <v>45224</v>
      </c>
      <c r="H1102" s="2"/>
      <c r="I1102">
        <v>25</v>
      </c>
      <c r="J1102">
        <v>15</v>
      </c>
      <c r="K1102">
        <v>0</v>
      </c>
      <c r="L1102" s="1" t="s">
        <v>26</v>
      </c>
      <c r="M1102">
        <v>75.8</v>
      </c>
      <c r="N1102">
        <v>257889.15</v>
      </c>
      <c r="O1102">
        <v>2972047.51</v>
      </c>
      <c r="P1102">
        <v>459780.75</v>
      </c>
      <c r="Q1102" s="1" t="s">
        <v>3676</v>
      </c>
      <c r="R1102">
        <v>71</v>
      </c>
      <c r="S1102" s="1" t="s">
        <v>3677</v>
      </c>
      <c r="T1102" t="b">
        <v>1</v>
      </c>
    </row>
    <row r="1103" spans="1:20" x14ac:dyDescent="0.25">
      <c r="A1103" s="1" t="s">
        <v>3678</v>
      </c>
      <c r="B1103" s="1" t="s">
        <v>566</v>
      </c>
      <c r="C1103" s="1" t="s">
        <v>877</v>
      </c>
      <c r="D1103" s="1" t="s">
        <v>192</v>
      </c>
      <c r="E1103" s="1" t="s">
        <v>41</v>
      </c>
      <c r="F1103" s="1" t="s">
        <v>25</v>
      </c>
      <c r="G1103" s="2">
        <v>44579</v>
      </c>
      <c r="H1103" s="2">
        <v>44589</v>
      </c>
      <c r="I1103">
        <v>9</v>
      </c>
      <c r="J1103">
        <v>10</v>
      </c>
      <c r="K1103">
        <v>1</v>
      </c>
      <c r="L1103" s="1" t="s">
        <v>26</v>
      </c>
      <c r="M1103">
        <v>84.4</v>
      </c>
      <c r="N1103">
        <v>270568.17</v>
      </c>
      <c r="O1103">
        <v>397911.03999999998</v>
      </c>
      <c r="P1103">
        <v>97727.9</v>
      </c>
      <c r="Q1103" s="1" t="s">
        <v>3679</v>
      </c>
      <c r="R1103">
        <v>78</v>
      </c>
      <c r="S1103" s="1" t="s">
        <v>3680</v>
      </c>
      <c r="T1103" t="b">
        <v>0</v>
      </c>
    </row>
    <row r="1104" spans="1:20" x14ac:dyDescent="0.25">
      <c r="A1104" s="1" t="s">
        <v>3681</v>
      </c>
      <c r="B1104" s="1" t="s">
        <v>174</v>
      </c>
      <c r="C1104" s="1" t="s">
        <v>31</v>
      </c>
      <c r="D1104" s="1" t="s">
        <v>315</v>
      </c>
      <c r="E1104" s="1" t="s">
        <v>33</v>
      </c>
      <c r="F1104" s="1" t="s">
        <v>50</v>
      </c>
      <c r="G1104" s="2">
        <v>44796</v>
      </c>
      <c r="H1104" s="2"/>
      <c r="I1104">
        <v>12</v>
      </c>
      <c r="J1104">
        <v>11</v>
      </c>
      <c r="K1104">
        <v>0</v>
      </c>
      <c r="L1104" s="1" t="s">
        <v>26</v>
      </c>
      <c r="M1104">
        <v>155.1</v>
      </c>
      <c r="N1104">
        <v>373675.35</v>
      </c>
      <c r="O1104">
        <v>3762152.35</v>
      </c>
      <c r="P1104">
        <v>416113.57</v>
      </c>
      <c r="Q1104" s="1" t="s">
        <v>3682</v>
      </c>
      <c r="R1104">
        <v>70</v>
      </c>
      <c r="S1104" s="1" t="s">
        <v>3683</v>
      </c>
      <c r="T1104" t="b">
        <v>1</v>
      </c>
    </row>
    <row r="1105" spans="1:20" x14ac:dyDescent="0.25">
      <c r="A1105" s="1" t="s">
        <v>3684</v>
      </c>
      <c r="B1105" s="1" t="s">
        <v>105</v>
      </c>
      <c r="C1105" s="1" t="s">
        <v>129</v>
      </c>
      <c r="D1105" s="1" t="s">
        <v>595</v>
      </c>
      <c r="E1105" s="1" t="s">
        <v>24</v>
      </c>
      <c r="F1105" s="1" t="s">
        <v>66</v>
      </c>
      <c r="G1105" s="2">
        <v>44700</v>
      </c>
      <c r="H1105" s="2"/>
      <c r="I1105">
        <v>3</v>
      </c>
      <c r="J1105">
        <v>1</v>
      </c>
      <c r="K1105">
        <v>0</v>
      </c>
      <c r="L1105" s="1" t="s">
        <v>26</v>
      </c>
      <c r="M1105">
        <v>10.3</v>
      </c>
      <c r="N1105">
        <v>43843.23</v>
      </c>
      <c r="O1105">
        <v>3616719.1</v>
      </c>
      <c r="P1105">
        <v>617315.56999999995</v>
      </c>
      <c r="Q1105" s="1" t="s">
        <v>3685</v>
      </c>
      <c r="R1105">
        <v>33</v>
      </c>
      <c r="S1105" s="1" t="s">
        <v>3686</v>
      </c>
      <c r="T1105" t="b">
        <v>0</v>
      </c>
    </row>
    <row r="1106" spans="1:20" x14ac:dyDescent="0.25">
      <c r="A1106" s="1" t="s">
        <v>3687</v>
      </c>
      <c r="B1106" s="1" t="s">
        <v>148</v>
      </c>
      <c r="C1106" s="1" t="s">
        <v>1381</v>
      </c>
      <c r="D1106" s="1" t="s">
        <v>202</v>
      </c>
      <c r="E1106" s="1" t="s">
        <v>49</v>
      </c>
      <c r="F1106" s="1" t="s">
        <v>66</v>
      </c>
      <c r="G1106" s="2">
        <v>45242</v>
      </c>
      <c r="H1106" s="2"/>
      <c r="I1106">
        <v>25</v>
      </c>
      <c r="J1106">
        <v>12</v>
      </c>
      <c r="K1106">
        <v>0</v>
      </c>
      <c r="L1106" s="1" t="s">
        <v>26</v>
      </c>
      <c r="M1106">
        <v>153.19999999999999</v>
      </c>
      <c r="N1106">
        <v>640062.91</v>
      </c>
      <c r="O1106">
        <v>2849185.51</v>
      </c>
      <c r="P1106">
        <v>510738.74</v>
      </c>
      <c r="Q1106" s="1" t="s">
        <v>3688</v>
      </c>
      <c r="R1106">
        <v>53</v>
      </c>
      <c r="S1106" s="1" t="s">
        <v>3689</v>
      </c>
      <c r="T1106" t="b">
        <v>1</v>
      </c>
    </row>
    <row r="1107" spans="1:20" x14ac:dyDescent="0.25">
      <c r="A1107" s="1" t="s">
        <v>3690</v>
      </c>
      <c r="B1107" s="1" t="s">
        <v>471</v>
      </c>
      <c r="C1107" s="1" t="s">
        <v>1482</v>
      </c>
      <c r="D1107" s="1" t="s">
        <v>181</v>
      </c>
      <c r="E1107" s="1" t="s">
        <v>24</v>
      </c>
      <c r="F1107" s="1" t="s">
        <v>25</v>
      </c>
      <c r="G1107" s="2">
        <v>44665</v>
      </c>
      <c r="H1107" s="2">
        <v>44669</v>
      </c>
      <c r="I1107">
        <v>3</v>
      </c>
      <c r="J1107">
        <v>4</v>
      </c>
      <c r="K1107">
        <v>1</v>
      </c>
      <c r="L1107" s="1" t="s">
        <v>26</v>
      </c>
      <c r="M1107">
        <v>41.7</v>
      </c>
      <c r="N1107">
        <v>166066.03</v>
      </c>
      <c r="O1107">
        <v>3023330.69</v>
      </c>
      <c r="P1107">
        <v>387813.81</v>
      </c>
      <c r="Q1107" s="1" t="s">
        <v>3691</v>
      </c>
      <c r="R1107">
        <v>57</v>
      </c>
      <c r="S1107" s="1" t="s">
        <v>3692</v>
      </c>
      <c r="T1107" t="b">
        <v>0</v>
      </c>
    </row>
    <row r="1108" spans="1:20" x14ac:dyDescent="0.25">
      <c r="A1108" s="1" t="s">
        <v>3693</v>
      </c>
      <c r="B1108" s="1" t="s">
        <v>451</v>
      </c>
      <c r="C1108" s="1" t="s">
        <v>63</v>
      </c>
      <c r="D1108" s="1" t="s">
        <v>192</v>
      </c>
      <c r="E1108" s="1" t="s">
        <v>49</v>
      </c>
      <c r="F1108" s="1" t="s">
        <v>25</v>
      </c>
      <c r="G1108" s="2">
        <v>44915</v>
      </c>
      <c r="H1108" s="2">
        <v>44935</v>
      </c>
      <c r="I1108">
        <v>25</v>
      </c>
      <c r="J1108">
        <v>20</v>
      </c>
      <c r="K1108">
        <v>0</v>
      </c>
      <c r="L1108" s="1" t="s">
        <v>26</v>
      </c>
      <c r="M1108">
        <v>310.7</v>
      </c>
      <c r="N1108">
        <v>820147.86</v>
      </c>
      <c r="O1108">
        <v>276568.02</v>
      </c>
      <c r="P1108">
        <v>120197.26</v>
      </c>
      <c r="Q1108" s="1" t="s">
        <v>3694</v>
      </c>
      <c r="R1108">
        <v>23</v>
      </c>
      <c r="S1108" s="1" t="s">
        <v>3695</v>
      </c>
      <c r="T1108" t="b">
        <v>1</v>
      </c>
    </row>
    <row r="1109" spans="1:20" x14ac:dyDescent="0.25">
      <c r="A1109" s="1" t="s">
        <v>3696</v>
      </c>
      <c r="B1109" s="1" t="s">
        <v>158</v>
      </c>
      <c r="C1109" s="1" t="s">
        <v>681</v>
      </c>
      <c r="D1109" s="1" t="s">
        <v>84</v>
      </c>
      <c r="E1109" s="1" t="s">
        <v>49</v>
      </c>
      <c r="F1109" s="1" t="s">
        <v>25</v>
      </c>
      <c r="G1109" s="2">
        <v>44999</v>
      </c>
      <c r="H1109" s="2">
        <v>45026</v>
      </c>
      <c r="I1109">
        <v>25</v>
      </c>
      <c r="J1109">
        <v>27</v>
      </c>
      <c r="K1109">
        <v>2</v>
      </c>
      <c r="L1109" s="1" t="s">
        <v>26</v>
      </c>
      <c r="M1109">
        <v>149.30000000000001</v>
      </c>
      <c r="N1109">
        <v>642270.29</v>
      </c>
      <c r="O1109">
        <v>4897117.9000000004</v>
      </c>
      <c r="P1109">
        <v>628870.28</v>
      </c>
      <c r="Q1109" s="1" t="s">
        <v>464</v>
      </c>
      <c r="R1109">
        <v>51</v>
      </c>
      <c r="S1109" s="1" t="s">
        <v>3697</v>
      </c>
      <c r="T1109" t="b">
        <v>0</v>
      </c>
    </row>
    <row r="1110" spans="1:20" x14ac:dyDescent="0.25">
      <c r="A1110" s="1" t="s">
        <v>3698</v>
      </c>
      <c r="B1110" s="1" t="s">
        <v>111</v>
      </c>
      <c r="C1110" s="1" t="s">
        <v>586</v>
      </c>
      <c r="D1110" s="1" t="s">
        <v>89</v>
      </c>
      <c r="E1110" s="1" t="s">
        <v>41</v>
      </c>
      <c r="F1110" s="1" t="s">
        <v>25</v>
      </c>
      <c r="G1110" s="2">
        <v>44994</v>
      </c>
      <c r="H1110" s="2">
        <v>45008</v>
      </c>
      <c r="I1110">
        <v>9</v>
      </c>
      <c r="J1110">
        <v>14</v>
      </c>
      <c r="K1110">
        <v>5</v>
      </c>
      <c r="L1110" s="1" t="s">
        <v>101</v>
      </c>
      <c r="M1110">
        <v>200.5</v>
      </c>
      <c r="N1110">
        <v>765706.72</v>
      </c>
      <c r="O1110">
        <v>339534.57</v>
      </c>
      <c r="P1110">
        <v>218167.79</v>
      </c>
      <c r="Q1110" s="1" t="s">
        <v>3699</v>
      </c>
      <c r="R1110">
        <v>28</v>
      </c>
      <c r="S1110" s="1" t="s">
        <v>3700</v>
      </c>
      <c r="T1110" t="b">
        <v>1</v>
      </c>
    </row>
    <row r="1111" spans="1:20" x14ac:dyDescent="0.25">
      <c r="A1111" s="1" t="s">
        <v>3701</v>
      </c>
      <c r="B1111" s="1" t="s">
        <v>169</v>
      </c>
      <c r="C1111" s="1" t="s">
        <v>1062</v>
      </c>
      <c r="D1111" s="1" t="s">
        <v>622</v>
      </c>
      <c r="E1111" s="1" t="s">
        <v>33</v>
      </c>
      <c r="F1111" s="1" t="s">
        <v>34</v>
      </c>
      <c r="G1111" s="2">
        <v>44823</v>
      </c>
      <c r="H1111" s="2"/>
      <c r="I1111">
        <v>12</v>
      </c>
      <c r="J1111">
        <v>9</v>
      </c>
      <c r="K1111">
        <v>0</v>
      </c>
      <c r="L1111" s="1" t="s">
        <v>26</v>
      </c>
      <c r="M1111">
        <v>141.69999999999999</v>
      </c>
      <c r="N1111">
        <v>361036.75</v>
      </c>
      <c r="O1111">
        <v>3574826.66</v>
      </c>
      <c r="P1111">
        <v>452336.07</v>
      </c>
      <c r="Q1111" s="1" t="s">
        <v>3702</v>
      </c>
      <c r="R1111">
        <v>74</v>
      </c>
      <c r="S1111" s="1" t="s">
        <v>3703</v>
      </c>
      <c r="T1111" t="b">
        <v>1</v>
      </c>
    </row>
    <row r="1112" spans="1:20" x14ac:dyDescent="0.25">
      <c r="A1112" s="1" t="s">
        <v>3704</v>
      </c>
      <c r="B1112" s="1" t="s">
        <v>242</v>
      </c>
      <c r="C1112" s="1" t="s">
        <v>476</v>
      </c>
      <c r="D1112" s="1" t="s">
        <v>513</v>
      </c>
      <c r="E1112" s="1" t="s">
        <v>57</v>
      </c>
      <c r="F1112" s="1" t="s">
        <v>25</v>
      </c>
      <c r="G1112" s="2">
        <v>44773</v>
      </c>
      <c r="H1112" s="2">
        <v>44805</v>
      </c>
      <c r="I1112">
        <v>40</v>
      </c>
      <c r="J1112">
        <v>32</v>
      </c>
      <c r="K1112">
        <v>0</v>
      </c>
      <c r="L1112" s="1" t="s">
        <v>26</v>
      </c>
      <c r="M1112">
        <v>143.9</v>
      </c>
      <c r="N1112">
        <v>560848.01</v>
      </c>
      <c r="O1112">
        <v>661907.44999999995</v>
      </c>
      <c r="P1112">
        <v>133712.84</v>
      </c>
      <c r="Q1112" s="1" t="s">
        <v>429</v>
      </c>
      <c r="R1112">
        <v>20</v>
      </c>
      <c r="S1112" s="1" t="s">
        <v>3705</v>
      </c>
      <c r="T1112" t="b">
        <v>1</v>
      </c>
    </row>
    <row r="1113" spans="1:20" x14ac:dyDescent="0.25">
      <c r="A1113" s="1" t="s">
        <v>3706</v>
      </c>
      <c r="B1113" s="1" t="s">
        <v>122</v>
      </c>
      <c r="C1113" s="1" t="s">
        <v>186</v>
      </c>
      <c r="D1113" s="1" t="s">
        <v>176</v>
      </c>
      <c r="E1113" s="1" t="s">
        <v>41</v>
      </c>
      <c r="F1113" s="1" t="s">
        <v>50</v>
      </c>
      <c r="G1113" s="2">
        <v>45267</v>
      </c>
      <c r="H1113" s="2"/>
      <c r="I1113">
        <v>9</v>
      </c>
      <c r="J1113">
        <v>12</v>
      </c>
      <c r="K1113">
        <v>3</v>
      </c>
      <c r="L1113" s="1" t="s">
        <v>26</v>
      </c>
      <c r="M1113">
        <v>81.2</v>
      </c>
      <c r="N1113">
        <v>327729.48</v>
      </c>
      <c r="O1113">
        <v>2290021.1</v>
      </c>
      <c r="P1113">
        <v>354930.05</v>
      </c>
      <c r="Q1113" s="1" t="s">
        <v>587</v>
      </c>
      <c r="R1113">
        <v>69</v>
      </c>
      <c r="S1113" s="1" t="s">
        <v>3707</v>
      </c>
      <c r="T1113" t="b">
        <v>1</v>
      </c>
    </row>
    <row r="1114" spans="1:20" x14ac:dyDescent="0.25">
      <c r="A1114" s="1" t="s">
        <v>3708</v>
      </c>
      <c r="B1114" s="1" t="s">
        <v>566</v>
      </c>
      <c r="C1114" s="1" t="s">
        <v>2815</v>
      </c>
      <c r="D1114" s="1" t="s">
        <v>32</v>
      </c>
      <c r="E1114" s="1" t="s">
        <v>41</v>
      </c>
      <c r="F1114" s="1" t="s">
        <v>25</v>
      </c>
      <c r="G1114" s="2">
        <v>44608</v>
      </c>
      <c r="H1114" s="2">
        <v>44620</v>
      </c>
      <c r="I1114">
        <v>9</v>
      </c>
      <c r="J1114">
        <v>12</v>
      </c>
      <c r="K1114">
        <v>3</v>
      </c>
      <c r="L1114" s="1" t="s">
        <v>26</v>
      </c>
      <c r="M1114">
        <v>60.9</v>
      </c>
      <c r="N1114">
        <v>221865.88</v>
      </c>
      <c r="O1114">
        <v>4066643.84</v>
      </c>
      <c r="P1114">
        <v>848387.39</v>
      </c>
      <c r="Q1114" s="1" t="s">
        <v>3709</v>
      </c>
      <c r="R1114">
        <v>80</v>
      </c>
      <c r="S1114" s="1" t="s">
        <v>3710</v>
      </c>
      <c r="T1114" t="b">
        <v>1</v>
      </c>
    </row>
    <row r="1115" spans="1:20" x14ac:dyDescent="0.25">
      <c r="A1115" s="1" t="s">
        <v>3711</v>
      </c>
      <c r="B1115" s="1" t="s">
        <v>174</v>
      </c>
      <c r="C1115" s="1" t="s">
        <v>2140</v>
      </c>
      <c r="D1115" s="1" t="s">
        <v>420</v>
      </c>
      <c r="E1115" s="1" t="s">
        <v>57</v>
      </c>
      <c r="F1115" s="1" t="s">
        <v>25</v>
      </c>
      <c r="G1115" s="2">
        <v>45649</v>
      </c>
      <c r="H1115" s="2">
        <v>45670</v>
      </c>
      <c r="I1115">
        <v>40</v>
      </c>
      <c r="J1115">
        <v>21</v>
      </c>
      <c r="K1115">
        <v>0</v>
      </c>
      <c r="L1115" s="1" t="s">
        <v>26</v>
      </c>
      <c r="M1115">
        <v>150.4</v>
      </c>
      <c r="N1115">
        <v>612699</v>
      </c>
      <c r="O1115">
        <v>3711951.51</v>
      </c>
      <c r="P1115">
        <v>787595.82</v>
      </c>
      <c r="Q1115" s="1" t="s">
        <v>3712</v>
      </c>
      <c r="R1115">
        <v>25</v>
      </c>
      <c r="S1115" s="1" t="s">
        <v>3713</v>
      </c>
      <c r="T1115" t="b">
        <v>1</v>
      </c>
    </row>
    <row r="1116" spans="1:20" x14ac:dyDescent="0.25">
      <c r="A1116" s="1" t="s">
        <v>3714</v>
      </c>
      <c r="B1116" s="1" t="s">
        <v>21</v>
      </c>
      <c r="C1116" s="1" t="s">
        <v>1879</v>
      </c>
      <c r="D1116" s="1" t="s">
        <v>40</v>
      </c>
      <c r="E1116" s="1" t="s">
        <v>65</v>
      </c>
      <c r="F1116" s="1" t="s">
        <v>25</v>
      </c>
      <c r="G1116" s="2">
        <v>44804</v>
      </c>
      <c r="H1116" s="2">
        <v>44805</v>
      </c>
      <c r="I1116">
        <v>4</v>
      </c>
      <c r="J1116">
        <v>1</v>
      </c>
      <c r="K1116">
        <v>0</v>
      </c>
      <c r="L1116" s="1" t="s">
        <v>26</v>
      </c>
      <c r="M1116">
        <v>10</v>
      </c>
      <c r="N1116">
        <v>27906.1</v>
      </c>
      <c r="O1116">
        <v>2790328.43</v>
      </c>
      <c r="P1116">
        <v>385696.36</v>
      </c>
      <c r="Q1116" s="1" t="s">
        <v>3715</v>
      </c>
      <c r="R1116">
        <v>76</v>
      </c>
      <c r="S1116" s="1" t="s">
        <v>3716</v>
      </c>
      <c r="T1116" t="b">
        <v>1</v>
      </c>
    </row>
    <row r="1117" spans="1:20" x14ac:dyDescent="0.25">
      <c r="A1117" s="1" t="s">
        <v>3717</v>
      </c>
      <c r="B1117" s="1" t="s">
        <v>242</v>
      </c>
      <c r="C1117" s="1" t="s">
        <v>581</v>
      </c>
      <c r="D1117" s="1" t="s">
        <v>315</v>
      </c>
      <c r="E1117" s="1" t="s">
        <v>57</v>
      </c>
      <c r="F1117" s="1" t="s">
        <v>34</v>
      </c>
      <c r="G1117" s="2">
        <v>45346</v>
      </c>
      <c r="H1117" s="2"/>
      <c r="I1117">
        <v>40</v>
      </c>
      <c r="J1117">
        <v>45</v>
      </c>
      <c r="K1117">
        <v>5</v>
      </c>
      <c r="L1117" s="1" t="s">
        <v>330</v>
      </c>
      <c r="M1117">
        <v>682.1</v>
      </c>
      <c r="N1117">
        <v>1382687.78</v>
      </c>
      <c r="O1117">
        <v>2565603.4900000002</v>
      </c>
      <c r="P1117">
        <v>550279.82999999996</v>
      </c>
      <c r="Q1117" s="1" t="s">
        <v>3718</v>
      </c>
      <c r="R1117">
        <v>22</v>
      </c>
      <c r="S1117" s="1" t="s">
        <v>3719</v>
      </c>
      <c r="T1117" t="b">
        <v>0</v>
      </c>
    </row>
    <row r="1118" spans="1:20" x14ac:dyDescent="0.25">
      <c r="A1118" s="1" t="s">
        <v>3720</v>
      </c>
      <c r="B1118" s="1" t="s">
        <v>128</v>
      </c>
      <c r="C1118" s="1" t="s">
        <v>472</v>
      </c>
      <c r="D1118" s="1" t="s">
        <v>216</v>
      </c>
      <c r="E1118" s="1" t="s">
        <v>65</v>
      </c>
      <c r="F1118" s="1" t="s">
        <v>25</v>
      </c>
      <c r="G1118" s="2">
        <v>45445</v>
      </c>
      <c r="H1118" s="2">
        <v>45450</v>
      </c>
      <c r="I1118">
        <v>4</v>
      </c>
      <c r="J1118">
        <v>5</v>
      </c>
      <c r="K1118">
        <v>0.5</v>
      </c>
      <c r="L1118" s="1" t="s">
        <v>26</v>
      </c>
      <c r="M1118">
        <v>56.3</v>
      </c>
      <c r="N1118">
        <v>130003.69</v>
      </c>
      <c r="O1118">
        <v>1131351.45</v>
      </c>
      <c r="P1118">
        <v>178712.87</v>
      </c>
      <c r="Q1118" s="1" t="s">
        <v>3721</v>
      </c>
      <c r="R1118">
        <v>32</v>
      </c>
      <c r="S1118" s="1" t="s">
        <v>3722</v>
      </c>
      <c r="T1118" t="b">
        <v>1</v>
      </c>
    </row>
    <row r="1119" spans="1:20" x14ac:dyDescent="0.25">
      <c r="A1119" s="1" t="s">
        <v>3723</v>
      </c>
      <c r="B1119" s="1" t="s">
        <v>70</v>
      </c>
      <c r="C1119" s="1" t="s">
        <v>112</v>
      </c>
      <c r="D1119" s="1" t="s">
        <v>315</v>
      </c>
      <c r="E1119" s="1" t="s">
        <v>65</v>
      </c>
      <c r="F1119" s="1" t="s">
        <v>25</v>
      </c>
      <c r="G1119" s="2">
        <v>44907</v>
      </c>
      <c r="H1119" s="2">
        <v>44914</v>
      </c>
      <c r="I1119">
        <v>4</v>
      </c>
      <c r="J1119">
        <v>7</v>
      </c>
      <c r="K1119">
        <v>2.5</v>
      </c>
      <c r="L1119" s="1" t="s">
        <v>26</v>
      </c>
      <c r="M1119">
        <v>102.1</v>
      </c>
      <c r="N1119">
        <v>216163.27</v>
      </c>
      <c r="O1119">
        <v>1484633.39</v>
      </c>
      <c r="P1119">
        <v>195057.23</v>
      </c>
      <c r="Q1119" s="1" t="s">
        <v>3724</v>
      </c>
      <c r="R1119">
        <v>55</v>
      </c>
      <c r="S1119" s="1" t="s">
        <v>3725</v>
      </c>
      <c r="T1119" t="b">
        <v>0</v>
      </c>
    </row>
    <row r="1120" spans="1:20" x14ac:dyDescent="0.25">
      <c r="A1120" s="1" t="s">
        <v>3726</v>
      </c>
      <c r="B1120" s="1" t="s">
        <v>566</v>
      </c>
      <c r="C1120" s="1" t="s">
        <v>31</v>
      </c>
      <c r="D1120" s="1" t="s">
        <v>288</v>
      </c>
      <c r="E1120" s="1" t="s">
        <v>41</v>
      </c>
      <c r="F1120" s="1" t="s">
        <v>25</v>
      </c>
      <c r="G1120" s="2">
        <v>45107</v>
      </c>
      <c r="H1120" s="2">
        <v>45111</v>
      </c>
      <c r="I1120">
        <v>9</v>
      </c>
      <c r="J1120">
        <v>4</v>
      </c>
      <c r="K1120">
        <v>0</v>
      </c>
      <c r="L1120" s="1" t="s">
        <v>26</v>
      </c>
      <c r="M1120">
        <v>48.6</v>
      </c>
      <c r="N1120">
        <v>199036.73</v>
      </c>
      <c r="O1120">
        <v>3184798.77</v>
      </c>
      <c r="P1120">
        <v>661526.23</v>
      </c>
      <c r="Q1120" s="1" t="s">
        <v>3727</v>
      </c>
      <c r="R1120">
        <v>59</v>
      </c>
      <c r="S1120" s="1" t="s">
        <v>3728</v>
      </c>
      <c r="T1120" t="b">
        <v>0</v>
      </c>
    </row>
    <row r="1121" spans="1:20" x14ac:dyDescent="0.25">
      <c r="A1121" s="1" t="s">
        <v>3729</v>
      </c>
      <c r="B1121" s="1" t="s">
        <v>99</v>
      </c>
      <c r="C1121" s="1" t="s">
        <v>1241</v>
      </c>
      <c r="D1121" s="1" t="s">
        <v>165</v>
      </c>
      <c r="E1121" s="1" t="s">
        <v>41</v>
      </c>
      <c r="F1121" s="1" t="s">
        <v>25</v>
      </c>
      <c r="G1121" s="2">
        <v>44864</v>
      </c>
      <c r="H1121" s="2">
        <v>44878</v>
      </c>
      <c r="I1121">
        <v>9</v>
      </c>
      <c r="J1121">
        <v>14</v>
      </c>
      <c r="K1121">
        <v>5</v>
      </c>
      <c r="L1121" s="1" t="s">
        <v>193</v>
      </c>
      <c r="M1121">
        <v>108.3</v>
      </c>
      <c r="N1121">
        <v>434909.37</v>
      </c>
      <c r="O1121">
        <v>432330.59</v>
      </c>
      <c r="P1121">
        <v>138826.48000000001</v>
      </c>
      <c r="Q1121" s="1" t="s">
        <v>3730</v>
      </c>
      <c r="R1121">
        <v>35</v>
      </c>
      <c r="S1121" s="1" t="s">
        <v>3731</v>
      </c>
      <c r="T1121" t="b">
        <v>1</v>
      </c>
    </row>
    <row r="1122" spans="1:20" x14ac:dyDescent="0.25">
      <c r="A1122" s="1" t="s">
        <v>3732</v>
      </c>
      <c r="B1122" s="1" t="s">
        <v>138</v>
      </c>
      <c r="C1122" s="1" t="s">
        <v>55</v>
      </c>
      <c r="D1122" s="1" t="s">
        <v>159</v>
      </c>
      <c r="E1122" s="1" t="s">
        <v>65</v>
      </c>
      <c r="F1122" s="1" t="s">
        <v>25</v>
      </c>
      <c r="G1122" s="2">
        <v>45138</v>
      </c>
      <c r="H1122" s="2">
        <v>45144</v>
      </c>
      <c r="I1122">
        <v>4</v>
      </c>
      <c r="J1122">
        <v>6</v>
      </c>
      <c r="K1122">
        <v>1.5</v>
      </c>
      <c r="L1122" s="1" t="s">
        <v>26</v>
      </c>
      <c r="M1122">
        <v>72</v>
      </c>
      <c r="N1122">
        <v>200491.95</v>
      </c>
      <c r="O1122">
        <v>1186892.58</v>
      </c>
      <c r="P1122">
        <v>172801.88</v>
      </c>
      <c r="Q1122" s="1" t="s">
        <v>990</v>
      </c>
      <c r="R1122">
        <v>25</v>
      </c>
      <c r="S1122" s="1" t="s">
        <v>3733</v>
      </c>
      <c r="T1122" t="b">
        <v>0</v>
      </c>
    </row>
    <row r="1123" spans="1:20" x14ac:dyDescent="0.25">
      <c r="A1123" s="1" t="s">
        <v>3734</v>
      </c>
      <c r="B1123" s="1" t="s">
        <v>185</v>
      </c>
      <c r="C1123" s="1" t="s">
        <v>170</v>
      </c>
      <c r="D1123" s="1" t="s">
        <v>263</v>
      </c>
      <c r="E1123" s="1" t="s">
        <v>65</v>
      </c>
      <c r="F1123" s="1" t="s">
        <v>25</v>
      </c>
      <c r="G1123" s="2">
        <v>45645</v>
      </c>
      <c r="H1123" s="2">
        <v>45646</v>
      </c>
      <c r="I1123">
        <v>4</v>
      </c>
      <c r="J1123">
        <v>1</v>
      </c>
      <c r="K1123">
        <v>0</v>
      </c>
      <c r="L1123" s="1" t="s">
        <v>26</v>
      </c>
      <c r="M1123">
        <v>8.5</v>
      </c>
      <c r="N1123">
        <v>31795.72</v>
      </c>
      <c r="O1123">
        <v>1855276.72</v>
      </c>
      <c r="P1123">
        <v>276815.5</v>
      </c>
      <c r="Q1123" s="1" t="s">
        <v>3735</v>
      </c>
      <c r="R1123">
        <v>41</v>
      </c>
      <c r="S1123" s="1" t="s">
        <v>3736</v>
      </c>
      <c r="T1123" t="b">
        <v>0</v>
      </c>
    </row>
    <row r="1124" spans="1:20" x14ac:dyDescent="0.25">
      <c r="A1124" s="1" t="s">
        <v>3737</v>
      </c>
      <c r="B1124" s="1" t="s">
        <v>348</v>
      </c>
      <c r="C1124" s="1" t="s">
        <v>1099</v>
      </c>
      <c r="D1124" s="1" t="s">
        <v>595</v>
      </c>
      <c r="E1124" s="1" t="s">
        <v>49</v>
      </c>
      <c r="F1124" s="1" t="s">
        <v>34</v>
      </c>
      <c r="G1124" s="2">
        <v>45384</v>
      </c>
      <c r="H1124" s="2"/>
      <c r="I1124">
        <v>25</v>
      </c>
      <c r="J1124">
        <v>38</v>
      </c>
      <c r="K1124">
        <v>13</v>
      </c>
      <c r="L1124" s="1" t="s">
        <v>193</v>
      </c>
      <c r="M1124">
        <v>480.6</v>
      </c>
      <c r="N1124">
        <v>2150196.65</v>
      </c>
      <c r="O1124">
        <v>3611511</v>
      </c>
      <c r="P1124">
        <v>1119350.81</v>
      </c>
      <c r="Q1124" s="1" t="s">
        <v>3738</v>
      </c>
      <c r="R1124">
        <v>43</v>
      </c>
      <c r="S1124" s="1" t="s">
        <v>3739</v>
      </c>
      <c r="T1124" t="b">
        <v>0</v>
      </c>
    </row>
    <row r="1125" spans="1:20" x14ac:dyDescent="0.25">
      <c r="A1125" s="1" t="s">
        <v>3740</v>
      </c>
      <c r="B1125" s="1" t="s">
        <v>348</v>
      </c>
      <c r="C1125" s="1" t="s">
        <v>573</v>
      </c>
      <c r="D1125" s="1" t="s">
        <v>282</v>
      </c>
      <c r="E1125" s="1" t="s">
        <v>65</v>
      </c>
      <c r="F1125" s="1" t="s">
        <v>25</v>
      </c>
      <c r="G1125" s="2">
        <v>45116</v>
      </c>
      <c r="H1125" s="2">
        <v>45123</v>
      </c>
      <c r="I1125">
        <v>4</v>
      </c>
      <c r="J1125">
        <v>7</v>
      </c>
      <c r="K1125">
        <v>2.5</v>
      </c>
      <c r="L1125" s="1" t="s">
        <v>26</v>
      </c>
      <c r="M1125">
        <v>108.8</v>
      </c>
      <c r="N1125">
        <v>214517.89</v>
      </c>
      <c r="O1125">
        <v>1051022.48</v>
      </c>
      <c r="P1125">
        <v>162034.37</v>
      </c>
      <c r="Q1125" s="1" t="s">
        <v>3741</v>
      </c>
      <c r="R1125">
        <v>64</v>
      </c>
      <c r="S1125" s="1" t="s">
        <v>3742</v>
      </c>
      <c r="T1125" t="b">
        <v>1</v>
      </c>
    </row>
    <row r="1126" spans="1:20" x14ac:dyDescent="0.25">
      <c r="A1126" s="1" t="s">
        <v>3743</v>
      </c>
      <c r="B1126" s="1" t="s">
        <v>185</v>
      </c>
      <c r="C1126" s="1" t="s">
        <v>1381</v>
      </c>
      <c r="D1126" s="1" t="s">
        <v>23</v>
      </c>
      <c r="E1126" s="1" t="s">
        <v>49</v>
      </c>
      <c r="F1126" s="1" t="s">
        <v>25</v>
      </c>
      <c r="G1126" s="2">
        <v>45242</v>
      </c>
      <c r="H1126" s="2">
        <v>45268</v>
      </c>
      <c r="I1126">
        <v>25</v>
      </c>
      <c r="J1126">
        <v>26</v>
      </c>
      <c r="K1126">
        <v>1</v>
      </c>
      <c r="L1126" s="1" t="s">
        <v>26</v>
      </c>
      <c r="M1126">
        <v>131.30000000000001</v>
      </c>
      <c r="N1126">
        <v>357472.7</v>
      </c>
      <c r="O1126">
        <v>3804484.93</v>
      </c>
      <c r="P1126">
        <v>664225.36</v>
      </c>
      <c r="Q1126" s="1" t="s">
        <v>3744</v>
      </c>
      <c r="R1126">
        <v>39</v>
      </c>
      <c r="S1126" s="1" t="s">
        <v>3745</v>
      </c>
      <c r="T1126" t="b">
        <v>0</v>
      </c>
    </row>
    <row r="1127" spans="1:20" x14ac:dyDescent="0.25">
      <c r="A1127" s="1" t="s">
        <v>3746</v>
      </c>
      <c r="B1127" s="1" t="s">
        <v>105</v>
      </c>
      <c r="C1127" s="1" t="s">
        <v>599</v>
      </c>
      <c r="D1127" s="1" t="s">
        <v>344</v>
      </c>
      <c r="E1127" s="1" t="s">
        <v>33</v>
      </c>
      <c r="F1127" s="1" t="s">
        <v>50</v>
      </c>
      <c r="G1127" s="2">
        <v>44934</v>
      </c>
      <c r="H1127" s="2"/>
      <c r="I1127">
        <v>12</v>
      </c>
      <c r="J1127">
        <v>9</v>
      </c>
      <c r="K1127">
        <v>0</v>
      </c>
      <c r="L1127" s="1" t="s">
        <v>26</v>
      </c>
      <c r="M1127">
        <v>37.5</v>
      </c>
      <c r="N1127">
        <v>155599.22</v>
      </c>
      <c r="O1127">
        <v>1388157.57</v>
      </c>
      <c r="P1127">
        <v>191363.68</v>
      </c>
      <c r="Q1127" s="1" t="s">
        <v>3747</v>
      </c>
      <c r="R1127">
        <v>44</v>
      </c>
      <c r="S1127" s="1" t="s">
        <v>3748</v>
      </c>
      <c r="T1127" t="b">
        <v>1</v>
      </c>
    </row>
    <row r="1128" spans="1:20" x14ac:dyDescent="0.25">
      <c r="A1128" s="1" t="s">
        <v>3749</v>
      </c>
      <c r="B1128" s="1" t="s">
        <v>328</v>
      </c>
      <c r="C1128" s="1" t="s">
        <v>3623</v>
      </c>
      <c r="D1128" s="1" t="s">
        <v>48</v>
      </c>
      <c r="E1128" s="1" t="s">
        <v>33</v>
      </c>
      <c r="F1128" s="1" t="s">
        <v>34</v>
      </c>
      <c r="G1128" s="2">
        <v>45147</v>
      </c>
      <c r="H1128" s="2"/>
      <c r="I1128">
        <v>12</v>
      </c>
      <c r="J1128">
        <v>10</v>
      </c>
      <c r="K1128">
        <v>0</v>
      </c>
      <c r="L1128" s="1" t="s">
        <v>26</v>
      </c>
      <c r="M1128">
        <v>118.1</v>
      </c>
      <c r="N1128">
        <v>398647.41</v>
      </c>
      <c r="O1128">
        <v>1246583.75</v>
      </c>
      <c r="P1128">
        <v>312143.23</v>
      </c>
      <c r="Q1128" s="1" t="s">
        <v>3750</v>
      </c>
      <c r="R1128">
        <v>39</v>
      </c>
      <c r="S1128" s="1" t="s">
        <v>3751</v>
      </c>
      <c r="T1128" t="b">
        <v>1</v>
      </c>
    </row>
    <row r="1129" spans="1:20" x14ac:dyDescent="0.25">
      <c r="A1129" s="1" t="s">
        <v>3752</v>
      </c>
      <c r="B1129" s="1" t="s">
        <v>122</v>
      </c>
      <c r="C1129" s="1" t="s">
        <v>1514</v>
      </c>
      <c r="D1129" s="1" t="s">
        <v>263</v>
      </c>
      <c r="E1129" s="1" t="s">
        <v>65</v>
      </c>
      <c r="F1129" s="1" t="s">
        <v>66</v>
      </c>
      <c r="G1129" s="2">
        <v>44676</v>
      </c>
      <c r="H1129" s="2"/>
      <c r="I1129">
        <v>4</v>
      </c>
      <c r="J1129">
        <v>7</v>
      </c>
      <c r="K1129">
        <v>2.5</v>
      </c>
      <c r="L1129" s="1" t="s">
        <v>26</v>
      </c>
      <c r="M1129">
        <v>46.5</v>
      </c>
      <c r="N1129">
        <v>180413.66</v>
      </c>
      <c r="O1129">
        <v>1137767.31</v>
      </c>
      <c r="P1129">
        <v>258501.95</v>
      </c>
      <c r="Q1129" s="1" t="s">
        <v>3753</v>
      </c>
      <c r="R1129">
        <v>80</v>
      </c>
      <c r="S1129" s="1" t="s">
        <v>3754</v>
      </c>
      <c r="T1129" t="b">
        <v>0</v>
      </c>
    </row>
    <row r="1130" spans="1:20" x14ac:dyDescent="0.25">
      <c r="A1130" s="1" t="s">
        <v>3755</v>
      </c>
      <c r="B1130" s="1" t="s">
        <v>348</v>
      </c>
      <c r="C1130" s="1" t="s">
        <v>444</v>
      </c>
      <c r="D1130" s="1" t="s">
        <v>288</v>
      </c>
      <c r="E1130" s="1" t="s">
        <v>57</v>
      </c>
      <c r="F1130" s="1" t="s">
        <v>25</v>
      </c>
      <c r="G1130" s="2">
        <v>44904</v>
      </c>
      <c r="H1130" s="2">
        <v>44929</v>
      </c>
      <c r="I1130">
        <v>40</v>
      </c>
      <c r="J1130">
        <v>25</v>
      </c>
      <c r="K1130">
        <v>0</v>
      </c>
      <c r="L1130" s="1" t="s">
        <v>26</v>
      </c>
      <c r="M1130">
        <v>210.5</v>
      </c>
      <c r="N1130">
        <v>690914.37</v>
      </c>
      <c r="O1130">
        <v>470966.65</v>
      </c>
      <c r="P1130">
        <v>224537.23</v>
      </c>
      <c r="Q1130" s="1" t="s">
        <v>3756</v>
      </c>
      <c r="R1130">
        <v>77</v>
      </c>
      <c r="S1130" s="1" t="s">
        <v>3757</v>
      </c>
      <c r="T1130" t="b">
        <v>1</v>
      </c>
    </row>
    <row r="1131" spans="1:20" x14ac:dyDescent="0.25">
      <c r="A1131" s="1" t="s">
        <v>3758</v>
      </c>
      <c r="B1131" s="1" t="s">
        <v>174</v>
      </c>
      <c r="C1131" s="1" t="s">
        <v>1827</v>
      </c>
      <c r="D1131" s="1" t="s">
        <v>410</v>
      </c>
      <c r="E1131" s="1" t="s">
        <v>49</v>
      </c>
      <c r="F1131" s="1" t="s">
        <v>50</v>
      </c>
      <c r="G1131" s="2">
        <v>45448</v>
      </c>
      <c r="H1131" s="2"/>
      <c r="I1131">
        <v>25</v>
      </c>
      <c r="J1131">
        <v>24</v>
      </c>
      <c r="K1131">
        <v>0</v>
      </c>
      <c r="L1131" s="1" t="s">
        <v>26</v>
      </c>
      <c r="M1131">
        <v>170.8</v>
      </c>
      <c r="N1131">
        <v>696724.31</v>
      </c>
      <c r="O1131">
        <v>3255929.37</v>
      </c>
      <c r="P1131">
        <v>663536.96</v>
      </c>
      <c r="Q1131" s="1" t="s">
        <v>3759</v>
      </c>
      <c r="R1131">
        <v>53</v>
      </c>
      <c r="S1131" s="1" t="s">
        <v>3760</v>
      </c>
      <c r="T1131" t="b">
        <v>0</v>
      </c>
    </row>
    <row r="1132" spans="1:20" x14ac:dyDescent="0.25">
      <c r="A1132" s="1" t="s">
        <v>3761</v>
      </c>
      <c r="B1132" s="1" t="s">
        <v>111</v>
      </c>
      <c r="C1132" s="1" t="s">
        <v>823</v>
      </c>
      <c r="D1132" s="1" t="s">
        <v>216</v>
      </c>
      <c r="E1132" s="1" t="s">
        <v>41</v>
      </c>
      <c r="F1132" s="1" t="s">
        <v>50</v>
      </c>
      <c r="G1132" s="2">
        <v>45261</v>
      </c>
      <c r="H1132" s="2"/>
      <c r="I1132">
        <v>9</v>
      </c>
      <c r="J1132">
        <v>5</v>
      </c>
      <c r="K1132">
        <v>0</v>
      </c>
      <c r="L1132" s="1" t="s">
        <v>26</v>
      </c>
      <c r="M1132">
        <v>33.4</v>
      </c>
      <c r="N1132">
        <v>100223.91</v>
      </c>
      <c r="O1132">
        <v>2270302.08</v>
      </c>
      <c r="P1132">
        <v>373904.18</v>
      </c>
      <c r="Q1132" s="1" t="s">
        <v>3762</v>
      </c>
      <c r="R1132">
        <v>20</v>
      </c>
      <c r="S1132" s="1" t="s">
        <v>3763</v>
      </c>
      <c r="T1132" t="b">
        <v>1</v>
      </c>
    </row>
    <row r="1133" spans="1:20" x14ac:dyDescent="0.25">
      <c r="A1133" s="1" t="s">
        <v>3764</v>
      </c>
      <c r="B1133" s="1" t="s">
        <v>54</v>
      </c>
      <c r="C1133" s="1" t="s">
        <v>3385</v>
      </c>
      <c r="D1133" s="1" t="s">
        <v>758</v>
      </c>
      <c r="E1133" s="1" t="s">
        <v>33</v>
      </c>
      <c r="F1133" s="1" t="s">
        <v>34</v>
      </c>
      <c r="G1133" s="2">
        <v>45132</v>
      </c>
      <c r="H1133" s="2"/>
      <c r="I1133">
        <v>12</v>
      </c>
      <c r="J1133">
        <v>6</v>
      </c>
      <c r="K1133">
        <v>0</v>
      </c>
      <c r="L1133" s="1" t="s">
        <v>26</v>
      </c>
      <c r="M1133">
        <v>90.6</v>
      </c>
      <c r="N1133">
        <v>317019.31</v>
      </c>
      <c r="O1133">
        <v>1791978.49</v>
      </c>
      <c r="P1133">
        <v>243062.13</v>
      </c>
      <c r="Q1133" s="1" t="s">
        <v>3765</v>
      </c>
      <c r="R1133">
        <v>61</v>
      </c>
      <c r="S1133" s="1" t="s">
        <v>3766</v>
      </c>
      <c r="T1133" t="b">
        <v>1</v>
      </c>
    </row>
    <row r="1134" spans="1:20" x14ac:dyDescent="0.25">
      <c r="A1134" s="1" t="s">
        <v>3767</v>
      </c>
      <c r="B1134" s="1" t="s">
        <v>111</v>
      </c>
      <c r="C1134" s="1" t="s">
        <v>869</v>
      </c>
      <c r="D1134" s="1" t="s">
        <v>595</v>
      </c>
      <c r="E1134" s="1" t="s">
        <v>33</v>
      </c>
      <c r="F1134" s="1" t="s">
        <v>25</v>
      </c>
      <c r="G1134" s="2">
        <v>44636</v>
      </c>
      <c r="H1134" s="2">
        <v>44649</v>
      </c>
      <c r="I1134">
        <v>12</v>
      </c>
      <c r="J1134">
        <v>13</v>
      </c>
      <c r="K1134">
        <v>1</v>
      </c>
      <c r="L1134" s="1" t="s">
        <v>26</v>
      </c>
      <c r="M1134">
        <v>185.6</v>
      </c>
      <c r="N1134">
        <v>423370.26</v>
      </c>
      <c r="O1134">
        <v>648837.59</v>
      </c>
      <c r="P1134">
        <v>140372.25</v>
      </c>
      <c r="Q1134" s="1" t="s">
        <v>3768</v>
      </c>
      <c r="R1134">
        <v>21</v>
      </c>
      <c r="S1134" s="1" t="s">
        <v>3769</v>
      </c>
      <c r="T1134" t="b">
        <v>0</v>
      </c>
    </row>
    <row r="1135" spans="1:20" x14ac:dyDescent="0.25">
      <c r="A1135" s="1" t="s">
        <v>3770</v>
      </c>
      <c r="B1135" s="1" t="s">
        <v>138</v>
      </c>
      <c r="C1135" s="1" t="s">
        <v>521</v>
      </c>
      <c r="D1135" s="1" t="s">
        <v>1022</v>
      </c>
      <c r="E1135" s="1" t="s">
        <v>49</v>
      </c>
      <c r="F1135" s="1" t="s">
        <v>34</v>
      </c>
      <c r="G1135" s="2">
        <v>45026</v>
      </c>
      <c r="H1135" s="2"/>
      <c r="I1135">
        <v>25</v>
      </c>
      <c r="J1135">
        <v>35</v>
      </c>
      <c r="K1135">
        <v>10</v>
      </c>
      <c r="L1135" s="1" t="s">
        <v>193</v>
      </c>
      <c r="M1135">
        <v>191.8</v>
      </c>
      <c r="N1135">
        <v>820880.45</v>
      </c>
      <c r="O1135">
        <v>3817688.5</v>
      </c>
      <c r="P1135">
        <v>709277.36</v>
      </c>
      <c r="Q1135" s="1" t="s">
        <v>3771</v>
      </c>
      <c r="R1135">
        <v>32</v>
      </c>
      <c r="S1135" s="1" t="s">
        <v>3772</v>
      </c>
      <c r="T1135" t="b">
        <v>0</v>
      </c>
    </row>
    <row r="1136" spans="1:20" x14ac:dyDescent="0.25">
      <c r="A1136" s="1" t="s">
        <v>3773</v>
      </c>
      <c r="B1136" s="1" t="s">
        <v>30</v>
      </c>
      <c r="C1136" s="1" t="s">
        <v>907</v>
      </c>
      <c r="D1136" s="1" t="s">
        <v>622</v>
      </c>
      <c r="E1136" s="1" t="s">
        <v>24</v>
      </c>
      <c r="F1136" s="1" t="s">
        <v>34</v>
      </c>
      <c r="G1136" s="2">
        <v>45270</v>
      </c>
      <c r="H1136" s="2"/>
      <c r="I1136">
        <v>3</v>
      </c>
      <c r="J1136">
        <v>2</v>
      </c>
      <c r="K1136">
        <v>0</v>
      </c>
      <c r="L1136" s="1" t="s">
        <v>26</v>
      </c>
      <c r="M1136">
        <v>20.399999999999999</v>
      </c>
      <c r="N1136">
        <v>58243.360000000001</v>
      </c>
      <c r="O1136">
        <v>4533356.08</v>
      </c>
      <c r="P1136">
        <v>471460.37</v>
      </c>
      <c r="Q1136" s="1" t="s">
        <v>3774</v>
      </c>
      <c r="R1136">
        <v>28</v>
      </c>
      <c r="S1136" s="1" t="s">
        <v>3775</v>
      </c>
      <c r="T1136" t="b">
        <v>0</v>
      </c>
    </row>
    <row r="1137" spans="1:20" x14ac:dyDescent="0.25">
      <c r="A1137" s="1" t="s">
        <v>3776</v>
      </c>
      <c r="B1137" s="1" t="s">
        <v>253</v>
      </c>
      <c r="C1137" s="1" t="s">
        <v>1364</v>
      </c>
      <c r="D1137" s="1" t="s">
        <v>713</v>
      </c>
      <c r="E1137" s="1" t="s">
        <v>41</v>
      </c>
      <c r="F1137" s="1" t="s">
        <v>34</v>
      </c>
      <c r="G1137" s="2">
        <v>45283</v>
      </c>
      <c r="H1137" s="2"/>
      <c r="I1137">
        <v>9</v>
      </c>
      <c r="J1137">
        <v>6</v>
      </c>
      <c r="K1137">
        <v>0</v>
      </c>
      <c r="L1137" s="1" t="s">
        <v>26</v>
      </c>
      <c r="M1137">
        <v>89.5</v>
      </c>
      <c r="N1137">
        <v>196950.86</v>
      </c>
      <c r="O1137">
        <v>762373.67</v>
      </c>
      <c r="P1137">
        <v>162435.23000000001</v>
      </c>
      <c r="Q1137" s="1" t="s">
        <v>3777</v>
      </c>
      <c r="R1137">
        <v>53</v>
      </c>
      <c r="S1137" s="1" t="s">
        <v>3778</v>
      </c>
      <c r="T1137" t="b">
        <v>1</v>
      </c>
    </row>
    <row r="1138" spans="1:20" x14ac:dyDescent="0.25">
      <c r="A1138" s="1" t="s">
        <v>3779</v>
      </c>
      <c r="B1138" s="1" t="s">
        <v>286</v>
      </c>
      <c r="C1138" s="1" t="s">
        <v>697</v>
      </c>
      <c r="D1138" s="1" t="s">
        <v>670</v>
      </c>
      <c r="E1138" s="1" t="s">
        <v>24</v>
      </c>
      <c r="F1138" s="1" t="s">
        <v>25</v>
      </c>
      <c r="G1138" s="2">
        <v>44564</v>
      </c>
      <c r="H1138" s="2">
        <v>44568</v>
      </c>
      <c r="I1138">
        <v>3</v>
      </c>
      <c r="J1138">
        <v>4</v>
      </c>
      <c r="K1138">
        <v>1</v>
      </c>
      <c r="L1138" s="1" t="s">
        <v>26</v>
      </c>
      <c r="M1138">
        <v>49.2</v>
      </c>
      <c r="N1138">
        <v>198592.11</v>
      </c>
      <c r="O1138">
        <v>3910744.38</v>
      </c>
      <c r="P1138">
        <v>502185.38</v>
      </c>
      <c r="Q1138" s="1" t="s">
        <v>1067</v>
      </c>
      <c r="R1138">
        <v>52</v>
      </c>
      <c r="S1138" s="1" t="s">
        <v>3780</v>
      </c>
      <c r="T1138" t="b">
        <v>0</v>
      </c>
    </row>
    <row r="1139" spans="1:20" x14ac:dyDescent="0.25">
      <c r="A1139" s="1" t="s">
        <v>3781</v>
      </c>
      <c r="B1139" s="1" t="s">
        <v>105</v>
      </c>
      <c r="C1139" s="1" t="s">
        <v>221</v>
      </c>
      <c r="D1139" s="1" t="s">
        <v>165</v>
      </c>
      <c r="E1139" s="1" t="s">
        <v>65</v>
      </c>
      <c r="F1139" s="1" t="s">
        <v>25</v>
      </c>
      <c r="G1139" s="2">
        <v>44633</v>
      </c>
      <c r="H1139" s="2">
        <v>44635</v>
      </c>
      <c r="I1139">
        <v>4</v>
      </c>
      <c r="J1139">
        <v>2</v>
      </c>
      <c r="K1139">
        <v>0</v>
      </c>
      <c r="L1139" s="1" t="s">
        <v>26</v>
      </c>
      <c r="M1139">
        <v>29.8</v>
      </c>
      <c r="N1139">
        <v>97991.73</v>
      </c>
      <c r="O1139">
        <v>2300982.39</v>
      </c>
      <c r="P1139">
        <v>362593.1</v>
      </c>
      <c r="Q1139" s="1" t="s">
        <v>3782</v>
      </c>
      <c r="R1139">
        <v>30</v>
      </c>
      <c r="S1139" s="1" t="s">
        <v>3783</v>
      </c>
      <c r="T1139" t="b">
        <v>1</v>
      </c>
    </row>
    <row r="1140" spans="1:20" x14ac:dyDescent="0.25">
      <c r="A1140" s="1" t="s">
        <v>3784</v>
      </c>
      <c r="B1140" s="1" t="s">
        <v>93</v>
      </c>
      <c r="C1140" s="1" t="s">
        <v>2273</v>
      </c>
      <c r="D1140" s="1" t="s">
        <v>89</v>
      </c>
      <c r="E1140" s="1" t="s">
        <v>33</v>
      </c>
      <c r="F1140" s="1" t="s">
        <v>25</v>
      </c>
      <c r="G1140" s="2">
        <v>45342</v>
      </c>
      <c r="H1140" s="2">
        <v>45348</v>
      </c>
      <c r="I1140">
        <v>12</v>
      </c>
      <c r="J1140">
        <v>6</v>
      </c>
      <c r="K1140">
        <v>0</v>
      </c>
      <c r="L1140" s="1" t="s">
        <v>26</v>
      </c>
      <c r="M1140">
        <v>59.4</v>
      </c>
      <c r="N1140">
        <v>131934.62</v>
      </c>
      <c r="O1140">
        <v>507885.64</v>
      </c>
      <c r="P1140">
        <v>105238.03</v>
      </c>
      <c r="Q1140" s="1" t="s">
        <v>3785</v>
      </c>
      <c r="R1140">
        <v>55</v>
      </c>
      <c r="S1140" s="1" t="s">
        <v>3786</v>
      </c>
      <c r="T1140" t="b">
        <v>1</v>
      </c>
    </row>
    <row r="1141" spans="1:20" x14ac:dyDescent="0.25">
      <c r="A1141" s="1" t="s">
        <v>3787</v>
      </c>
      <c r="B1141" s="1" t="s">
        <v>169</v>
      </c>
      <c r="C1141" s="1" t="s">
        <v>1834</v>
      </c>
      <c r="D1141" s="1" t="s">
        <v>176</v>
      </c>
      <c r="E1141" s="1" t="s">
        <v>65</v>
      </c>
      <c r="F1141" s="1" t="s">
        <v>34</v>
      </c>
      <c r="G1141" s="2">
        <v>44745</v>
      </c>
      <c r="H1141" s="2"/>
      <c r="I1141">
        <v>4</v>
      </c>
      <c r="J1141">
        <v>7</v>
      </c>
      <c r="K1141">
        <v>2.5</v>
      </c>
      <c r="L1141" s="1" t="s">
        <v>26</v>
      </c>
      <c r="M1141">
        <v>105.5</v>
      </c>
      <c r="N1141">
        <v>406968.46</v>
      </c>
      <c r="O1141">
        <v>2675320.52</v>
      </c>
      <c r="P1141">
        <v>387835.38</v>
      </c>
      <c r="Q1141" s="1" t="s">
        <v>3788</v>
      </c>
      <c r="R1141">
        <v>29</v>
      </c>
      <c r="S1141" s="1" t="s">
        <v>3789</v>
      </c>
      <c r="T1141" t="b">
        <v>1</v>
      </c>
    </row>
    <row r="1142" spans="1:20" x14ac:dyDescent="0.25">
      <c r="A1142" s="1" t="s">
        <v>3790</v>
      </c>
      <c r="B1142" s="1" t="s">
        <v>471</v>
      </c>
      <c r="C1142" s="1" t="s">
        <v>1664</v>
      </c>
      <c r="D1142" s="1" t="s">
        <v>202</v>
      </c>
      <c r="E1142" s="1" t="s">
        <v>41</v>
      </c>
      <c r="F1142" s="1" t="s">
        <v>25</v>
      </c>
      <c r="G1142" s="2">
        <v>45005</v>
      </c>
      <c r="H1142" s="2">
        <v>45010</v>
      </c>
      <c r="I1142">
        <v>9</v>
      </c>
      <c r="J1142">
        <v>5</v>
      </c>
      <c r="K1142">
        <v>0</v>
      </c>
      <c r="L1142" s="1" t="s">
        <v>26</v>
      </c>
      <c r="M1142">
        <v>77.099999999999994</v>
      </c>
      <c r="N1142">
        <v>330222.01</v>
      </c>
      <c r="O1142">
        <v>2546707.77</v>
      </c>
      <c r="P1142">
        <v>470303.34</v>
      </c>
      <c r="Q1142" s="1" t="s">
        <v>3791</v>
      </c>
      <c r="R1142">
        <v>62</v>
      </c>
      <c r="S1142" s="1" t="s">
        <v>3792</v>
      </c>
      <c r="T1142" t="b">
        <v>1</v>
      </c>
    </row>
    <row r="1143" spans="1:20" x14ac:dyDescent="0.25">
      <c r="A1143" s="1" t="s">
        <v>3793</v>
      </c>
      <c r="B1143" s="1" t="s">
        <v>62</v>
      </c>
      <c r="C1143" s="1" t="s">
        <v>248</v>
      </c>
      <c r="D1143" s="1" t="s">
        <v>249</v>
      </c>
      <c r="E1143" s="1" t="s">
        <v>57</v>
      </c>
      <c r="F1143" s="1" t="s">
        <v>34</v>
      </c>
      <c r="G1143" s="2">
        <v>44939</v>
      </c>
      <c r="H1143" s="2"/>
      <c r="I1143">
        <v>40</v>
      </c>
      <c r="J1143">
        <v>42</v>
      </c>
      <c r="K1143">
        <v>2</v>
      </c>
      <c r="L1143" s="1" t="s">
        <v>26</v>
      </c>
      <c r="M1143">
        <v>372.1</v>
      </c>
      <c r="N1143">
        <v>1048567.66</v>
      </c>
      <c r="O1143">
        <v>4107053.9</v>
      </c>
      <c r="P1143">
        <v>834144.73</v>
      </c>
      <c r="Q1143" s="1" t="s">
        <v>3794</v>
      </c>
      <c r="R1143">
        <v>73</v>
      </c>
      <c r="S1143" s="1" t="s">
        <v>3795</v>
      </c>
      <c r="T1143" t="b">
        <v>0</v>
      </c>
    </row>
    <row r="1144" spans="1:20" x14ac:dyDescent="0.25">
      <c r="A1144" s="1" t="s">
        <v>3796</v>
      </c>
      <c r="B1144" s="1" t="s">
        <v>30</v>
      </c>
      <c r="C1144" s="1" t="s">
        <v>459</v>
      </c>
      <c r="D1144" s="1" t="s">
        <v>268</v>
      </c>
      <c r="E1144" s="1" t="s">
        <v>33</v>
      </c>
      <c r="F1144" s="1" t="s">
        <v>50</v>
      </c>
      <c r="G1144" s="2">
        <v>45063</v>
      </c>
      <c r="H1144" s="2"/>
      <c r="I1144">
        <v>12</v>
      </c>
      <c r="J1144">
        <v>16</v>
      </c>
      <c r="K1144">
        <v>4</v>
      </c>
      <c r="L1144" s="1" t="s">
        <v>58</v>
      </c>
      <c r="M1144">
        <v>86</v>
      </c>
      <c r="N1144">
        <v>167668.96</v>
      </c>
      <c r="O1144">
        <v>1990130.53</v>
      </c>
      <c r="P1144">
        <v>386889.74</v>
      </c>
      <c r="Q1144" s="1" t="s">
        <v>3797</v>
      </c>
      <c r="R1144">
        <v>74</v>
      </c>
      <c r="S1144" s="1" t="s">
        <v>3798</v>
      </c>
      <c r="T1144" t="b">
        <v>0</v>
      </c>
    </row>
    <row r="1145" spans="1:20" x14ac:dyDescent="0.25">
      <c r="A1145" s="1" t="s">
        <v>3799</v>
      </c>
      <c r="B1145" s="1" t="s">
        <v>334</v>
      </c>
      <c r="C1145" s="1" t="s">
        <v>404</v>
      </c>
      <c r="D1145" s="1" t="s">
        <v>187</v>
      </c>
      <c r="E1145" s="1" t="s">
        <v>41</v>
      </c>
      <c r="F1145" s="1" t="s">
        <v>66</v>
      </c>
      <c r="G1145" s="2">
        <v>44811</v>
      </c>
      <c r="H1145" s="2"/>
      <c r="I1145">
        <v>9</v>
      </c>
      <c r="J1145">
        <v>8</v>
      </c>
      <c r="K1145">
        <v>0</v>
      </c>
      <c r="L1145" s="1" t="s">
        <v>26</v>
      </c>
      <c r="M1145">
        <v>46.3</v>
      </c>
      <c r="N1145">
        <v>194408.71</v>
      </c>
      <c r="O1145">
        <v>367968.12</v>
      </c>
      <c r="P1145">
        <v>99808.86</v>
      </c>
      <c r="Q1145" s="1" t="s">
        <v>3800</v>
      </c>
      <c r="R1145">
        <v>45</v>
      </c>
      <c r="S1145" s="1" t="s">
        <v>3801</v>
      </c>
      <c r="T1145" t="b">
        <v>1</v>
      </c>
    </row>
    <row r="1146" spans="1:20" x14ac:dyDescent="0.25">
      <c r="A1146" s="1" t="s">
        <v>3802</v>
      </c>
      <c r="B1146" s="1" t="s">
        <v>46</v>
      </c>
      <c r="C1146" s="1" t="s">
        <v>614</v>
      </c>
      <c r="D1146" s="1" t="s">
        <v>56</v>
      </c>
      <c r="E1146" s="1" t="s">
        <v>41</v>
      </c>
      <c r="F1146" s="1" t="s">
        <v>25</v>
      </c>
      <c r="G1146" s="2">
        <v>45531</v>
      </c>
      <c r="H1146" s="2">
        <v>45540</v>
      </c>
      <c r="I1146">
        <v>9</v>
      </c>
      <c r="J1146">
        <v>9</v>
      </c>
      <c r="K1146">
        <v>0</v>
      </c>
      <c r="L1146" s="1" t="s">
        <v>26</v>
      </c>
      <c r="M1146">
        <v>42.8</v>
      </c>
      <c r="N1146">
        <v>161456.29999999999</v>
      </c>
      <c r="O1146">
        <v>3955863.25</v>
      </c>
      <c r="P1146">
        <v>430273.45</v>
      </c>
      <c r="Q1146" s="1" t="s">
        <v>3803</v>
      </c>
      <c r="R1146">
        <v>25</v>
      </c>
      <c r="S1146" s="1" t="s">
        <v>3804</v>
      </c>
      <c r="T1146" t="b">
        <v>0</v>
      </c>
    </row>
    <row r="1147" spans="1:20" x14ac:dyDescent="0.25">
      <c r="A1147" s="1" t="s">
        <v>3805</v>
      </c>
      <c r="B1147" s="1" t="s">
        <v>185</v>
      </c>
      <c r="C1147" s="1" t="s">
        <v>139</v>
      </c>
      <c r="D1147" s="1" t="s">
        <v>130</v>
      </c>
      <c r="E1147" s="1" t="s">
        <v>33</v>
      </c>
      <c r="F1147" s="1" t="s">
        <v>25</v>
      </c>
      <c r="G1147" s="2">
        <v>45110</v>
      </c>
      <c r="H1147" s="2">
        <v>45125</v>
      </c>
      <c r="I1147">
        <v>12</v>
      </c>
      <c r="J1147">
        <v>15</v>
      </c>
      <c r="K1147">
        <v>3</v>
      </c>
      <c r="L1147" s="1" t="s">
        <v>26</v>
      </c>
      <c r="M1147">
        <v>198</v>
      </c>
      <c r="N1147">
        <v>716308.99</v>
      </c>
      <c r="O1147">
        <v>1656442.1</v>
      </c>
      <c r="P1147">
        <v>301723.58</v>
      </c>
      <c r="Q1147" s="1" t="s">
        <v>3352</v>
      </c>
      <c r="R1147">
        <v>33</v>
      </c>
      <c r="S1147" s="1" t="s">
        <v>3806</v>
      </c>
      <c r="T1147" t="b">
        <v>0</v>
      </c>
    </row>
    <row r="1148" spans="1:20" x14ac:dyDescent="0.25">
      <c r="A1148" s="1" t="s">
        <v>3807</v>
      </c>
      <c r="B1148" s="1" t="s">
        <v>174</v>
      </c>
      <c r="C1148" s="1" t="s">
        <v>1794</v>
      </c>
      <c r="D1148" s="1" t="s">
        <v>159</v>
      </c>
      <c r="E1148" s="1" t="s">
        <v>49</v>
      </c>
      <c r="F1148" s="1" t="s">
        <v>25</v>
      </c>
      <c r="G1148" s="2">
        <v>45485</v>
      </c>
      <c r="H1148" s="2">
        <v>45506</v>
      </c>
      <c r="I1148">
        <v>25</v>
      </c>
      <c r="J1148">
        <v>21</v>
      </c>
      <c r="K1148">
        <v>0</v>
      </c>
      <c r="L1148" s="1" t="s">
        <v>26</v>
      </c>
      <c r="M1148">
        <v>286.8</v>
      </c>
      <c r="N1148">
        <v>562855.02</v>
      </c>
      <c r="O1148">
        <v>4019106.32</v>
      </c>
      <c r="P1148">
        <v>829886.43</v>
      </c>
      <c r="Q1148" s="1" t="s">
        <v>3808</v>
      </c>
      <c r="R1148">
        <v>59</v>
      </c>
      <c r="S1148" s="1" t="s">
        <v>3809</v>
      </c>
      <c r="T1148" t="b">
        <v>0</v>
      </c>
    </row>
    <row r="1149" spans="1:20" x14ac:dyDescent="0.25">
      <c r="A1149" s="1" t="s">
        <v>3810</v>
      </c>
      <c r="B1149" s="1" t="s">
        <v>253</v>
      </c>
      <c r="C1149" s="1" t="s">
        <v>419</v>
      </c>
      <c r="D1149" s="1" t="s">
        <v>216</v>
      </c>
      <c r="E1149" s="1" t="s">
        <v>57</v>
      </c>
      <c r="F1149" s="1" t="s">
        <v>34</v>
      </c>
      <c r="G1149" s="2">
        <v>44758</v>
      </c>
      <c r="H1149" s="2"/>
      <c r="I1149">
        <v>40</v>
      </c>
      <c r="J1149">
        <v>25</v>
      </c>
      <c r="K1149">
        <v>0</v>
      </c>
      <c r="L1149" s="1" t="s">
        <v>26</v>
      </c>
      <c r="M1149">
        <v>144.9</v>
      </c>
      <c r="N1149">
        <v>289493.88</v>
      </c>
      <c r="O1149">
        <v>1016908.87</v>
      </c>
      <c r="P1149">
        <v>162470.9</v>
      </c>
      <c r="Q1149" s="1" t="s">
        <v>3811</v>
      </c>
      <c r="R1149">
        <v>54</v>
      </c>
      <c r="S1149" s="1" t="s">
        <v>3812</v>
      </c>
      <c r="T1149" t="b">
        <v>0</v>
      </c>
    </row>
    <row r="1150" spans="1:20" x14ac:dyDescent="0.25">
      <c r="A1150" s="1" t="s">
        <v>3813</v>
      </c>
      <c r="B1150" s="1" t="s">
        <v>46</v>
      </c>
      <c r="C1150" s="1" t="s">
        <v>730</v>
      </c>
      <c r="D1150" s="1" t="s">
        <v>230</v>
      </c>
      <c r="E1150" s="1" t="s">
        <v>33</v>
      </c>
      <c r="F1150" s="1" t="s">
        <v>66</v>
      </c>
      <c r="G1150" s="2">
        <v>45393</v>
      </c>
      <c r="H1150" s="2"/>
      <c r="I1150">
        <v>12</v>
      </c>
      <c r="J1150">
        <v>14</v>
      </c>
      <c r="K1150">
        <v>2</v>
      </c>
      <c r="L1150" s="1" t="s">
        <v>26</v>
      </c>
      <c r="M1150">
        <v>135.69999999999999</v>
      </c>
      <c r="N1150">
        <v>271443.7</v>
      </c>
      <c r="O1150">
        <v>2137548.63</v>
      </c>
      <c r="P1150">
        <v>456069.55</v>
      </c>
      <c r="Q1150" s="1" t="s">
        <v>3814</v>
      </c>
      <c r="R1150">
        <v>61</v>
      </c>
      <c r="S1150" s="1" t="s">
        <v>3815</v>
      </c>
      <c r="T1150" t="b">
        <v>0</v>
      </c>
    </row>
    <row r="1151" spans="1:20" x14ac:dyDescent="0.25">
      <c r="A1151" s="1" t="s">
        <v>3816</v>
      </c>
      <c r="B1151" s="1" t="s">
        <v>328</v>
      </c>
      <c r="C1151" s="1" t="s">
        <v>865</v>
      </c>
      <c r="D1151" s="1" t="s">
        <v>1022</v>
      </c>
      <c r="E1151" s="1" t="s">
        <v>65</v>
      </c>
      <c r="F1151" s="1" t="s">
        <v>25</v>
      </c>
      <c r="G1151" s="2">
        <v>44619</v>
      </c>
      <c r="H1151" s="2">
        <v>44627</v>
      </c>
      <c r="I1151">
        <v>4</v>
      </c>
      <c r="J1151">
        <v>8</v>
      </c>
      <c r="K1151">
        <v>3.5</v>
      </c>
      <c r="L1151" s="1" t="s">
        <v>26</v>
      </c>
      <c r="M1151">
        <v>94.3</v>
      </c>
      <c r="N1151">
        <v>276766.99</v>
      </c>
      <c r="O1151">
        <v>1193784.81</v>
      </c>
      <c r="P1151">
        <v>240788.51</v>
      </c>
      <c r="Q1151" s="1" t="s">
        <v>3817</v>
      </c>
      <c r="R1151">
        <v>58</v>
      </c>
      <c r="S1151" s="1" t="s">
        <v>3818</v>
      </c>
      <c r="T1151" t="b">
        <v>1</v>
      </c>
    </row>
    <row r="1152" spans="1:20" x14ac:dyDescent="0.25">
      <c r="A1152" s="1" t="s">
        <v>3819</v>
      </c>
      <c r="B1152" s="1" t="s">
        <v>471</v>
      </c>
      <c r="C1152" s="1" t="s">
        <v>1134</v>
      </c>
      <c r="D1152" s="1" t="s">
        <v>154</v>
      </c>
      <c r="E1152" s="1" t="s">
        <v>24</v>
      </c>
      <c r="F1152" s="1" t="s">
        <v>25</v>
      </c>
      <c r="G1152" s="2">
        <v>45344</v>
      </c>
      <c r="H1152" s="2">
        <v>45346</v>
      </c>
      <c r="I1152">
        <v>3</v>
      </c>
      <c r="J1152">
        <v>2</v>
      </c>
      <c r="K1152">
        <v>0</v>
      </c>
      <c r="L1152" s="1" t="s">
        <v>26</v>
      </c>
      <c r="M1152">
        <v>8.6999999999999993</v>
      </c>
      <c r="N1152">
        <v>27698.49</v>
      </c>
      <c r="O1152">
        <v>3628155.24</v>
      </c>
      <c r="P1152">
        <v>576973.56999999995</v>
      </c>
      <c r="Q1152" s="1" t="s">
        <v>3820</v>
      </c>
      <c r="R1152">
        <v>27</v>
      </c>
      <c r="S1152" s="1" t="s">
        <v>3821</v>
      </c>
      <c r="T1152" t="b">
        <v>1</v>
      </c>
    </row>
    <row r="1153" spans="1:20" x14ac:dyDescent="0.25">
      <c r="A1153" s="1" t="s">
        <v>3822</v>
      </c>
      <c r="B1153" s="1" t="s">
        <v>451</v>
      </c>
      <c r="C1153" s="1" t="s">
        <v>440</v>
      </c>
      <c r="D1153" s="1" t="s">
        <v>405</v>
      </c>
      <c r="E1153" s="1" t="s">
        <v>33</v>
      </c>
      <c r="F1153" s="1" t="s">
        <v>50</v>
      </c>
      <c r="G1153" s="2">
        <v>45282</v>
      </c>
      <c r="H1153" s="2"/>
      <c r="I1153">
        <v>12</v>
      </c>
      <c r="J1153">
        <v>11</v>
      </c>
      <c r="K1153">
        <v>0</v>
      </c>
      <c r="L1153" s="1" t="s">
        <v>26</v>
      </c>
      <c r="M1153">
        <v>108.2</v>
      </c>
      <c r="N1153">
        <v>305228.63</v>
      </c>
      <c r="O1153">
        <v>4966004.72</v>
      </c>
      <c r="P1153">
        <v>823915.05</v>
      </c>
      <c r="Q1153" s="1" t="s">
        <v>3823</v>
      </c>
      <c r="R1153">
        <v>23</v>
      </c>
      <c r="S1153" s="1" t="s">
        <v>3824</v>
      </c>
      <c r="T1153" t="b">
        <v>1</v>
      </c>
    </row>
    <row r="1154" spans="1:20" x14ac:dyDescent="0.25">
      <c r="A1154" s="1" t="s">
        <v>3825</v>
      </c>
      <c r="B1154" s="1" t="s">
        <v>169</v>
      </c>
      <c r="C1154" s="1" t="s">
        <v>490</v>
      </c>
      <c r="D1154" s="1" t="s">
        <v>48</v>
      </c>
      <c r="E1154" s="1" t="s">
        <v>65</v>
      </c>
      <c r="F1154" s="1" t="s">
        <v>66</v>
      </c>
      <c r="G1154" s="2">
        <v>44849</v>
      </c>
      <c r="H1154" s="2"/>
      <c r="I1154">
        <v>4</v>
      </c>
      <c r="J1154">
        <v>8</v>
      </c>
      <c r="K1154">
        <v>3.5</v>
      </c>
      <c r="L1154" s="1" t="s">
        <v>26</v>
      </c>
      <c r="M1154">
        <v>70</v>
      </c>
      <c r="N1154">
        <v>184436.31</v>
      </c>
      <c r="O1154">
        <v>3330252.59</v>
      </c>
      <c r="P1154">
        <v>504448.69</v>
      </c>
      <c r="Q1154" s="1" t="s">
        <v>3826</v>
      </c>
      <c r="R1154">
        <v>80</v>
      </c>
      <c r="S1154" s="1" t="s">
        <v>3827</v>
      </c>
      <c r="T1154" t="b">
        <v>1</v>
      </c>
    </row>
    <row r="1155" spans="1:20" x14ac:dyDescent="0.25">
      <c r="A1155" s="1" t="s">
        <v>3828</v>
      </c>
      <c r="B1155" s="1" t="s">
        <v>545</v>
      </c>
      <c r="C1155" s="1" t="s">
        <v>301</v>
      </c>
      <c r="D1155" s="1" t="s">
        <v>350</v>
      </c>
      <c r="E1155" s="1" t="s">
        <v>57</v>
      </c>
      <c r="F1155" s="1" t="s">
        <v>25</v>
      </c>
      <c r="G1155" s="2">
        <v>45421</v>
      </c>
      <c r="H1155" s="2">
        <v>45463</v>
      </c>
      <c r="I1155">
        <v>40</v>
      </c>
      <c r="J1155">
        <v>42</v>
      </c>
      <c r="K1155">
        <v>2</v>
      </c>
      <c r="L1155" s="1" t="s">
        <v>26</v>
      </c>
      <c r="M1155">
        <v>383</v>
      </c>
      <c r="N1155">
        <v>1713787.42</v>
      </c>
      <c r="O1155">
        <v>1292088.51</v>
      </c>
      <c r="P1155">
        <v>399969.63</v>
      </c>
      <c r="Q1155" s="1" t="s">
        <v>3829</v>
      </c>
      <c r="R1155">
        <v>32</v>
      </c>
      <c r="S1155" s="1" t="s">
        <v>3830</v>
      </c>
      <c r="T1155" t="b">
        <v>1</v>
      </c>
    </row>
    <row r="1156" spans="1:20" x14ac:dyDescent="0.25">
      <c r="A1156" s="1" t="s">
        <v>3831</v>
      </c>
      <c r="B1156" s="1" t="s">
        <v>70</v>
      </c>
      <c r="C1156" s="1" t="s">
        <v>2256</v>
      </c>
      <c r="D1156" s="1" t="s">
        <v>410</v>
      </c>
      <c r="E1156" s="1" t="s">
        <v>24</v>
      </c>
      <c r="F1156" s="1" t="s">
        <v>66</v>
      </c>
      <c r="G1156" s="2">
        <v>45352</v>
      </c>
      <c r="H1156" s="2"/>
      <c r="I1156">
        <v>3</v>
      </c>
      <c r="J1156">
        <v>4</v>
      </c>
      <c r="K1156">
        <v>1</v>
      </c>
      <c r="L1156" s="1" t="s">
        <v>26</v>
      </c>
      <c r="M1156">
        <v>45.6</v>
      </c>
      <c r="N1156">
        <v>200630.53</v>
      </c>
      <c r="O1156">
        <v>2212483.35</v>
      </c>
      <c r="P1156">
        <v>267833.90999999997</v>
      </c>
      <c r="Q1156" s="1" t="s">
        <v>3832</v>
      </c>
      <c r="R1156">
        <v>44</v>
      </c>
      <c r="S1156" s="1" t="s">
        <v>3833</v>
      </c>
      <c r="T1156" t="b">
        <v>1</v>
      </c>
    </row>
    <row r="1157" spans="1:20" x14ac:dyDescent="0.25">
      <c r="A1157" s="1" t="s">
        <v>3834</v>
      </c>
      <c r="B1157" s="1" t="s">
        <v>38</v>
      </c>
      <c r="C1157" s="1" t="s">
        <v>2852</v>
      </c>
      <c r="D1157" s="1" t="s">
        <v>595</v>
      </c>
      <c r="E1157" s="1" t="s">
        <v>57</v>
      </c>
      <c r="F1157" s="1" t="s">
        <v>25</v>
      </c>
      <c r="G1157" s="2">
        <v>45219</v>
      </c>
      <c r="H1157" s="2">
        <v>45262</v>
      </c>
      <c r="I1157">
        <v>40</v>
      </c>
      <c r="J1157">
        <v>43</v>
      </c>
      <c r="K1157">
        <v>3</v>
      </c>
      <c r="L1157" s="1" t="s">
        <v>26</v>
      </c>
      <c r="M1157">
        <v>478.3</v>
      </c>
      <c r="N1157">
        <v>1789484.25</v>
      </c>
      <c r="O1157">
        <v>904438.82</v>
      </c>
      <c r="P1157">
        <v>363616.19</v>
      </c>
      <c r="Q1157" s="1" t="s">
        <v>3835</v>
      </c>
      <c r="R1157">
        <v>39</v>
      </c>
      <c r="S1157" s="1" t="s">
        <v>3836</v>
      </c>
      <c r="T1157" t="b">
        <v>1</v>
      </c>
    </row>
    <row r="1158" spans="1:20" x14ac:dyDescent="0.25">
      <c r="A1158" s="1" t="s">
        <v>3837</v>
      </c>
      <c r="B1158" s="1" t="s">
        <v>163</v>
      </c>
      <c r="C1158" s="1" t="s">
        <v>638</v>
      </c>
      <c r="D1158" s="1" t="s">
        <v>187</v>
      </c>
      <c r="E1158" s="1" t="s">
        <v>24</v>
      </c>
      <c r="F1158" s="1" t="s">
        <v>66</v>
      </c>
      <c r="G1158" s="2">
        <v>44722</v>
      </c>
      <c r="H1158" s="2"/>
      <c r="I1158">
        <v>3</v>
      </c>
      <c r="J1158">
        <v>3</v>
      </c>
      <c r="K1158">
        <v>0</v>
      </c>
      <c r="L1158" s="1" t="s">
        <v>26</v>
      </c>
      <c r="M1158">
        <v>45</v>
      </c>
      <c r="N1158">
        <v>156422.94</v>
      </c>
      <c r="O1158">
        <v>2802359.66</v>
      </c>
      <c r="P1158">
        <v>464504.24</v>
      </c>
      <c r="Q1158" s="1" t="s">
        <v>3838</v>
      </c>
      <c r="R1158">
        <v>47</v>
      </c>
      <c r="S1158" s="1" t="s">
        <v>3839</v>
      </c>
      <c r="T1158" t="b">
        <v>1</v>
      </c>
    </row>
    <row r="1159" spans="1:20" x14ac:dyDescent="0.25">
      <c r="A1159" s="1" t="s">
        <v>3840</v>
      </c>
      <c r="B1159" s="1" t="s">
        <v>328</v>
      </c>
      <c r="C1159" s="1" t="s">
        <v>1514</v>
      </c>
      <c r="D1159" s="1" t="s">
        <v>23</v>
      </c>
      <c r="E1159" s="1" t="s">
        <v>24</v>
      </c>
      <c r="F1159" s="1" t="s">
        <v>50</v>
      </c>
      <c r="G1159" s="2">
        <v>45173</v>
      </c>
      <c r="H1159" s="2"/>
      <c r="I1159">
        <v>3</v>
      </c>
      <c r="J1159">
        <v>3</v>
      </c>
      <c r="K1159">
        <v>0</v>
      </c>
      <c r="L1159" s="1" t="s">
        <v>26</v>
      </c>
      <c r="M1159">
        <v>43.5</v>
      </c>
      <c r="N1159">
        <v>188949.14</v>
      </c>
      <c r="O1159">
        <v>1467877.82</v>
      </c>
      <c r="P1159">
        <v>202365.95</v>
      </c>
      <c r="Q1159" s="1" t="s">
        <v>3841</v>
      </c>
      <c r="R1159">
        <v>56</v>
      </c>
      <c r="S1159" s="1" t="s">
        <v>3842</v>
      </c>
      <c r="T1159" t="b">
        <v>1</v>
      </c>
    </row>
    <row r="1160" spans="1:20" x14ac:dyDescent="0.25">
      <c r="A1160" s="1" t="s">
        <v>3843</v>
      </c>
      <c r="B1160" s="1" t="s">
        <v>403</v>
      </c>
      <c r="C1160" s="1" t="s">
        <v>1267</v>
      </c>
      <c r="D1160" s="1" t="s">
        <v>154</v>
      </c>
      <c r="E1160" s="1" t="s">
        <v>41</v>
      </c>
      <c r="F1160" s="1" t="s">
        <v>50</v>
      </c>
      <c r="G1160" s="2">
        <v>45058</v>
      </c>
      <c r="H1160" s="2"/>
      <c r="I1160">
        <v>9</v>
      </c>
      <c r="J1160">
        <v>7</v>
      </c>
      <c r="K1160">
        <v>0</v>
      </c>
      <c r="L1160" s="1" t="s">
        <v>26</v>
      </c>
      <c r="M1160">
        <v>51.2</v>
      </c>
      <c r="N1160">
        <v>154491.09</v>
      </c>
      <c r="O1160">
        <v>1139810.6200000001</v>
      </c>
      <c r="P1160">
        <v>243447.48</v>
      </c>
      <c r="Q1160" s="1" t="s">
        <v>3844</v>
      </c>
      <c r="R1160">
        <v>29</v>
      </c>
      <c r="S1160" s="1" t="s">
        <v>3845</v>
      </c>
      <c r="T1160" t="b">
        <v>1</v>
      </c>
    </row>
    <row r="1161" spans="1:20" x14ac:dyDescent="0.25">
      <c r="A1161" s="1" t="s">
        <v>3846</v>
      </c>
      <c r="B1161" s="1" t="s">
        <v>122</v>
      </c>
      <c r="C1161" s="1" t="s">
        <v>211</v>
      </c>
      <c r="D1161" s="1" t="s">
        <v>130</v>
      </c>
      <c r="E1161" s="1" t="s">
        <v>49</v>
      </c>
      <c r="F1161" s="1" t="s">
        <v>25</v>
      </c>
      <c r="G1161" s="2">
        <v>44659</v>
      </c>
      <c r="H1161" s="2">
        <v>44685</v>
      </c>
      <c r="I1161">
        <v>25</v>
      </c>
      <c r="J1161">
        <v>26</v>
      </c>
      <c r="K1161">
        <v>1</v>
      </c>
      <c r="L1161" s="1" t="s">
        <v>26</v>
      </c>
      <c r="M1161">
        <v>235.1</v>
      </c>
      <c r="N1161">
        <v>807494.36</v>
      </c>
      <c r="O1161">
        <v>2390369.92</v>
      </c>
      <c r="P1161">
        <v>618844.06000000006</v>
      </c>
      <c r="Q1161" s="1" t="s">
        <v>3847</v>
      </c>
      <c r="R1161">
        <v>74</v>
      </c>
      <c r="S1161" s="1" t="s">
        <v>3848</v>
      </c>
      <c r="T1161" t="b">
        <v>0</v>
      </c>
    </row>
    <row r="1162" spans="1:20" x14ac:dyDescent="0.25">
      <c r="A1162" s="1" t="s">
        <v>3849</v>
      </c>
      <c r="B1162" s="1" t="s">
        <v>451</v>
      </c>
      <c r="C1162" s="1" t="s">
        <v>1442</v>
      </c>
      <c r="D1162" s="1" t="s">
        <v>350</v>
      </c>
      <c r="E1162" s="1" t="s">
        <v>57</v>
      </c>
      <c r="F1162" s="1" t="s">
        <v>25</v>
      </c>
      <c r="G1162" s="2">
        <v>44766</v>
      </c>
      <c r="H1162" s="2">
        <v>44792</v>
      </c>
      <c r="I1162">
        <v>40</v>
      </c>
      <c r="J1162">
        <v>26</v>
      </c>
      <c r="K1162">
        <v>0</v>
      </c>
      <c r="L1162" s="1" t="s">
        <v>26</v>
      </c>
      <c r="M1162">
        <v>405.8</v>
      </c>
      <c r="N1162">
        <v>1823586.95</v>
      </c>
      <c r="O1162">
        <v>3803641.58</v>
      </c>
      <c r="P1162">
        <v>813440.11</v>
      </c>
      <c r="Q1162" s="1" t="s">
        <v>3850</v>
      </c>
      <c r="R1162">
        <v>40</v>
      </c>
      <c r="S1162" s="1" t="s">
        <v>3851</v>
      </c>
      <c r="T1162" t="b">
        <v>0</v>
      </c>
    </row>
    <row r="1163" spans="1:20" x14ac:dyDescent="0.25">
      <c r="A1163" s="1" t="s">
        <v>3852</v>
      </c>
      <c r="B1163" s="1" t="s">
        <v>70</v>
      </c>
      <c r="C1163" s="1" t="s">
        <v>22</v>
      </c>
      <c r="D1163" s="1" t="s">
        <v>249</v>
      </c>
      <c r="E1163" s="1" t="s">
        <v>24</v>
      </c>
      <c r="F1163" s="1" t="s">
        <v>25</v>
      </c>
      <c r="G1163" s="2">
        <v>45624</v>
      </c>
      <c r="H1163" s="2">
        <v>45627</v>
      </c>
      <c r="I1163">
        <v>3</v>
      </c>
      <c r="J1163">
        <v>3</v>
      </c>
      <c r="K1163">
        <v>0</v>
      </c>
      <c r="L1163" s="1" t="s">
        <v>26</v>
      </c>
      <c r="M1163">
        <v>34.700000000000003</v>
      </c>
      <c r="N1163">
        <v>135947.53</v>
      </c>
      <c r="O1163">
        <v>1859014.69</v>
      </c>
      <c r="P1163">
        <v>293781.65000000002</v>
      </c>
      <c r="Q1163" s="1" t="s">
        <v>3853</v>
      </c>
      <c r="R1163">
        <v>20</v>
      </c>
      <c r="S1163" s="1" t="s">
        <v>3854</v>
      </c>
      <c r="T1163" t="b">
        <v>1</v>
      </c>
    </row>
    <row r="1164" spans="1:20" x14ac:dyDescent="0.25">
      <c r="A1164" s="1" t="s">
        <v>3855</v>
      </c>
      <c r="B1164" s="1" t="s">
        <v>54</v>
      </c>
      <c r="C1164" s="1" t="s">
        <v>610</v>
      </c>
      <c r="D1164" s="1" t="s">
        <v>713</v>
      </c>
      <c r="E1164" s="1" t="s">
        <v>24</v>
      </c>
      <c r="F1164" s="1" t="s">
        <v>66</v>
      </c>
      <c r="G1164" s="2">
        <v>45180</v>
      </c>
      <c r="H1164" s="2"/>
      <c r="I1164">
        <v>3</v>
      </c>
      <c r="J1164">
        <v>4</v>
      </c>
      <c r="K1164">
        <v>1</v>
      </c>
      <c r="L1164" s="1" t="s">
        <v>26</v>
      </c>
      <c r="M1164">
        <v>56.7</v>
      </c>
      <c r="N1164">
        <v>160464.06</v>
      </c>
      <c r="O1164">
        <v>329800.58</v>
      </c>
      <c r="P1164">
        <v>84498.8</v>
      </c>
      <c r="Q1164" s="1" t="s">
        <v>960</v>
      </c>
      <c r="R1164">
        <v>67</v>
      </c>
      <c r="S1164" s="1" t="s">
        <v>3856</v>
      </c>
      <c r="T1164" t="b">
        <v>0</v>
      </c>
    </row>
    <row r="1165" spans="1:20" x14ac:dyDescent="0.25">
      <c r="A1165" s="1" t="s">
        <v>3857</v>
      </c>
      <c r="B1165" s="1" t="s">
        <v>21</v>
      </c>
      <c r="C1165" s="1" t="s">
        <v>1364</v>
      </c>
      <c r="D1165" s="1" t="s">
        <v>207</v>
      </c>
      <c r="E1165" s="1" t="s">
        <v>57</v>
      </c>
      <c r="F1165" s="1" t="s">
        <v>50</v>
      </c>
      <c r="G1165" s="2">
        <v>44780</v>
      </c>
      <c r="H1165" s="2"/>
      <c r="I1165">
        <v>40</v>
      </c>
      <c r="J1165">
        <v>27</v>
      </c>
      <c r="K1165">
        <v>0</v>
      </c>
      <c r="L1165" s="1" t="s">
        <v>26</v>
      </c>
      <c r="M1165">
        <v>174.1</v>
      </c>
      <c r="N1165">
        <v>719414.45</v>
      </c>
      <c r="O1165">
        <v>1673259.1</v>
      </c>
      <c r="P1165">
        <v>333414.83</v>
      </c>
      <c r="Q1165" s="1" t="s">
        <v>3858</v>
      </c>
      <c r="R1165">
        <v>57</v>
      </c>
      <c r="S1165" s="1" t="s">
        <v>3859</v>
      </c>
      <c r="T1165" t="b">
        <v>0</v>
      </c>
    </row>
    <row r="1166" spans="1:20" x14ac:dyDescent="0.25">
      <c r="A1166" s="1" t="s">
        <v>3860</v>
      </c>
      <c r="B1166" s="1" t="s">
        <v>99</v>
      </c>
      <c r="C1166" s="1" t="s">
        <v>3861</v>
      </c>
      <c r="D1166" s="1" t="s">
        <v>513</v>
      </c>
      <c r="E1166" s="1" t="s">
        <v>33</v>
      </c>
      <c r="F1166" s="1" t="s">
        <v>66</v>
      </c>
      <c r="G1166" s="2">
        <v>45527</v>
      </c>
      <c r="H1166" s="2"/>
      <c r="I1166">
        <v>12</v>
      </c>
      <c r="J1166">
        <v>12</v>
      </c>
      <c r="K1166">
        <v>0</v>
      </c>
      <c r="L1166" s="1" t="s">
        <v>26</v>
      </c>
      <c r="M1166">
        <v>187.8</v>
      </c>
      <c r="N1166">
        <v>378037.55</v>
      </c>
      <c r="O1166">
        <v>2872583.8</v>
      </c>
      <c r="P1166">
        <v>396055.99</v>
      </c>
      <c r="Q1166" s="1" t="s">
        <v>3862</v>
      </c>
      <c r="R1166">
        <v>36</v>
      </c>
      <c r="S1166" s="1" t="s">
        <v>3863</v>
      </c>
      <c r="T1166" t="b">
        <v>0</v>
      </c>
    </row>
    <row r="1167" spans="1:20" x14ac:dyDescent="0.25">
      <c r="A1167" s="1" t="s">
        <v>3864</v>
      </c>
      <c r="B1167" s="1" t="s">
        <v>111</v>
      </c>
      <c r="C1167" s="1" t="s">
        <v>292</v>
      </c>
      <c r="D1167" s="1" t="s">
        <v>154</v>
      </c>
      <c r="E1167" s="1" t="s">
        <v>65</v>
      </c>
      <c r="F1167" s="1" t="s">
        <v>25</v>
      </c>
      <c r="G1167" s="2">
        <v>45374</v>
      </c>
      <c r="H1167" s="2">
        <v>45376</v>
      </c>
      <c r="I1167">
        <v>4</v>
      </c>
      <c r="J1167">
        <v>2</v>
      </c>
      <c r="K1167">
        <v>0</v>
      </c>
      <c r="L1167" s="1" t="s">
        <v>26</v>
      </c>
      <c r="M1167">
        <v>9.6999999999999993</v>
      </c>
      <c r="N1167">
        <v>41935.83</v>
      </c>
      <c r="O1167">
        <v>2758143.04</v>
      </c>
      <c r="P1167">
        <v>293464.49</v>
      </c>
      <c r="Q1167" s="1" t="s">
        <v>3865</v>
      </c>
      <c r="R1167">
        <v>79</v>
      </c>
      <c r="S1167" s="1" t="s">
        <v>3866</v>
      </c>
      <c r="T1167" t="b">
        <v>1</v>
      </c>
    </row>
    <row r="1168" spans="1:20" x14ac:dyDescent="0.25">
      <c r="A1168" s="1" t="s">
        <v>3867</v>
      </c>
      <c r="B1168" s="1" t="s">
        <v>169</v>
      </c>
      <c r="C1168" s="1" t="s">
        <v>892</v>
      </c>
      <c r="D1168" s="1" t="s">
        <v>113</v>
      </c>
      <c r="E1168" s="1" t="s">
        <v>57</v>
      </c>
      <c r="F1168" s="1" t="s">
        <v>25</v>
      </c>
      <c r="G1168" s="2">
        <v>44630</v>
      </c>
      <c r="H1168" s="2">
        <v>44669</v>
      </c>
      <c r="I1168">
        <v>40</v>
      </c>
      <c r="J1168">
        <v>39</v>
      </c>
      <c r="K1168">
        <v>0</v>
      </c>
      <c r="L1168" s="1" t="s">
        <v>26</v>
      </c>
      <c r="M1168">
        <v>370.1</v>
      </c>
      <c r="N1168">
        <v>849157.92</v>
      </c>
      <c r="O1168">
        <v>2038821.57</v>
      </c>
      <c r="P1168">
        <v>478256.13</v>
      </c>
      <c r="Q1168" s="1" t="s">
        <v>3868</v>
      </c>
      <c r="R1168">
        <v>52</v>
      </c>
      <c r="S1168" s="1" t="s">
        <v>3869</v>
      </c>
      <c r="T1168" t="b">
        <v>0</v>
      </c>
    </row>
    <row r="1169" spans="1:20" x14ac:dyDescent="0.25">
      <c r="A1169" s="1" t="s">
        <v>3870</v>
      </c>
      <c r="B1169" s="1" t="s">
        <v>220</v>
      </c>
      <c r="C1169" s="1" t="s">
        <v>685</v>
      </c>
      <c r="D1169" s="1" t="s">
        <v>306</v>
      </c>
      <c r="E1169" s="1" t="s">
        <v>33</v>
      </c>
      <c r="F1169" s="1" t="s">
        <v>66</v>
      </c>
      <c r="G1169" s="2">
        <v>44619</v>
      </c>
      <c r="H1169" s="2"/>
      <c r="I1169">
        <v>12</v>
      </c>
      <c r="J1169">
        <v>18</v>
      </c>
      <c r="K1169">
        <v>6</v>
      </c>
      <c r="L1169" s="1" t="s">
        <v>26</v>
      </c>
      <c r="M1169">
        <v>266.7</v>
      </c>
      <c r="N1169">
        <v>1163814.83</v>
      </c>
      <c r="O1169">
        <v>1575824.92</v>
      </c>
      <c r="P1169">
        <v>467888.39</v>
      </c>
      <c r="Q1169" s="1" t="s">
        <v>3871</v>
      </c>
      <c r="R1169">
        <v>76</v>
      </c>
      <c r="S1169" s="1" t="s">
        <v>3872</v>
      </c>
      <c r="T1169" t="b">
        <v>1</v>
      </c>
    </row>
    <row r="1170" spans="1:20" x14ac:dyDescent="0.25">
      <c r="A1170" s="1" t="s">
        <v>3873</v>
      </c>
      <c r="B1170" s="1" t="s">
        <v>122</v>
      </c>
      <c r="C1170" s="1" t="s">
        <v>3244</v>
      </c>
      <c r="D1170" s="1" t="s">
        <v>107</v>
      </c>
      <c r="E1170" s="1" t="s">
        <v>65</v>
      </c>
      <c r="F1170" s="1" t="s">
        <v>25</v>
      </c>
      <c r="G1170" s="2">
        <v>45559</v>
      </c>
      <c r="H1170" s="2">
        <v>45561</v>
      </c>
      <c r="I1170">
        <v>4</v>
      </c>
      <c r="J1170">
        <v>2</v>
      </c>
      <c r="K1170">
        <v>0</v>
      </c>
      <c r="L1170" s="1" t="s">
        <v>26</v>
      </c>
      <c r="M1170">
        <v>19.2</v>
      </c>
      <c r="N1170">
        <v>44322.7</v>
      </c>
      <c r="O1170">
        <v>197323.96</v>
      </c>
      <c r="P1170">
        <v>29187.03</v>
      </c>
      <c r="Q1170" s="1" t="s">
        <v>3874</v>
      </c>
      <c r="R1170">
        <v>30</v>
      </c>
      <c r="S1170" s="1" t="s">
        <v>3875</v>
      </c>
      <c r="T1170" t="b">
        <v>1</v>
      </c>
    </row>
    <row r="1171" spans="1:20" x14ac:dyDescent="0.25">
      <c r="A1171" s="1" t="s">
        <v>3876</v>
      </c>
      <c r="B1171" s="1" t="s">
        <v>70</v>
      </c>
      <c r="C1171" s="1" t="s">
        <v>517</v>
      </c>
      <c r="D1171" s="1" t="s">
        <v>306</v>
      </c>
      <c r="E1171" s="1" t="s">
        <v>65</v>
      </c>
      <c r="F1171" s="1" t="s">
        <v>25</v>
      </c>
      <c r="G1171" s="2">
        <v>45136</v>
      </c>
      <c r="H1171" s="2">
        <v>45142</v>
      </c>
      <c r="I1171">
        <v>4</v>
      </c>
      <c r="J1171">
        <v>6</v>
      </c>
      <c r="K1171">
        <v>1.5</v>
      </c>
      <c r="L1171" s="1" t="s">
        <v>26</v>
      </c>
      <c r="M1171">
        <v>37</v>
      </c>
      <c r="N1171">
        <v>141685.48000000001</v>
      </c>
      <c r="O1171">
        <v>3651865.25</v>
      </c>
      <c r="P1171">
        <v>665347.71</v>
      </c>
      <c r="Q1171" s="1" t="s">
        <v>3877</v>
      </c>
      <c r="R1171">
        <v>59</v>
      </c>
      <c r="S1171" s="1" t="s">
        <v>3878</v>
      </c>
      <c r="T1171" t="b">
        <v>1</v>
      </c>
    </row>
    <row r="1172" spans="1:20" x14ac:dyDescent="0.25">
      <c r="A1172" s="1" t="s">
        <v>3879</v>
      </c>
      <c r="B1172" s="1" t="s">
        <v>111</v>
      </c>
      <c r="C1172" s="1" t="s">
        <v>2635</v>
      </c>
      <c r="D1172" s="1" t="s">
        <v>113</v>
      </c>
      <c r="E1172" s="1" t="s">
        <v>57</v>
      </c>
      <c r="F1172" s="1" t="s">
        <v>25</v>
      </c>
      <c r="G1172" s="2">
        <v>44581</v>
      </c>
      <c r="H1172" s="2">
        <v>44609</v>
      </c>
      <c r="I1172">
        <v>40</v>
      </c>
      <c r="J1172">
        <v>28</v>
      </c>
      <c r="K1172">
        <v>0</v>
      </c>
      <c r="L1172" s="1" t="s">
        <v>26</v>
      </c>
      <c r="M1172">
        <v>222.9</v>
      </c>
      <c r="N1172">
        <v>746439.86</v>
      </c>
      <c r="O1172">
        <v>547957.57999999996</v>
      </c>
      <c r="P1172">
        <v>155898.67000000001</v>
      </c>
      <c r="Q1172" s="1" t="s">
        <v>3880</v>
      </c>
      <c r="R1172">
        <v>49</v>
      </c>
      <c r="S1172" s="1" t="s">
        <v>3881</v>
      </c>
      <c r="T1172" t="b">
        <v>0</v>
      </c>
    </row>
    <row r="1173" spans="1:20" x14ac:dyDescent="0.25">
      <c r="A1173" s="1" t="s">
        <v>3882</v>
      </c>
      <c r="B1173" s="1" t="s">
        <v>471</v>
      </c>
      <c r="C1173" s="1" t="s">
        <v>1740</v>
      </c>
      <c r="D1173" s="1" t="s">
        <v>320</v>
      </c>
      <c r="E1173" s="1" t="s">
        <v>41</v>
      </c>
      <c r="F1173" s="1" t="s">
        <v>34</v>
      </c>
      <c r="G1173" s="2">
        <v>44700</v>
      </c>
      <c r="H1173" s="2"/>
      <c r="I1173">
        <v>9</v>
      </c>
      <c r="J1173">
        <v>4</v>
      </c>
      <c r="K1173">
        <v>0</v>
      </c>
      <c r="L1173" s="1" t="s">
        <v>26</v>
      </c>
      <c r="M1173">
        <v>48.2</v>
      </c>
      <c r="N1173">
        <v>142430.81</v>
      </c>
      <c r="O1173">
        <v>2286908.2999999998</v>
      </c>
      <c r="P1173">
        <v>469546.23</v>
      </c>
      <c r="Q1173" s="1" t="s">
        <v>3883</v>
      </c>
      <c r="R1173">
        <v>59</v>
      </c>
      <c r="S1173" s="1" t="s">
        <v>3884</v>
      </c>
      <c r="T1173" t="b">
        <v>0</v>
      </c>
    </row>
    <row r="1174" spans="1:20" x14ac:dyDescent="0.25">
      <c r="A1174" s="1" t="s">
        <v>3885</v>
      </c>
      <c r="B1174" s="1" t="s">
        <v>220</v>
      </c>
      <c r="C1174" s="1" t="s">
        <v>305</v>
      </c>
      <c r="D1174" s="1" t="s">
        <v>541</v>
      </c>
      <c r="E1174" s="1" t="s">
        <v>57</v>
      </c>
      <c r="F1174" s="1" t="s">
        <v>34</v>
      </c>
      <c r="G1174" s="2">
        <v>45207</v>
      </c>
      <c r="H1174" s="2"/>
      <c r="I1174">
        <v>40</v>
      </c>
      <c r="J1174">
        <v>23</v>
      </c>
      <c r="K1174">
        <v>0</v>
      </c>
      <c r="L1174" s="1" t="s">
        <v>26</v>
      </c>
      <c r="M1174">
        <v>139.9</v>
      </c>
      <c r="N1174">
        <v>494230.09</v>
      </c>
      <c r="O1174">
        <v>1060940.79</v>
      </c>
      <c r="P1174">
        <v>167685.04</v>
      </c>
      <c r="Q1174" s="1" t="s">
        <v>3886</v>
      </c>
      <c r="R1174">
        <v>36</v>
      </c>
      <c r="S1174" s="1" t="s">
        <v>3887</v>
      </c>
      <c r="T1174" t="b">
        <v>0</v>
      </c>
    </row>
    <row r="1175" spans="1:20" x14ac:dyDescent="0.25">
      <c r="A1175" s="1" t="s">
        <v>3888</v>
      </c>
      <c r="B1175" s="1" t="s">
        <v>220</v>
      </c>
      <c r="C1175" s="1" t="s">
        <v>784</v>
      </c>
      <c r="D1175" s="1" t="s">
        <v>670</v>
      </c>
      <c r="E1175" s="1" t="s">
        <v>57</v>
      </c>
      <c r="F1175" s="1" t="s">
        <v>25</v>
      </c>
      <c r="G1175" s="2">
        <v>44911</v>
      </c>
      <c r="H1175" s="2">
        <v>44944</v>
      </c>
      <c r="I1175">
        <v>40</v>
      </c>
      <c r="J1175">
        <v>33</v>
      </c>
      <c r="K1175">
        <v>0</v>
      </c>
      <c r="L1175" s="1" t="s">
        <v>26</v>
      </c>
      <c r="M1175">
        <v>239.3</v>
      </c>
      <c r="N1175">
        <v>1023804.24</v>
      </c>
      <c r="O1175">
        <v>3964094.76</v>
      </c>
      <c r="P1175">
        <v>522066.78</v>
      </c>
      <c r="Q1175" s="1" t="s">
        <v>3889</v>
      </c>
      <c r="R1175">
        <v>49</v>
      </c>
      <c r="S1175" s="1" t="s">
        <v>3890</v>
      </c>
      <c r="T1175" t="b">
        <v>1</v>
      </c>
    </row>
    <row r="1176" spans="1:20" x14ac:dyDescent="0.25">
      <c r="A1176" s="1" t="s">
        <v>3891</v>
      </c>
      <c r="B1176" s="1" t="s">
        <v>242</v>
      </c>
      <c r="C1176" s="1" t="s">
        <v>1939</v>
      </c>
      <c r="D1176" s="1" t="s">
        <v>216</v>
      </c>
      <c r="E1176" s="1" t="s">
        <v>41</v>
      </c>
      <c r="F1176" s="1" t="s">
        <v>50</v>
      </c>
      <c r="G1176" s="2">
        <v>44896</v>
      </c>
      <c r="H1176" s="2"/>
      <c r="I1176">
        <v>9</v>
      </c>
      <c r="J1176">
        <v>5</v>
      </c>
      <c r="K1176">
        <v>0</v>
      </c>
      <c r="L1176" s="1" t="s">
        <v>26</v>
      </c>
      <c r="M1176">
        <v>37.6</v>
      </c>
      <c r="N1176">
        <v>157127.25</v>
      </c>
      <c r="O1176">
        <v>301863.56</v>
      </c>
      <c r="P1176">
        <v>83275.81</v>
      </c>
      <c r="Q1176" s="1" t="s">
        <v>429</v>
      </c>
      <c r="R1176">
        <v>66</v>
      </c>
      <c r="S1176" s="1" t="s">
        <v>3892</v>
      </c>
      <c r="T1176" t="b">
        <v>1</v>
      </c>
    </row>
    <row r="1177" spans="1:20" x14ac:dyDescent="0.25">
      <c r="A1177" s="1" t="s">
        <v>3893</v>
      </c>
      <c r="B1177" s="1" t="s">
        <v>242</v>
      </c>
      <c r="C1177" s="1" t="s">
        <v>685</v>
      </c>
      <c r="D1177" s="1" t="s">
        <v>293</v>
      </c>
      <c r="E1177" s="1" t="s">
        <v>41</v>
      </c>
      <c r="F1177" s="1" t="s">
        <v>34</v>
      </c>
      <c r="G1177" s="2">
        <v>45537</v>
      </c>
      <c r="H1177" s="2"/>
      <c r="I1177">
        <v>9</v>
      </c>
      <c r="J1177">
        <v>14</v>
      </c>
      <c r="K1177">
        <v>5</v>
      </c>
      <c r="L1177" s="1" t="s">
        <v>193</v>
      </c>
      <c r="M1177">
        <v>139.19999999999999</v>
      </c>
      <c r="N1177">
        <v>560567.97</v>
      </c>
      <c r="O1177">
        <v>2075460.66</v>
      </c>
      <c r="P1177">
        <v>427642.55</v>
      </c>
      <c r="Q1177" s="1" t="s">
        <v>1043</v>
      </c>
      <c r="R1177">
        <v>43</v>
      </c>
      <c r="S1177" s="1" t="s">
        <v>3894</v>
      </c>
      <c r="T1177" t="b">
        <v>1</v>
      </c>
    </row>
    <row r="1178" spans="1:20" x14ac:dyDescent="0.25">
      <c r="A1178" s="1" t="s">
        <v>3895</v>
      </c>
      <c r="B1178" s="1" t="s">
        <v>220</v>
      </c>
      <c r="C1178" s="1" t="s">
        <v>112</v>
      </c>
      <c r="D1178" s="1" t="s">
        <v>293</v>
      </c>
      <c r="E1178" s="1" t="s">
        <v>57</v>
      </c>
      <c r="F1178" s="1" t="s">
        <v>50</v>
      </c>
      <c r="G1178" s="2">
        <v>45464</v>
      </c>
      <c r="H1178" s="2"/>
      <c r="I1178">
        <v>40</v>
      </c>
      <c r="J1178">
        <v>50</v>
      </c>
      <c r="K1178">
        <v>10</v>
      </c>
      <c r="L1178" s="1" t="s">
        <v>42</v>
      </c>
      <c r="M1178">
        <v>577.4</v>
      </c>
      <c r="N1178">
        <v>1568560.04</v>
      </c>
      <c r="O1178">
        <v>4362327.13</v>
      </c>
      <c r="P1178">
        <v>631099.18999999994</v>
      </c>
      <c r="Q1178" s="1" t="s">
        <v>3896</v>
      </c>
      <c r="R1178">
        <v>45</v>
      </c>
      <c r="S1178" s="1" t="s">
        <v>3897</v>
      </c>
      <c r="T1178" t="b">
        <v>0</v>
      </c>
    </row>
    <row r="1179" spans="1:20" x14ac:dyDescent="0.25">
      <c r="A1179" s="1" t="s">
        <v>3898</v>
      </c>
      <c r="B1179" s="1" t="s">
        <v>46</v>
      </c>
      <c r="C1179" s="1" t="s">
        <v>1521</v>
      </c>
      <c r="D1179" s="1" t="s">
        <v>176</v>
      </c>
      <c r="E1179" s="1" t="s">
        <v>49</v>
      </c>
      <c r="F1179" s="1" t="s">
        <v>34</v>
      </c>
      <c r="G1179" s="2">
        <v>45083</v>
      </c>
      <c r="H1179" s="2"/>
      <c r="I1179">
        <v>25</v>
      </c>
      <c r="J1179">
        <v>33</v>
      </c>
      <c r="K1179">
        <v>8</v>
      </c>
      <c r="L1179" s="1" t="s">
        <v>42</v>
      </c>
      <c r="M1179">
        <v>190.4</v>
      </c>
      <c r="N1179">
        <v>469906.18</v>
      </c>
      <c r="O1179">
        <v>1253027.83</v>
      </c>
      <c r="P1179">
        <v>204620.21</v>
      </c>
      <c r="Q1179" s="1" t="s">
        <v>3899</v>
      </c>
      <c r="R1179">
        <v>25</v>
      </c>
      <c r="S1179" s="1" t="s">
        <v>3900</v>
      </c>
      <c r="T1179" t="b">
        <v>1</v>
      </c>
    </row>
    <row r="1180" spans="1:20" x14ac:dyDescent="0.25">
      <c r="A1180" s="1" t="s">
        <v>3901</v>
      </c>
      <c r="B1180" s="1" t="s">
        <v>253</v>
      </c>
      <c r="C1180" s="1" t="s">
        <v>685</v>
      </c>
      <c r="D1180" s="1" t="s">
        <v>187</v>
      </c>
      <c r="E1180" s="1" t="s">
        <v>33</v>
      </c>
      <c r="F1180" s="1" t="s">
        <v>66</v>
      </c>
      <c r="G1180" s="2">
        <v>44658</v>
      </c>
      <c r="H1180" s="2"/>
      <c r="I1180">
        <v>12</v>
      </c>
      <c r="J1180">
        <v>13</v>
      </c>
      <c r="K1180">
        <v>1</v>
      </c>
      <c r="L1180" s="1" t="s">
        <v>26</v>
      </c>
      <c r="M1180">
        <v>202.7</v>
      </c>
      <c r="N1180">
        <v>387826.28</v>
      </c>
      <c r="O1180">
        <v>3487476.49</v>
      </c>
      <c r="P1180">
        <v>768286.61</v>
      </c>
      <c r="Q1180" s="1" t="s">
        <v>3902</v>
      </c>
      <c r="R1180">
        <v>78</v>
      </c>
      <c r="S1180" s="1" t="s">
        <v>3903</v>
      </c>
      <c r="T1180" t="b">
        <v>1</v>
      </c>
    </row>
    <row r="1181" spans="1:20" x14ac:dyDescent="0.25">
      <c r="A1181" s="1" t="s">
        <v>3904</v>
      </c>
      <c r="B1181" s="1" t="s">
        <v>253</v>
      </c>
      <c r="C1181" s="1" t="s">
        <v>827</v>
      </c>
      <c r="D1181" s="1" t="s">
        <v>410</v>
      </c>
      <c r="E1181" s="1" t="s">
        <v>33</v>
      </c>
      <c r="F1181" s="1" t="s">
        <v>50</v>
      </c>
      <c r="G1181" s="2">
        <v>45492</v>
      </c>
      <c r="H1181" s="2"/>
      <c r="I1181">
        <v>12</v>
      </c>
      <c r="J1181">
        <v>13</v>
      </c>
      <c r="K1181">
        <v>1</v>
      </c>
      <c r="L1181" s="1" t="s">
        <v>26</v>
      </c>
      <c r="M1181">
        <v>97.5</v>
      </c>
      <c r="N1181">
        <v>184991.13</v>
      </c>
      <c r="O1181">
        <v>3150104.82</v>
      </c>
      <c r="P1181">
        <v>408727.78</v>
      </c>
      <c r="Q1181" s="1" t="s">
        <v>3905</v>
      </c>
      <c r="R1181">
        <v>42</v>
      </c>
      <c r="S1181" s="1" t="s">
        <v>3906</v>
      </c>
      <c r="T1181" t="b">
        <v>1</v>
      </c>
    </row>
    <row r="1182" spans="1:20" x14ac:dyDescent="0.25">
      <c r="A1182" s="1" t="s">
        <v>3907</v>
      </c>
      <c r="B1182" s="1" t="s">
        <v>93</v>
      </c>
      <c r="C1182" s="1" t="s">
        <v>2273</v>
      </c>
      <c r="D1182" s="1" t="s">
        <v>216</v>
      </c>
      <c r="E1182" s="1" t="s">
        <v>41</v>
      </c>
      <c r="F1182" s="1" t="s">
        <v>50</v>
      </c>
      <c r="G1182" s="2">
        <v>45213</v>
      </c>
      <c r="H1182" s="2"/>
      <c r="I1182">
        <v>9</v>
      </c>
      <c r="J1182">
        <v>4</v>
      </c>
      <c r="K1182">
        <v>0</v>
      </c>
      <c r="L1182" s="1" t="s">
        <v>26</v>
      </c>
      <c r="M1182">
        <v>39.700000000000003</v>
      </c>
      <c r="N1182">
        <v>89967.8</v>
      </c>
      <c r="O1182">
        <v>719103.83</v>
      </c>
      <c r="P1182">
        <v>120732.1</v>
      </c>
      <c r="Q1182" s="1" t="s">
        <v>3908</v>
      </c>
      <c r="R1182">
        <v>31</v>
      </c>
      <c r="S1182" s="1" t="s">
        <v>3909</v>
      </c>
      <c r="T1182" t="b">
        <v>1</v>
      </c>
    </row>
    <row r="1183" spans="1:20" x14ac:dyDescent="0.25">
      <c r="A1183" s="1" t="s">
        <v>3910</v>
      </c>
      <c r="B1183" s="1" t="s">
        <v>128</v>
      </c>
      <c r="C1183" s="1" t="s">
        <v>47</v>
      </c>
      <c r="D1183" s="1" t="s">
        <v>181</v>
      </c>
      <c r="E1183" s="1" t="s">
        <v>24</v>
      </c>
      <c r="F1183" s="1" t="s">
        <v>50</v>
      </c>
      <c r="G1183" s="2">
        <v>44605</v>
      </c>
      <c r="H1183" s="2"/>
      <c r="I1183">
        <v>3</v>
      </c>
      <c r="J1183">
        <v>3</v>
      </c>
      <c r="K1183">
        <v>0</v>
      </c>
      <c r="L1183" s="1" t="s">
        <v>26</v>
      </c>
      <c r="M1183">
        <v>17.399999999999999</v>
      </c>
      <c r="N1183">
        <v>36628.120000000003</v>
      </c>
      <c r="O1183">
        <v>888976.36</v>
      </c>
      <c r="P1183">
        <v>155420.76999999999</v>
      </c>
      <c r="Q1183" s="1" t="s">
        <v>2596</v>
      </c>
      <c r="R1183">
        <v>32</v>
      </c>
      <c r="S1183" s="1" t="s">
        <v>3911</v>
      </c>
      <c r="T1183" t="b">
        <v>1</v>
      </c>
    </row>
    <row r="1184" spans="1:20" x14ac:dyDescent="0.25">
      <c r="A1184" s="1" t="s">
        <v>3912</v>
      </c>
      <c r="B1184" s="1" t="s">
        <v>566</v>
      </c>
      <c r="C1184" s="1" t="s">
        <v>769</v>
      </c>
      <c r="D1184" s="1" t="s">
        <v>297</v>
      </c>
      <c r="E1184" s="1" t="s">
        <v>57</v>
      </c>
      <c r="F1184" s="1" t="s">
        <v>25</v>
      </c>
      <c r="G1184" s="2">
        <v>44962</v>
      </c>
      <c r="H1184" s="2">
        <v>45000</v>
      </c>
      <c r="I1184">
        <v>40</v>
      </c>
      <c r="J1184">
        <v>38</v>
      </c>
      <c r="K1184">
        <v>0</v>
      </c>
      <c r="L1184" s="1" t="s">
        <v>26</v>
      </c>
      <c r="M1184">
        <v>289.7</v>
      </c>
      <c r="N1184">
        <v>1207604.18</v>
      </c>
      <c r="O1184">
        <v>4169234.22</v>
      </c>
      <c r="P1184">
        <v>701533.99</v>
      </c>
      <c r="Q1184" s="1" t="s">
        <v>3913</v>
      </c>
      <c r="R1184">
        <v>41</v>
      </c>
      <c r="S1184" s="1" t="s">
        <v>3914</v>
      </c>
      <c r="T1184" t="b">
        <v>1</v>
      </c>
    </row>
    <row r="1185" spans="1:20" x14ac:dyDescent="0.25">
      <c r="A1185" s="1" t="s">
        <v>3915</v>
      </c>
      <c r="B1185" s="1" t="s">
        <v>545</v>
      </c>
      <c r="C1185" s="1" t="s">
        <v>1364</v>
      </c>
      <c r="D1185" s="1" t="s">
        <v>359</v>
      </c>
      <c r="E1185" s="1" t="s">
        <v>65</v>
      </c>
      <c r="F1185" s="1" t="s">
        <v>25</v>
      </c>
      <c r="G1185" s="2">
        <v>45116</v>
      </c>
      <c r="H1185" s="2">
        <v>45119</v>
      </c>
      <c r="I1185">
        <v>4</v>
      </c>
      <c r="J1185">
        <v>3</v>
      </c>
      <c r="K1185">
        <v>0</v>
      </c>
      <c r="L1185" s="1" t="s">
        <v>26</v>
      </c>
      <c r="M1185">
        <v>12.4</v>
      </c>
      <c r="N1185">
        <v>34847.919999999998</v>
      </c>
      <c r="O1185">
        <v>3418751.62</v>
      </c>
      <c r="P1185">
        <v>609890.22</v>
      </c>
      <c r="Q1185" s="1" t="s">
        <v>3916</v>
      </c>
      <c r="R1185">
        <v>63</v>
      </c>
      <c r="S1185" s="1" t="s">
        <v>3917</v>
      </c>
      <c r="T1185" t="b">
        <v>0</v>
      </c>
    </row>
    <row r="1186" spans="1:20" x14ac:dyDescent="0.25">
      <c r="A1186" s="1" t="s">
        <v>3918</v>
      </c>
      <c r="B1186" s="1" t="s">
        <v>93</v>
      </c>
      <c r="C1186" s="1" t="s">
        <v>170</v>
      </c>
      <c r="D1186" s="1" t="s">
        <v>344</v>
      </c>
      <c r="E1186" s="1" t="s">
        <v>24</v>
      </c>
      <c r="F1186" s="1" t="s">
        <v>66</v>
      </c>
      <c r="G1186" s="2">
        <v>45579</v>
      </c>
      <c r="H1186" s="2"/>
      <c r="I1186">
        <v>3</v>
      </c>
      <c r="J1186">
        <v>2</v>
      </c>
      <c r="K1186">
        <v>0</v>
      </c>
      <c r="L1186" s="1" t="s">
        <v>26</v>
      </c>
      <c r="M1186">
        <v>17.5</v>
      </c>
      <c r="N1186">
        <v>61487.72</v>
      </c>
      <c r="O1186">
        <v>1053923.33</v>
      </c>
      <c r="P1186">
        <v>217240.65</v>
      </c>
      <c r="Q1186" s="1" t="s">
        <v>1046</v>
      </c>
      <c r="R1186">
        <v>48</v>
      </c>
      <c r="S1186" s="1" t="s">
        <v>3919</v>
      </c>
      <c r="T1186" t="b">
        <v>0</v>
      </c>
    </row>
    <row r="1187" spans="1:20" x14ac:dyDescent="0.25">
      <c r="A1187" s="1" t="s">
        <v>3920</v>
      </c>
      <c r="B1187" s="1" t="s">
        <v>158</v>
      </c>
      <c r="C1187" s="1" t="s">
        <v>610</v>
      </c>
      <c r="D1187" s="1" t="s">
        <v>165</v>
      </c>
      <c r="E1187" s="1" t="s">
        <v>24</v>
      </c>
      <c r="F1187" s="1" t="s">
        <v>50</v>
      </c>
      <c r="G1187" s="2">
        <v>45533</v>
      </c>
      <c r="H1187" s="2"/>
      <c r="I1187">
        <v>3</v>
      </c>
      <c r="J1187">
        <v>2</v>
      </c>
      <c r="K1187">
        <v>0</v>
      </c>
      <c r="L1187" s="1" t="s">
        <v>26</v>
      </c>
      <c r="M1187">
        <v>11.8</v>
      </c>
      <c r="N1187">
        <v>32667.95</v>
      </c>
      <c r="O1187">
        <v>776518.69</v>
      </c>
      <c r="P1187">
        <v>114771.87</v>
      </c>
      <c r="Q1187" s="1" t="s">
        <v>3921</v>
      </c>
      <c r="R1187">
        <v>58</v>
      </c>
      <c r="S1187" s="1" t="s">
        <v>3922</v>
      </c>
      <c r="T1187" t="b">
        <v>1</v>
      </c>
    </row>
    <row r="1188" spans="1:20" x14ac:dyDescent="0.25">
      <c r="A1188" s="1" t="s">
        <v>3923</v>
      </c>
      <c r="B1188" s="1" t="s">
        <v>38</v>
      </c>
      <c r="C1188" s="1" t="s">
        <v>3924</v>
      </c>
      <c r="D1188" s="1" t="s">
        <v>582</v>
      </c>
      <c r="E1188" s="1" t="s">
        <v>41</v>
      </c>
      <c r="F1188" s="1" t="s">
        <v>25</v>
      </c>
      <c r="G1188" s="2">
        <v>44618</v>
      </c>
      <c r="H1188" s="2">
        <v>44630</v>
      </c>
      <c r="I1188">
        <v>9</v>
      </c>
      <c r="J1188">
        <v>12</v>
      </c>
      <c r="K1188">
        <v>3</v>
      </c>
      <c r="L1188" s="1" t="s">
        <v>26</v>
      </c>
      <c r="M1188">
        <v>152.4</v>
      </c>
      <c r="N1188">
        <v>339197.19</v>
      </c>
      <c r="O1188">
        <v>2966720.53</v>
      </c>
      <c r="P1188">
        <v>369279.48</v>
      </c>
      <c r="Q1188" s="1" t="s">
        <v>3925</v>
      </c>
      <c r="R1188">
        <v>29</v>
      </c>
      <c r="S1188" s="1" t="s">
        <v>3926</v>
      </c>
      <c r="T1188" t="b">
        <v>0</v>
      </c>
    </row>
    <row r="1189" spans="1:20" x14ac:dyDescent="0.25">
      <c r="A1189" s="1" t="s">
        <v>3927</v>
      </c>
      <c r="B1189" s="1" t="s">
        <v>253</v>
      </c>
      <c r="C1189" s="1" t="s">
        <v>153</v>
      </c>
      <c r="D1189" s="1" t="s">
        <v>187</v>
      </c>
      <c r="E1189" s="1" t="s">
        <v>41</v>
      </c>
      <c r="F1189" s="1" t="s">
        <v>34</v>
      </c>
      <c r="G1189" s="2">
        <v>45208</v>
      </c>
      <c r="H1189" s="2"/>
      <c r="I1189">
        <v>9</v>
      </c>
      <c r="J1189">
        <v>12</v>
      </c>
      <c r="K1189">
        <v>3</v>
      </c>
      <c r="L1189" s="1" t="s">
        <v>26</v>
      </c>
      <c r="M1189">
        <v>105.9</v>
      </c>
      <c r="N1189">
        <v>315254.5</v>
      </c>
      <c r="O1189">
        <v>2321729.04</v>
      </c>
      <c r="P1189">
        <v>453614.32</v>
      </c>
      <c r="Q1189" s="1" t="s">
        <v>3928</v>
      </c>
      <c r="R1189">
        <v>68</v>
      </c>
      <c r="S1189" s="1" t="s">
        <v>3929</v>
      </c>
      <c r="T1189" t="b">
        <v>1</v>
      </c>
    </row>
    <row r="1190" spans="1:20" x14ac:dyDescent="0.25">
      <c r="A1190" s="1" t="s">
        <v>3930</v>
      </c>
      <c r="B1190" s="1" t="s">
        <v>76</v>
      </c>
      <c r="C1190" s="1" t="s">
        <v>757</v>
      </c>
      <c r="D1190" s="1" t="s">
        <v>268</v>
      </c>
      <c r="E1190" s="1" t="s">
        <v>65</v>
      </c>
      <c r="F1190" s="1" t="s">
        <v>25</v>
      </c>
      <c r="G1190" s="2">
        <v>44649</v>
      </c>
      <c r="H1190" s="2">
        <v>44651</v>
      </c>
      <c r="I1190">
        <v>4</v>
      </c>
      <c r="J1190">
        <v>2</v>
      </c>
      <c r="K1190">
        <v>0</v>
      </c>
      <c r="L1190" s="1" t="s">
        <v>26</v>
      </c>
      <c r="M1190">
        <v>16</v>
      </c>
      <c r="N1190">
        <v>39997.83</v>
      </c>
      <c r="O1190">
        <v>2576716.5699999998</v>
      </c>
      <c r="P1190">
        <v>430791.56</v>
      </c>
      <c r="Q1190" s="1" t="s">
        <v>3931</v>
      </c>
      <c r="R1190">
        <v>61</v>
      </c>
      <c r="S1190" s="1" t="s">
        <v>3932</v>
      </c>
      <c r="T1190" t="b">
        <v>1</v>
      </c>
    </row>
    <row r="1191" spans="1:20" x14ac:dyDescent="0.25">
      <c r="A1191" s="1" t="s">
        <v>3933</v>
      </c>
      <c r="B1191" s="1" t="s">
        <v>471</v>
      </c>
      <c r="C1191" s="1" t="s">
        <v>1066</v>
      </c>
      <c r="D1191" s="1" t="s">
        <v>244</v>
      </c>
      <c r="E1191" s="1" t="s">
        <v>24</v>
      </c>
      <c r="F1191" s="1" t="s">
        <v>66</v>
      </c>
      <c r="G1191" s="2">
        <v>44651</v>
      </c>
      <c r="H1191" s="2"/>
      <c r="I1191">
        <v>3</v>
      </c>
      <c r="J1191">
        <v>5</v>
      </c>
      <c r="K1191">
        <v>2</v>
      </c>
      <c r="L1191" s="1" t="s">
        <v>26</v>
      </c>
      <c r="M1191">
        <v>71.099999999999994</v>
      </c>
      <c r="N1191">
        <v>171067.58</v>
      </c>
      <c r="O1191">
        <v>4279140.4800000004</v>
      </c>
      <c r="P1191">
        <v>473605.53</v>
      </c>
      <c r="Q1191" s="1" t="s">
        <v>3934</v>
      </c>
      <c r="R1191">
        <v>31</v>
      </c>
      <c r="S1191" s="1" t="s">
        <v>3935</v>
      </c>
      <c r="T1191" t="b">
        <v>1</v>
      </c>
    </row>
    <row r="1192" spans="1:20" x14ac:dyDescent="0.25">
      <c r="A1192" s="1" t="s">
        <v>3936</v>
      </c>
      <c r="B1192" s="1" t="s">
        <v>122</v>
      </c>
      <c r="C1192" s="1" t="s">
        <v>1072</v>
      </c>
      <c r="D1192" s="1" t="s">
        <v>23</v>
      </c>
      <c r="E1192" s="1" t="s">
        <v>41</v>
      </c>
      <c r="F1192" s="1" t="s">
        <v>25</v>
      </c>
      <c r="G1192" s="2">
        <v>45324</v>
      </c>
      <c r="H1192" s="2">
        <v>45335</v>
      </c>
      <c r="I1192">
        <v>9</v>
      </c>
      <c r="J1192">
        <v>11</v>
      </c>
      <c r="K1192">
        <v>2</v>
      </c>
      <c r="L1192" s="1" t="s">
        <v>26</v>
      </c>
      <c r="M1192">
        <v>131.5</v>
      </c>
      <c r="N1192">
        <v>550363.87</v>
      </c>
      <c r="O1192">
        <v>3559031.7</v>
      </c>
      <c r="P1192">
        <v>632159.17000000004</v>
      </c>
      <c r="Q1192" s="1" t="s">
        <v>3937</v>
      </c>
      <c r="R1192">
        <v>39</v>
      </c>
      <c r="S1192" s="1" t="s">
        <v>3938</v>
      </c>
      <c r="T1192" t="b">
        <v>1</v>
      </c>
    </row>
    <row r="1193" spans="1:20" x14ac:dyDescent="0.25">
      <c r="A1193" s="1" t="s">
        <v>3939</v>
      </c>
      <c r="B1193" s="1" t="s">
        <v>272</v>
      </c>
      <c r="C1193" s="1" t="s">
        <v>1216</v>
      </c>
      <c r="D1193" s="1" t="s">
        <v>359</v>
      </c>
      <c r="E1193" s="1" t="s">
        <v>49</v>
      </c>
      <c r="F1193" s="1" t="s">
        <v>25</v>
      </c>
      <c r="G1193" s="2">
        <v>44774</v>
      </c>
      <c r="H1193" s="2">
        <v>44800</v>
      </c>
      <c r="I1193">
        <v>25</v>
      </c>
      <c r="J1193">
        <v>26</v>
      </c>
      <c r="K1193">
        <v>1</v>
      </c>
      <c r="L1193" s="1" t="s">
        <v>26</v>
      </c>
      <c r="M1193">
        <v>205.9</v>
      </c>
      <c r="N1193">
        <v>679868.3</v>
      </c>
      <c r="O1193">
        <v>301853.33</v>
      </c>
      <c r="P1193">
        <v>128537.19</v>
      </c>
      <c r="Q1193" s="1" t="s">
        <v>3940</v>
      </c>
      <c r="R1193">
        <v>44</v>
      </c>
      <c r="S1193" s="1" t="s">
        <v>3941</v>
      </c>
      <c r="T1193" t="b">
        <v>1</v>
      </c>
    </row>
    <row r="1194" spans="1:20" x14ac:dyDescent="0.25">
      <c r="A1194" s="1" t="s">
        <v>3942</v>
      </c>
      <c r="B1194" s="1" t="s">
        <v>21</v>
      </c>
      <c r="C1194" s="1" t="s">
        <v>1340</v>
      </c>
      <c r="D1194" s="1" t="s">
        <v>541</v>
      </c>
      <c r="E1194" s="1" t="s">
        <v>65</v>
      </c>
      <c r="F1194" s="1" t="s">
        <v>25</v>
      </c>
      <c r="G1194" s="2">
        <v>45591</v>
      </c>
      <c r="H1194" s="2">
        <v>45599</v>
      </c>
      <c r="I1194">
        <v>4</v>
      </c>
      <c r="J1194">
        <v>8</v>
      </c>
      <c r="K1194">
        <v>3.5</v>
      </c>
      <c r="L1194" s="1" t="s">
        <v>42</v>
      </c>
      <c r="M1194">
        <v>55.5</v>
      </c>
      <c r="N1194">
        <v>146904.71</v>
      </c>
      <c r="O1194">
        <v>1643188.24</v>
      </c>
      <c r="P1194">
        <v>310894.21000000002</v>
      </c>
      <c r="Q1194" s="1" t="s">
        <v>3943</v>
      </c>
      <c r="R1194">
        <v>67</v>
      </c>
      <c r="S1194" s="1" t="s">
        <v>3944</v>
      </c>
      <c r="T1194" t="b">
        <v>1</v>
      </c>
    </row>
    <row r="1195" spans="1:20" x14ac:dyDescent="0.25">
      <c r="A1195" s="1" t="s">
        <v>3945</v>
      </c>
      <c r="B1195" s="1" t="s">
        <v>82</v>
      </c>
      <c r="C1195" s="1" t="s">
        <v>47</v>
      </c>
      <c r="D1195" s="1" t="s">
        <v>344</v>
      </c>
      <c r="E1195" s="1" t="s">
        <v>41</v>
      </c>
      <c r="F1195" s="1" t="s">
        <v>25</v>
      </c>
      <c r="G1195" s="2">
        <v>45453</v>
      </c>
      <c r="H1195" s="2">
        <v>45459</v>
      </c>
      <c r="I1195">
        <v>9</v>
      </c>
      <c r="J1195">
        <v>6</v>
      </c>
      <c r="K1195">
        <v>0</v>
      </c>
      <c r="L1195" s="1" t="s">
        <v>26</v>
      </c>
      <c r="M1195">
        <v>45.3</v>
      </c>
      <c r="N1195">
        <v>103591.59</v>
      </c>
      <c r="O1195">
        <v>3056469.88</v>
      </c>
      <c r="P1195">
        <v>541905.99</v>
      </c>
      <c r="Q1195" s="1" t="s">
        <v>3946</v>
      </c>
      <c r="R1195">
        <v>21</v>
      </c>
      <c r="S1195" s="1" t="s">
        <v>3947</v>
      </c>
      <c r="T1195" t="b">
        <v>0</v>
      </c>
    </row>
    <row r="1196" spans="1:20" x14ac:dyDescent="0.25">
      <c r="A1196" s="1" t="s">
        <v>3948</v>
      </c>
      <c r="B1196" s="1" t="s">
        <v>185</v>
      </c>
      <c r="C1196" s="1" t="s">
        <v>175</v>
      </c>
      <c r="D1196" s="1" t="s">
        <v>670</v>
      </c>
      <c r="E1196" s="1" t="s">
        <v>33</v>
      </c>
      <c r="F1196" s="1" t="s">
        <v>25</v>
      </c>
      <c r="G1196" s="2">
        <v>44692</v>
      </c>
      <c r="H1196" s="2">
        <v>44700</v>
      </c>
      <c r="I1196">
        <v>12</v>
      </c>
      <c r="J1196">
        <v>8</v>
      </c>
      <c r="K1196">
        <v>0</v>
      </c>
      <c r="L1196" s="1" t="s">
        <v>26</v>
      </c>
      <c r="M1196">
        <v>90.7</v>
      </c>
      <c r="N1196">
        <v>293516.39</v>
      </c>
      <c r="O1196">
        <v>3981230.05</v>
      </c>
      <c r="P1196">
        <v>475680.06</v>
      </c>
      <c r="Q1196" s="1" t="s">
        <v>3949</v>
      </c>
      <c r="R1196">
        <v>50</v>
      </c>
      <c r="S1196" s="1" t="s">
        <v>3950</v>
      </c>
      <c r="T1196" t="b">
        <v>0</v>
      </c>
    </row>
    <row r="1197" spans="1:20" x14ac:dyDescent="0.25">
      <c r="A1197" s="1" t="s">
        <v>3951</v>
      </c>
      <c r="B1197" s="1" t="s">
        <v>54</v>
      </c>
      <c r="C1197" s="1" t="s">
        <v>3212</v>
      </c>
      <c r="D1197" s="1" t="s">
        <v>268</v>
      </c>
      <c r="E1197" s="1" t="s">
        <v>65</v>
      </c>
      <c r="F1197" s="1" t="s">
        <v>66</v>
      </c>
      <c r="G1197" s="2">
        <v>44876</v>
      </c>
      <c r="H1197" s="2"/>
      <c r="I1197">
        <v>4</v>
      </c>
      <c r="J1197">
        <v>5</v>
      </c>
      <c r="K1197">
        <v>0.5</v>
      </c>
      <c r="L1197" s="1" t="s">
        <v>26</v>
      </c>
      <c r="M1197">
        <v>54.5</v>
      </c>
      <c r="N1197">
        <v>175625.38</v>
      </c>
      <c r="O1197">
        <v>3261921.54</v>
      </c>
      <c r="P1197">
        <v>520337.1</v>
      </c>
      <c r="Q1197" s="1" t="s">
        <v>3952</v>
      </c>
      <c r="R1197">
        <v>76</v>
      </c>
      <c r="S1197" s="1" t="s">
        <v>3953</v>
      </c>
      <c r="T1197" t="b">
        <v>0</v>
      </c>
    </row>
    <row r="1198" spans="1:20" x14ac:dyDescent="0.25">
      <c r="A1198" s="1" t="s">
        <v>3954</v>
      </c>
      <c r="B1198" s="1" t="s">
        <v>122</v>
      </c>
      <c r="C1198" s="1" t="s">
        <v>476</v>
      </c>
      <c r="D1198" s="1" t="s">
        <v>513</v>
      </c>
      <c r="E1198" s="1" t="s">
        <v>65</v>
      </c>
      <c r="F1198" s="1" t="s">
        <v>25</v>
      </c>
      <c r="G1198" s="2">
        <v>45426</v>
      </c>
      <c r="H1198" s="2">
        <v>45429</v>
      </c>
      <c r="I1198">
        <v>4</v>
      </c>
      <c r="J1198">
        <v>3</v>
      </c>
      <c r="K1198">
        <v>0</v>
      </c>
      <c r="L1198" s="1" t="s">
        <v>26</v>
      </c>
      <c r="M1198">
        <v>37.4</v>
      </c>
      <c r="N1198">
        <v>73619.94</v>
      </c>
      <c r="O1198">
        <v>1745699.27</v>
      </c>
      <c r="P1198">
        <v>217719.47</v>
      </c>
      <c r="Q1198" s="1" t="s">
        <v>3955</v>
      </c>
      <c r="R1198">
        <v>75</v>
      </c>
      <c r="S1198" s="1" t="s">
        <v>3956</v>
      </c>
      <c r="T1198" t="b">
        <v>1</v>
      </c>
    </row>
    <row r="1199" spans="1:20" x14ac:dyDescent="0.25">
      <c r="A1199" s="1" t="s">
        <v>3957</v>
      </c>
      <c r="B1199" s="1" t="s">
        <v>358</v>
      </c>
      <c r="C1199" s="1" t="s">
        <v>536</v>
      </c>
      <c r="D1199" s="1" t="s">
        <v>410</v>
      </c>
      <c r="E1199" s="1" t="s">
        <v>24</v>
      </c>
      <c r="F1199" s="1" t="s">
        <v>34</v>
      </c>
      <c r="G1199" s="2">
        <v>44569</v>
      </c>
      <c r="H1199" s="2"/>
      <c r="I1199">
        <v>3</v>
      </c>
      <c r="J1199">
        <v>1</v>
      </c>
      <c r="K1199">
        <v>0</v>
      </c>
      <c r="L1199" s="1" t="s">
        <v>26</v>
      </c>
      <c r="M1199">
        <v>7.9</v>
      </c>
      <c r="N1199">
        <v>18047.89</v>
      </c>
      <c r="O1199">
        <v>1228916.24</v>
      </c>
      <c r="P1199">
        <v>190718.2</v>
      </c>
      <c r="Q1199" s="1" t="s">
        <v>3958</v>
      </c>
      <c r="R1199">
        <v>30</v>
      </c>
      <c r="S1199" s="1" t="s">
        <v>3959</v>
      </c>
      <c r="T1199" t="b">
        <v>0</v>
      </c>
    </row>
    <row r="1200" spans="1:20" x14ac:dyDescent="0.25">
      <c r="A1200" s="1" t="s">
        <v>3960</v>
      </c>
      <c r="B1200" s="1" t="s">
        <v>286</v>
      </c>
      <c r="C1200" s="1" t="s">
        <v>2217</v>
      </c>
      <c r="D1200" s="1" t="s">
        <v>64</v>
      </c>
      <c r="E1200" s="1" t="s">
        <v>41</v>
      </c>
      <c r="F1200" s="1" t="s">
        <v>50</v>
      </c>
      <c r="G1200" s="2">
        <v>44912</v>
      </c>
      <c r="H1200" s="2"/>
      <c r="I1200">
        <v>9</v>
      </c>
      <c r="J1200">
        <v>12</v>
      </c>
      <c r="K1200">
        <v>3</v>
      </c>
      <c r="L1200" s="1" t="s">
        <v>26</v>
      </c>
      <c r="M1200">
        <v>158.5</v>
      </c>
      <c r="N1200">
        <v>312024.52</v>
      </c>
      <c r="O1200">
        <v>2260998.31</v>
      </c>
      <c r="P1200">
        <v>394697.04</v>
      </c>
      <c r="Q1200" s="1" t="s">
        <v>3961</v>
      </c>
      <c r="R1200">
        <v>34</v>
      </c>
      <c r="S1200" s="1" t="s">
        <v>3962</v>
      </c>
      <c r="T1200" t="b">
        <v>1</v>
      </c>
    </row>
    <row r="1201" spans="1:20" x14ac:dyDescent="0.25">
      <c r="A1201" s="1" t="s">
        <v>3963</v>
      </c>
      <c r="B1201" s="1" t="s">
        <v>334</v>
      </c>
      <c r="C1201" s="1" t="s">
        <v>83</v>
      </c>
      <c r="D1201" s="1" t="s">
        <v>95</v>
      </c>
      <c r="E1201" s="1" t="s">
        <v>49</v>
      </c>
      <c r="F1201" s="1" t="s">
        <v>66</v>
      </c>
      <c r="G1201" s="2">
        <v>44985</v>
      </c>
      <c r="H1201" s="2"/>
      <c r="I1201">
        <v>25</v>
      </c>
      <c r="J1201">
        <v>38</v>
      </c>
      <c r="K1201">
        <v>13</v>
      </c>
      <c r="L1201" s="1" t="s">
        <v>58</v>
      </c>
      <c r="M1201">
        <v>327.7</v>
      </c>
      <c r="N1201">
        <v>1288493.53</v>
      </c>
      <c r="O1201">
        <v>4799095.42</v>
      </c>
      <c r="P1201">
        <v>739331.69</v>
      </c>
      <c r="Q1201" s="1" t="s">
        <v>3964</v>
      </c>
      <c r="R1201">
        <v>27</v>
      </c>
      <c r="S1201" s="1" t="s">
        <v>3965</v>
      </c>
      <c r="T1201" t="b">
        <v>0</v>
      </c>
    </row>
    <row r="1202" spans="1:20" x14ac:dyDescent="0.25">
      <c r="A1202" s="1" t="s">
        <v>3966</v>
      </c>
      <c r="B1202" s="1" t="s">
        <v>334</v>
      </c>
      <c r="C1202" s="1" t="s">
        <v>873</v>
      </c>
      <c r="D1202" s="1" t="s">
        <v>513</v>
      </c>
      <c r="E1202" s="1" t="s">
        <v>65</v>
      </c>
      <c r="F1202" s="1" t="s">
        <v>25</v>
      </c>
      <c r="G1202" s="2">
        <v>44924</v>
      </c>
      <c r="H1202" s="2">
        <v>44926</v>
      </c>
      <c r="I1202">
        <v>4</v>
      </c>
      <c r="J1202">
        <v>2</v>
      </c>
      <c r="K1202">
        <v>0</v>
      </c>
      <c r="L1202" s="1" t="s">
        <v>26</v>
      </c>
      <c r="M1202">
        <v>13.9</v>
      </c>
      <c r="N1202">
        <v>45742.19</v>
      </c>
      <c r="O1202">
        <v>4826009.8899999997</v>
      </c>
      <c r="P1202">
        <v>540111.74</v>
      </c>
      <c r="Q1202" s="1" t="s">
        <v>3967</v>
      </c>
      <c r="R1202">
        <v>77</v>
      </c>
      <c r="S1202" s="1" t="s">
        <v>3968</v>
      </c>
      <c r="T1202" t="b">
        <v>1</v>
      </c>
    </row>
    <row r="1203" spans="1:20" x14ac:dyDescent="0.25">
      <c r="A1203" s="1" t="s">
        <v>3969</v>
      </c>
      <c r="B1203" s="1" t="s">
        <v>82</v>
      </c>
      <c r="C1203" s="1" t="s">
        <v>808</v>
      </c>
      <c r="D1203" s="1" t="s">
        <v>350</v>
      </c>
      <c r="E1203" s="1" t="s">
        <v>33</v>
      </c>
      <c r="F1203" s="1" t="s">
        <v>34</v>
      </c>
      <c r="G1203" s="2">
        <v>44874</v>
      </c>
      <c r="H1203" s="2"/>
      <c r="I1203">
        <v>12</v>
      </c>
      <c r="J1203">
        <v>14</v>
      </c>
      <c r="K1203">
        <v>2</v>
      </c>
      <c r="L1203" s="1" t="s">
        <v>26</v>
      </c>
      <c r="M1203">
        <v>198.7</v>
      </c>
      <c r="N1203">
        <v>749882.37</v>
      </c>
      <c r="O1203">
        <v>1126790.7</v>
      </c>
      <c r="P1203">
        <v>356138.41</v>
      </c>
      <c r="Q1203" s="1" t="s">
        <v>3970</v>
      </c>
      <c r="R1203">
        <v>40</v>
      </c>
      <c r="S1203" s="1" t="s">
        <v>3971</v>
      </c>
      <c r="T1203" t="b">
        <v>1</v>
      </c>
    </row>
    <row r="1204" spans="1:20" x14ac:dyDescent="0.25">
      <c r="A1204" s="1" t="s">
        <v>3972</v>
      </c>
      <c r="B1204" s="1" t="s">
        <v>122</v>
      </c>
      <c r="C1204" s="1" t="s">
        <v>211</v>
      </c>
      <c r="D1204" s="1" t="s">
        <v>686</v>
      </c>
      <c r="E1204" s="1" t="s">
        <v>65</v>
      </c>
      <c r="F1204" s="1" t="s">
        <v>25</v>
      </c>
      <c r="G1204" s="2">
        <v>45393</v>
      </c>
      <c r="H1204" s="2">
        <v>45400</v>
      </c>
      <c r="I1204">
        <v>4</v>
      </c>
      <c r="J1204">
        <v>7</v>
      </c>
      <c r="K1204">
        <v>2.5</v>
      </c>
      <c r="L1204" s="1" t="s">
        <v>26</v>
      </c>
      <c r="M1204">
        <v>36</v>
      </c>
      <c r="N1204">
        <v>69023.22</v>
      </c>
      <c r="O1204">
        <v>3780033.08</v>
      </c>
      <c r="P1204">
        <v>663327.76</v>
      </c>
      <c r="Q1204" s="1" t="s">
        <v>3973</v>
      </c>
      <c r="R1204">
        <v>74</v>
      </c>
      <c r="S1204" s="1" t="s">
        <v>3974</v>
      </c>
      <c r="T1204" t="b">
        <v>0</v>
      </c>
    </row>
    <row r="1205" spans="1:20" x14ac:dyDescent="0.25">
      <c r="A1205" s="1" t="s">
        <v>3975</v>
      </c>
      <c r="B1205" s="1" t="s">
        <v>220</v>
      </c>
      <c r="C1205" s="1" t="s">
        <v>1126</v>
      </c>
      <c r="D1205" s="1" t="s">
        <v>130</v>
      </c>
      <c r="E1205" s="1" t="s">
        <v>33</v>
      </c>
      <c r="F1205" s="1" t="s">
        <v>66</v>
      </c>
      <c r="G1205" s="2">
        <v>45068</v>
      </c>
      <c r="H1205" s="2"/>
      <c r="I1205">
        <v>12</v>
      </c>
      <c r="J1205">
        <v>8</v>
      </c>
      <c r="K1205">
        <v>0</v>
      </c>
      <c r="L1205" s="1" t="s">
        <v>26</v>
      </c>
      <c r="M1205">
        <v>76.8</v>
      </c>
      <c r="N1205">
        <v>230431.15</v>
      </c>
      <c r="O1205">
        <v>2054660.27</v>
      </c>
      <c r="P1205">
        <v>333770.58</v>
      </c>
      <c r="Q1205" s="1" t="s">
        <v>3976</v>
      </c>
      <c r="R1205">
        <v>74</v>
      </c>
      <c r="S1205" s="1" t="s">
        <v>3977</v>
      </c>
      <c r="T1205" t="b">
        <v>1</v>
      </c>
    </row>
    <row r="1206" spans="1:20" x14ac:dyDescent="0.25">
      <c r="A1206" s="1" t="s">
        <v>3978</v>
      </c>
      <c r="B1206" s="1" t="s">
        <v>348</v>
      </c>
      <c r="C1206" s="1" t="s">
        <v>2266</v>
      </c>
      <c r="D1206" s="1" t="s">
        <v>282</v>
      </c>
      <c r="E1206" s="1" t="s">
        <v>24</v>
      </c>
      <c r="F1206" s="1" t="s">
        <v>34</v>
      </c>
      <c r="G1206" s="2">
        <v>45174</v>
      </c>
      <c r="H1206" s="2"/>
      <c r="I1206">
        <v>3</v>
      </c>
      <c r="J1206">
        <v>4</v>
      </c>
      <c r="K1206">
        <v>1</v>
      </c>
      <c r="L1206" s="1" t="s">
        <v>26</v>
      </c>
      <c r="M1206">
        <v>24.6</v>
      </c>
      <c r="N1206">
        <v>89150.49</v>
      </c>
      <c r="O1206">
        <v>4953472.01</v>
      </c>
      <c r="P1206">
        <v>918719.75</v>
      </c>
      <c r="Q1206" s="1" t="s">
        <v>3979</v>
      </c>
      <c r="R1206">
        <v>44</v>
      </c>
      <c r="S1206" s="1" t="s">
        <v>3980</v>
      </c>
      <c r="T1206" t="b">
        <v>1</v>
      </c>
    </row>
    <row r="1207" spans="1:20" x14ac:dyDescent="0.25">
      <c r="A1207" s="1" t="s">
        <v>3981</v>
      </c>
      <c r="B1207" s="1" t="s">
        <v>228</v>
      </c>
      <c r="C1207" s="1" t="s">
        <v>753</v>
      </c>
      <c r="D1207" s="1" t="s">
        <v>268</v>
      </c>
      <c r="E1207" s="1" t="s">
        <v>49</v>
      </c>
      <c r="F1207" s="1" t="s">
        <v>50</v>
      </c>
      <c r="G1207" s="2">
        <v>45286</v>
      </c>
      <c r="H1207" s="2"/>
      <c r="I1207">
        <v>25</v>
      </c>
      <c r="J1207">
        <v>13</v>
      </c>
      <c r="K1207">
        <v>0</v>
      </c>
      <c r="L1207" s="1" t="s">
        <v>26</v>
      </c>
      <c r="M1207">
        <v>73.599999999999994</v>
      </c>
      <c r="N1207">
        <v>221549.76</v>
      </c>
      <c r="O1207">
        <v>1547159</v>
      </c>
      <c r="P1207">
        <v>266585.06</v>
      </c>
      <c r="Q1207" s="1" t="s">
        <v>3299</v>
      </c>
      <c r="R1207">
        <v>58</v>
      </c>
      <c r="S1207" s="1" t="s">
        <v>3982</v>
      </c>
      <c r="T1207" t="b">
        <v>0</v>
      </c>
    </row>
    <row r="1208" spans="1:20" x14ac:dyDescent="0.25">
      <c r="A1208" s="1" t="s">
        <v>3983</v>
      </c>
      <c r="B1208" s="1" t="s">
        <v>451</v>
      </c>
      <c r="C1208" s="1" t="s">
        <v>1092</v>
      </c>
      <c r="D1208" s="1" t="s">
        <v>40</v>
      </c>
      <c r="E1208" s="1" t="s">
        <v>41</v>
      </c>
      <c r="F1208" s="1" t="s">
        <v>34</v>
      </c>
      <c r="G1208" s="2">
        <v>45453</v>
      </c>
      <c r="H1208" s="2"/>
      <c r="I1208">
        <v>9</v>
      </c>
      <c r="J1208">
        <v>3</v>
      </c>
      <c r="K1208">
        <v>0</v>
      </c>
      <c r="L1208" s="1" t="s">
        <v>26</v>
      </c>
      <c r="M1208">
        <v>39.5</v>
      </c>
      <c r="N1208">
        <v>149826.26999999999</v>
      </c>
      <c r="O1208">
        <v>4434106.21</v>
      </c>
      <c r="P1208">
        <v>723954.93</v>
      </c>
      <c r="Q1208" s="1" t="s">
        <v>3984</v>
      </c>
      <c r="R1208">
        <v>59</v>
      </c>
      <c r="S1208" s="1" t="s">
        <v>3985</v>
      </c>
      <c r="T1208" t="b">
        <v>0</v>
      </c>
    </row>
    <row r="1209" spans="1:20" x14ac:dyDescent="0.25">
      <c r="A1209" s="1" t="s">
        <v>3986</v>
      </c>
      <c r="B1209" s="1" t="s">
        <v>418</v>
      </c>
      <c r="C1209" s="1" t="s">
        <v>854</v>
      </c>
      <c r="D1209" s="1" t="s">
        <v>89</v>
      </c>
      <c r="E1209" s="1" t="s">
        <v>49</v>
      </c>
      <c r="F1209" s="1" t="s">
        <v>25</v>
      </c>
      <c r="G1209" s="2">
        <v>45428</v>
      </c>
      <c r="H1209" s="2">
        <v>45440</v>
      </c>
      <c r="I1209">
        <v>25</v>
      </c>
      <c r="J1209">
        <v>12</v>
      </c>
      <c r="K1209">
        <v>0</v>
      </c>
      <c r="L1209" s="1" t="s">
        <v>26</v>
      </c>
      <c r="M1209">
        <v>158.1</v>
      </c>
      <c r="N1209">
        <v>529643.64</v>
      </c>
      <c r="O1209">
        <v>1987822.82</v>
      </c>
      <c r="P1209">
        <v>257182.78</v>
      </c>
      <c r="Q1209" s="1" t="s">
        <v>3987</v>
      </c>
      <c r="R1209">
        <v>63</v>
      </c>
      <c r="S1209" s="1" t="s">
        <v>3988</v>
      </c>
      <c r="T1209" t="b">
        <v>0</v>
      </c>
    </row>
    <row r="1210" spans="1:20" x14ac:dyDescent="0.25">
      <c r="A1210" s="1" t="s">
        <v>3989</v>
      </c>
      <c r="B1210" s="1" t="s">
        <v>334</v>
      </c>
      <c r="C1210" s="1" t="s">
        <v>262</v>
      </c>
      <c r="D1210" s="1" t="s">
        <v>1022</v>
      </c>
      <c r="E1210" s="1" t="s">
        <v>49</v>
      </c>
      <c r="F1210" s="1" t="s">
        <v>25</v>
      </c>
      <c r="G1210" s="2">
        <v>45084</v>
      </c>
      <c r="H1210" s="2">
        <v>45115</v>
      </c>
      <c r="I1210">
        <v>25</v>
      </c>
      <c r="J1210">
        <v>31</v>
      </c>
      <c r="K1210">
        <v>6</v>
      </c>
      <c r="L1210" s="1" t="s">
        <v>42</v>
      </c>
      <c r="M1210">
        <v>353.8</v>
      </c>
      <c r="N1210">
        <v>1182273</v>
      </c>
      <c r="O1210">
        <v>2034084.23</v>
      </c>
      <c r="P1210">
        <v>345844.59</v>
      </c>
      <c r="Q1210" s="1" t="s">
        <v>3990</v>
      </c>
      <c r="R1210">
        <v>46</v>
      </c>
      <c r="S1210" s="1" t="s">
        <v>3991</v>
      </c>
      <c r="T1210" t="b">
        <v>0</v>
      </c>
    </row>
    <row r="1211" spans="1:20" x14ac:dyDescent="0.25">
      <c r="A1211" s="1" t="s">
        <v>3992</v>
      </c>
      <c r="B1211" s="1" t="s">
        <v>128</v>
      </c>
      <c r="C1211" s="1" t="s">
        <v>2977</v>
      </c>
      <c r="D1211" s="1" t="s">
        <v>541</v>
      </c>
      <c r="E1211" s="1" t="s">
        <v>24</v>
      </c>
      <c r="F1211" s="1" t="s">
        <v>50</v>
      </c>
      <c r="G1211" s="2">
        <v>45058</v>
      </c>
      <c r="H1211" s="2"/>
      <c r="I1211">
        <v>3</v>
      </c>
      <c r="J1211">
        <v>4</v>
      </c>
      <c r="K1211">
        <v>1</v>
      </c>
      <c r="L1211" s="1" t="s">
        <v>26</v>
      </c>
      <c r="M1211">
        <v>40.9</v>
      </c>
      <c r="N1211">
        <v>143181.38</v>
      </c>
      <c r="O1211">
        <v>1039226.83</v>
      </c>
      <c r="P1211">
        <v>204920.35</v>
      </c>
      <c r="Q1211" s="1" t="s">
        <v>3993</v>
      </c>
      <c r="R1211">
        <v>57</v>
      </c>
      <c r="S1211" s="1" t="s">
        <v>3994</v>
      </c>
      <c r="T1211" t="b">
        <v>1</v>
      </c>
    </row>
    <row r="1212" spans="1:20" x14ac:dyDescent="0.25">
      <c r="A1212" s="1" t="s">
        <v>3995</v>
      </c>
      <c r="B1212" s="1" t="s">
        <v>174</v>
      </c>
      <c r="C1212" s="1" t="s">
        <v>1706</v>
      </c>
      <c r="D1212" s="1" t="s">
        <v>244</v>
      </c>
      <c r="E1212" s="1" t="s">
        <v>24</v>
      </c>
      <c r="F1212" s="1" t="s">
        <v>25</v>
      </c>
      <c r="G1212" s="2">
        <v>45105</v>
      </c>
      <c r="H1212" s="2">
        <v>45106</v>
      </c>
      <c r="I1212">
        <v>3</v>
      </c>
      <c r="J1212">
        <v>1</v>
      </c>
      <c r="K1212">
        <v>0</v>
      </c>
      <c r="L1212" s="1" t="s">
        <v>26</v>
      </c>
      <c r="M1212">
        <v>13.5</v>
      </c>
      <c r="N1212">
        <v>30374.95</v>
      </c>
      <c r="O1212">
        <v>3203648.58</v>
      </c>
      <c r="P1212">
        <v>584130.47</v>
      </c>
      <c r="Q1212" s="1" t="s">
        <v>3996</v>
      </c>
      <c r="R1212">
        <v>76</v>
      </c>
      <c r="S1212" s="1" t="s">
        <v>3997</v>
      </c>
      <c r="T1212" t="b">
        <v>1</v>
      </c>
    </row>
    <row r="1213" spans="1:20" x14ac:dyDescent="0.25">
      <c r="A1213" s="1" t="s">
        <v>3998</v>
      </c>
      <c r="B1213" s="1" t="s">
        <v>122</v>
      </c>
      <c r="C1213" s="1" t="s">
        <v>2635</v>
      </c>
      <c r="D1213" s="1" t="s">
        <v>622</v>
      </c>
      <c r="E1213" s="1" t="s">
        <v>65</v>
      </c>
      <c r="F1213" s="1" t="s">
        <v>25</v>
      </c>
      <c r="G1213" s="2">
        <v>44897</v>
      </c>
      <c r="H1213" s="2">
        <v>44905</v>
      </c>
      <c r="I1213">
        <v>4</v>
      </c>
      <c r="J1213">
        <v>8</v>
      </c>
      <c r="K1213">
        <v>3.5</v>
      </c>
      <c r="L1213" s="1" t="s">
        <v>330</v>
      </c>
      <c r="M1213">
        <v>35.799999999999997</v>
      </c>
      <c r="N1213">
        <v>103124.76</v>
      </c>
      <c r="O1213">
        <v>2768855.96</v>
      </c>
      <c r="P1213">
        <v>546173.71</v>
      </c>
      <c r="Q1213" s="1" t="s">
        <v>3999</v>
      </c>
      <c r="R1213">
        <v>53</v>
      </c>
      <c r="S1213" s="1" t="s">
        <v>4000</v>
      </c>
      <c r="T1213" t="b">
        <v>1</v>
      </c>
    </row>
    <row r="1214" spans="1:20" x14ac:dyDescent="0.25">
      <c r="A1214" s="1" t="s">
        <v>4001</v>
      </c>
      <c r="B1214" s="1" t="s">
        <v>122</v>
      </c>
      <c r="C1214" s="1" t="s">
        <v>1311</v>
      </c>
      <c r="D1214" s="1" t="s">
        <v>249</v>
      </c>
      <c r="E1214" s="1" t="s">
        <v>33</v>
      </c>
      <c r="F1214" s="1" t="s">
        <v>66</v>
      </c>
      <c r="G1214" s="2">
        <v>45015</v>
      </c>
      <c r="H1214" s="2"/>
      <c r="I1214">
        <v>12</v>
      </c>
      <c r="J1214">
        <v>14</v>
      </c>
      <c r="K1214">
        <v>2</v>
      </c>
      <c r="L1214" s="1" t="s">
        <v>26</v>
      </c>
      <c r="M1214">
        <v>152.30000000000001</v>
      </c>
      <c r="N1214">
        <v>352250.94</v>
      </c>
      <c r="O1214">
        <v>3331969.71</v>
      </c>
      <c r="P1214">
        <v>383582.27</v>
      </c>
      <c r="Q1214" s="1" t="s">
        <v>1803</v>
      </c>
      <c r="R1214">
        <v>59</v>
      </c>
      <c r="S1214" s="1" t="s">
        <v>4002</v>
      </c>
      <c r="T1214" t="b">
        <v>0</v>
      </c>
    </row>
    <row r="1215" spans="1:20" x14ac:dyDescent="0.25">
      <c r="A1215" s="1" t="s">
        <v>4003</v>
      </c>
      <c r="B1215" s="1" t="s">
        <v>272</v>
      </c>
      <c r="C1215" s="1" t="s">
        <v>986</v>
      </c>
      <c r="D1215" s="1" t="s">
        <v>192</v>
      </c>
      <c r="E1215" s="1" t="s">
        <v>41</v>
      </c>
      <c r="F1215" s="1" t="s">
        <v>25</v>
      </c>
      <c r="G1215" s="2">
        <v>45098</v>
      </c>
      <c r="H1215" s="2">
        <v>45109</v>
      </c>
      <c r="I1215">
        <v>9</v>
      </c>
      <c r="J1215">
        <v>11</v>
      </c>
      <c r="K1215">
        <v>2</v>
      </c>
      <c r="L1215" s="1" t="s">
        <v>26</v>
      </c>
      <c r="M1215">
        <v>89.9</v>
      </c>
      <c r="N1215">
        <v>400726.52</v>
      </c>
      <c r="O1215">
        <v>1190446.3799999999</v>
      </c>
      <c r="P1215">
        <v>182885.8</v>
      </c>
      <c r="Q1215" s="1" t="s">
        <v>4004</v>
      </c>
      <c r="R1215">
        <v>33</v>
      </c>
      <c r="S1215" s="1" t="s">
        <v>4005</v>
      </c>
      <c r="T1215" t="b">
        <v>1</v>
      </c>
    </row>
    <row r="1216" spans="1:20" x14ac:dyDescent="0.25">
      <c r="A1216" s="1" t="s">
        <v>4006</v>
      </c>
      <c r="B1216" s="1" t="s">
        <v>128</v>
      </c>
      <c r="C1216" s="1" t="s">
        <v>2977</v>
      </c>
      <c r="D1216" s="1" t="s">
        <v>686</v>
      </c>
      <c r="E1216" s="1" t="s">
        <v>41</v>
      </c>
      <c r="F1216" s="1" t="s">
        <v>25</v>
      </c>
      <c r="G1216" s="2">
        <v>45268</v>
      </c>
      <c r="H1216" s="2">
        <v>45283</v>
      </c>
      <c r="I1216">
        <v>9</v>
      </c>
      <c r="J1216">
        <v>15</v>
      </c>
      <c r="K1216">
        <v>6</v>
      </c>
      <c r="L1216" s="1" t="s">
        <v>330</v>
      </c>
      <c r="M1216">
        <v>182.2</v>
      </c>
      <c r="N1216">
        <v>378050.57</v>
      </c>
      <c r="O1216">
        <v>4444136.63</v>
      </c>
      <c r="P1216">
        <v>857652.17</v>
      </c>
      <c r="Q1216" s="1" t="s">
        <v>4007</v>
      </c>
      <c r="R1216">
        <v>55</v>
      </c>
      <c r="S1216" s="1" t="s">
        <v>4008</v>
      </c>
      <c r="T1216" t="b">
        <v>0</v>
      </c>
    </row>
    <row r="1217" spans="1:20" x14ac:dyDescent="0.25">
      <c r="A1217" s="1" t="s">
        <v>4009</v>
      </c>
      <c r="B1217" s="1" t="s">
        <v>105</v>
      </c>
      <c r="C1217" s="1" t="s">
        <v>2617</v>
      </c>
      <c r="D1217" s="1" t="s">
        <v>350</v>
      </c>
      <c r="E1217" s="1" t="s">
        <v>65</v>
      </c>
      <c r="F1217" s="1" t="s">
        <v>66</v>
      </c>
      <c r="G1217" s="2">
        <v>44954</v>
      </c>
      <c r="H1217" s="2"/>
      <c r="I1217">
        <v>4</v>
      </c>
      <c r="J1217">
        <v>5</v>
      </c>
      <c r="K1217">
        <v>0.5</v>
      </c>
      <c r="L1217" s="1" t="s">
        <v>26</v>
      </c>
      <c r="M1217">
        <v>45.9</v>
      </c>
      <c r="N1217">
        <v>153195.93</v>
      </c>
      <c r="O1217">
        <v>2518241.52</v>
      </c>
      <c r="P1217">
        <v>395333.3</v>
      </c>
      <c r="Q1217" s="1" t="s">
        <v>4010</v>
      </c>
      <c r="R1217">
        <v>30</v>
      </c>
      <c r="S1217" s="1" t="s">
        <v>4011</v>
      </c>
      <c r="T1217" t="b">
        <v>0</v>
      </c>
    </row>
    <row r="1218" spans="1:20" x14ac:dyDescent="0.25">
      <c r="A1218" s="1" t="s">
        <v>4012</v>
      </c>
      <c r="B1218" s="1" t="s">
        <v>242</v>
      </c>
      <c r="C1218" s="1" t="s">
        <v>730</v>
      </c>
      <c r="D1218" s="1" t="s">
        <v>72</v>
      </c>
      <c r="E1218" s="1" t="s">
        <v>33</v>
      </c>
      <c r="F1218" s="1" t="s">
        <v>25</v>
      </c>
      <c r="G1218" s="2">
        <v>44633</v>
      </c>
      <c r="H1218" s="2">
        <v>44649</v>
      </c>
      <c r="I1218">
        <v>12</v>
      </c>
      <c r="J1218">
        <v>16</v>
      </c>
      <c r="K1218">
        <v>4</v>
      </c>
      <c r="L1218" s="1" t="s">
        <v>330</v>
      </c>
      <c r="M1218">
        <v>208</v>
      </c>
      <c r="N1218">
        <v>614611.37</v>
      </c>
      <c r="O1218">
        <v>4443892.4400000004</v>
      </c>
      <c r="P1218">
        <v>568006.87</v>
      </c>
      <c r="Q1218" s="1" t="s">
        <v>4013</v>
      </c>
      <c r="R1218">
        <v>58</v>
      </c>
      <c r="S1218" s="1" t="s">
        <v>4014</v>
      </c>
      <c r="T1218" t="b">
        <v>1</v>
      </c>
    </row>
    <row r="1219" spans="1:20" x14ac:dyDescent="0.25">
      <c r="A1219" s="1" t="s">
        <v>4015</v>
      </c>
      <c r="B1219" s="1" t="s">
        <v>138</v>
      </c>
      <c r="C1219" s="1" t="s">
        <v>197</v>
      </c>
      <c r="D1219" s="1" t="s">
        <v>306</v>
      </c>
      <c r="E1219" s="1" t="s">
        <v>65</v>
      </c>
      <c r="F1219" s="1" t="s">
        <v>25</v>
      </c>
      <c r="G1219" s="2">
        <v>45367</v>
      </c>
      <c r="H1219" s="2">
        <v>45373</v>
      </c>
      <c r="I1219">
        <v>4</v>
      </c>
      <c r="J1219">
        <v>6</v>
      </c>
      <c r="K1219">
        <v>1.5</v>
      </c>
      <c r="L1219" s="1" t="s">
        <v>26</v>
      </c>
      <c r="M1219">
        <v>92.7</v>
      </c>
      <c r="N1219">
        <v>306678.52</v>
      </c>
      <c r="O1219">
        <v>4646336.87</v>
      </c>
      <c r="P1219">
        <v>900705.95</v>
      </c>
      <c r="Q1219" s="1" t="s">
        <v>4016</v>
      </c>
      <c r="R1219">
        <v>70</v>
      </c>
      <c r="S1219" s="1" t="s">
        <v>4017</v>
      </c>
      <c r="T1219" t="b">
        <v>1</v>
      </c>
    </row>
    <row r="1220" spans="1:20" x14ac:dyDescent="0.25">
      <c r="A1220" s="1" t="s">
        <v>4018</v>
      </c>
      <c r="B1220" s="1" t="s">
        <v>46</v>
      </c>
      <c r="C1220" s="1" t="s">
        <v>1765</v>
      </c>
      <c r="D1220" s="1" t="s">
        <v>72</v>
      </c>
      <c r="E1220" s="1" t="s">
        <v>24</v>
      </c>
      <c r="F1220" s="1" t="s">
        <v>25</v>
      </c>
      <c r="G1220" s="2">
        <v>44801</v>
      </c>
      <c r="H1220" s="2">
        <v>44806</v>
      </c>
      <c r="I1220">
        <v>3</v>
      </c>
      <c r="J1220">
        <v>5</v>
      </c>
      <c r="K1220">
        <v>2</v>
      </c>
      <c r="L1220" s="1" t="s">
        <v>26</v>
      </c>
      <c r="M1220">
        <v>55.8</v>
      </c>
      <c r="N1220">
        <v>231852.08</v>
      </c>
      <c r="O1220">
        <v>693265.82</v>
      </c>
      <c r="P1220">
        <v>178773.38</v>
      </c>
      <c r="Q1220" s="1" t="s">
        <v>4019</v>
      </c>
      <c r="R1220">
        <v>20</v>
      </c>
      <c r="S1220" s="1" t="s">
        <v>4020</v>
      </c>
      <c r="T1220" t="b">
        <v>0</v>
      </c>
    </row>
    <row r="1221" spans="1:20" x14ac:dyDescent="0.25">
      <c r="A1221" s="1" t="s">
        <v>4021</v>
      </c>
      <c r="B1221" s="1" t="s">
        <v>545</v>
      </c>
      <c r="C1221" s="1" t="s">
        <v>966</v>
      </c>
      <c r="D1221" s="1" t="s">
        <v>72</v>
      </c>
      <c r="E1221" s="1" t="s">
        <v>57</v>
      </c>
      <c r="F1221" s="1" t="s">
        <v>34</v>
      </c>
      <c r="G1221" s="2">
        <v>45045</v>
      </c>
      <c r="H1221" s="2"/>
      <c r="I1221">
        <v>40</v>
      </c>
      <c r="J1221">
        <v>38</v>
      </c>
      <c r="K1221">
        <v>0</v>
      </c>
      <c r="L1221" s="1" t="s">
        <v>26</v>
      </c>
      <c r="M1221">
        <v>352.4</v>
      </c>
      <c r="N1221">
        <v>662293.09</v>
      </c>
      <c r="O1221">
        <v>2499530.66</v>
      </c>
      <c r="P1221">
        <v>468076.49</v>
      </c>
      <c r="Q1221" s="1" t="s">
        <v>4022</v>
      </c>
      <c r="R1221">
        <v>34</v>
      </c>
      <c r="S1221" s="1" t="s">
        <v>4023</v>
      </c>
      <c r="T1221" t="b">
        <v>0</v>
      </c>
    </row>
    <row r="1222" spans="1:20" x14ac:dyDescent="0.25">
      <c r="A1222" s="1" t="s">
        <v>4024</v>
      </c>
      <c r="B1222" s="1" t="s">
        <v>358</v>
      </c>
      <c r="C1222" s="1" t="s">
        <v>3924</v>
      </c>
      <c r="D1222" s="1" t="s">
        <v>686</v>
      </c>
      <c r="E1222" s="1" t="s">
        <v>57</v>
      </c>
      <c r="F1222" s="1" t="s">
        <v>25</v>
      </c>
      <c r="G1222" s="2">
        <v>45230</v>
      </c>
      <c r="H1222" s="2">
        <v>45264</v>
      </c>
      <c r="I1222">
        <v>40</v>
      </c>
      <c r="J1222">
        <v>34</v>
      </c>
      <c r="K1222">
        <v>0</v>
      </c>
      <c r="L1222" s="1" t="s">
        <v>26</v>
      </c>
      <c r="M1222">
        <v>354</v>
      </c>
      <c r="N1222">
        <v>935925.56</v>
      </c>
      <c r="O1222">
        <v>2450603.5699999998</v>
      </c>
      <c r="P1222">
        <v>366366.8</v>
      </c>
      <c r="Q1222" s="1" t="s">
        <v>4025</v>
      </c>
      <c r="R1222">
        <v>30</v>
      </c>
      <c r="S1222" s="1" t="s">
        <v>4026</v>
      </c>
      <c r="T1222" t="b">
        <v>1</v>
      </c>
    </row>
    <row r="1223" spans="1:20" x14ac:dyDescent="0.25">
      <c r="A1223" s="1" t="s">
        <v>4027</v>
      </c>
      <c r="B1223" s="1" t="s">
        <v>629</v>
      </c>
      <c r="C1223" s="1" t="s">
        <v>1092</v>
      </c>
      <c r="D1223" s="1" t="s">
        <v>95</v>
      </c>
      <c r="E1223" s="1" t="s">
        <v>41</v>
      </c>
      <c r="F1223" s="1" t="s">
        <v>25</v>
      </c>
      <c r="G1223" s="2">
        <v>44568</v>
      </c>
      <c r="H1223" s="2">
        <v>44577</v>
      </c>
      <c r="I1223">
        <v>9</v>
      </c>
      <c r="J1223">
        <v>9</v>
      </c>
      <c r="K1223">
        <v>0</v>
      </c>
      <c r="L1223" s="1" t="s">
        <v>26</v>
      </c>
      <c r="M1223">
        <v>49.8</v>
      </c>
      <c r="N1223">
        <v>114492.9</v>
      </c>
      <c r="O1223">
        <v>466108.85</v>
      </c>
      <c r="P1223">
        <v>108509.91</v>
      </c>
      <c r="Q1223" s="1" t="s">
        <v>4028</v>
      </c>
      <c r="R1223">
        <v>49</v>
      </c>
      <c r="S1223" s="1" t="s">
        <v>4029</v>
      </c>
      <c r="T1223" t="b">
        <v>0</v>
      </c>
    </row>
    <row r="1224" spans="1:20" x14ac:dyDescent="0.25">
      <c r="A1224" s="1" t="s">
        <v>4030</v>
      </c>
      <c r="B1224" s="1" t="s">
        <v>99</v>
      </c>
      <c r="C1224" s="1" t="s">
        <v>753</v>
      </c>
      <c r="D1224" s="1" t="s">
        <v>154</v>
      </c>
      <c r="E1224" s="1" t="s">
        <v>65</v>
      </c>
      <c r="F1224" s="1" t="s">
        <v>50</v>
      </c>
      <c r="G1224" s="2">
        <v>44883</v>
      </c>
      <c r="H1224" s="2"/>
      <c r="I1224">
        <v>4</v>
      </c>
      <c r="J1224">
        <v>5</v>
      </c>
      <c r="K1224">
        <v>0.5</v>
      </c>
      <c r="L1224" s="1" t="s">
        <v>26</v>
      </c>
      <c r="M1224">
        <v>52.2</v>
      </c>
      <c r="N1224">
        <v>170853.74</v>
      </c>
      <c r="O1224">
        <v>1239440.06</v>
      </c>
      <c r="P1224">
        <v>189896.77</v>
      </c>
      <c r="Q1224" s="1" t="s">
        <v>4031</v>
      </c>
      <c r="R1224">
        <v>31</v>
      </c>
      <c r="S1224" s="1" t="s">
        <v>4032</v>
      </c>
      <c r="T1224" t="b">
        <v>0</v>
      </c>
    </row>
    <row r="1225" spans="1:20" x14ac:dyDescent="0.25">
      <c r="A1225" s="1" t="s">
        <v>4033</v>
      </c>
      <c r="B1225" s="1" t="s">
        <v>253</v>
      </c>
      <c r="C1225" s="1" t="s">
        <v>371</v>
      </c>
      <c r="D1225" s="1" t="s">
        <v>230</v>
      </c>
      <c r="E1225" s="1" t="s">
        <v>41</v>
      </c>
      <c r="F1225" s="1" t="s">
        <v>50</v>
      </c>
      <c r="G1225" s="2">
        <v>44910</v>
      </c>
      <c r="H1225" s="2"/>
      <c r="I1225">
        <v>9</v>
      </c>
      <c r="J1225">
        <v>8</v>
      </c>
      <c r="K1225">
        <v>0</v>
      </c>
      <c r="L1225" s="1" t="s">
        <v>26</v>
      </c>
      <c r="M1225">
        <v>45.4</v>
      </c>
      <c r="N1225">
        <v>187042.86</v>
      </c>
      <c r="O1225">
        <v>516001.72</v>
      </c>
      <c r="P1225">
        <v>78435.600000000006</v>
      </c>
      <c r="Q1225" s="1" t="s">
        <v>4034</v>
      </c>
      <c r="R1225">
        <v>24</v>
      </c>
      <c r="S1225" s="1" t="s">
        <v>4035</v>
      </c>
      <c r="T1225" t="b">
        <v>1</v>
      </c>
    </row>
    <row r="1226" spans="1:20" x14ac:dyDescent="0.25">
      <c r="A1226" s="1" t="s">
        <v>4036</v>
      </c>
      <c r="B1226" s="1" t="s">
        <v>348</v>
      </c>
      <c r="C1226" s="1" t="s">
        <v>1017</v>
      </c>
      <c r="D1226" s="1" t="s">
        <v>622</v>
      </c>
      <c r="E1226" s="1" t="s">
        <v>33</v>
      </c>
      <c r="F1226" s="1" t="s">
        <v>66</v>
      </c>
      <c r="G1226" s="2">
        <v>45250</v>
      </c>
      <c r="H1226" s="2"/>
      <c r="I1226">
        <v>12</v>
      </c>
      <c r="J1226">
        <v>16</v>
      </c>
      <c r="K1226">
        <v>4</v>
      </c>
      <c r="L1226" s="1" t="s">
        <v>42</v>
      </c>
      <c r="M1226">
        <v>73.099999999999994</v>
      </c>
      <c r="N1226">
        <v>192471.37</v>
      </c>
      <c r="O1226">
        <v>472803.24</v>
      </c>
      <c r="P1226">
        <v>96347.520000000004</v>
      </c>
      <c r="Q1226" s="1" t="s">
        <v>4037</v>
      </c>
      <c r="R1226">
        <v>69</v>
      </c>
      <c r="S1226" s="1" t="s">
        <v>4038</v>
      </c>
      <c r="T1226" t="b">
        <v>1</v>
      </c>
    </row>
    <row r="1227" spans="1:20" x14ac:dyDescent="0.25">
      <c r="A1227" s="1" t="s">
        <v>4039</v>
      </c>
      <c r="B1227" s="1" t="s">
        <v>185</v>
      </c>
      <c r="C1227" s="1" t="s">
        <v>1879</v>
      </c>
      <c r="D1227" s="1" t="s">
        <v>513</v>
      </c>
      <c r="E1227" s="1" t="s">
        <v>65</v>
      </c>
      <c r="F1227" s="1" t="s">
        <v>50</v>
      </c>
      <c r="G1227" s="2">
        <v>45171</v>
      </c>
      <c r="H1227" s="2"/>
      <c r="I1227">
        <v>4</v>
      </c>
      <c r="J1227">
        <v>5</v>
      </c>
      <c r="K1227">
        <v>0.5</v>
      </c>
      <c r="L1227" s="1" t="s">
        <v>26</v>
      </c>
      <c r="M1227">
        <v>26.7</v>
      </c>
      <c r="N1227">
        <v>104972.94</v>
      </c>
      <c r="O1227">
        <v>2311608.06</v>
      </c>
      <c r="P1227">
        <v>327786.77</v>
      </c>
      <c r="Q1227" s="1" t="s">
        <v>4040</v>
      </c>
      <c r="R1227">
        <v>36</v>
      </c>
      <c r="S1227" s="1" t="s">
        <v>4041</v>
      </c>
      <c r="T1227" t="b">
        <v>0</v>
      </c>
    </row>
    <row r="1228" spans="1:20" x14ac:dyDescent="0.25">
      <c r="A1228" s="1" t="s">
        <v>4042</v>
      </c>
      <c r="B1228" s="1" t="s">
        <v>82</v>
      </c>
      <c r="C1228" s="1" t="s">
        <v>123</v>
      </c>
      <c r="D1228" s="1" t="s">
        <v>249</v>
      </c>
      <c r="E1228" s="1" t="s">
        <v>33</v>
      </c>
      <c r="F1228" s="1" t="s">
        <v>25</v>
      </c>
      <c r="G1228" s="2">
        <v>44978</v>
      </c>
      <c r="H1228" s="2">
        <v>44987</v>
      </c>
      <c r="I1228">
        <v>12</v>
      </c>
      <c r="J1228">
        <v>9</v>
      </c>
      <c r="K1228">
        <v>0</v>
      </c>
      <c r="L1228" s="1" t="s">
        <v>26</v>
      </c>
      <c r="M1228">
        <v>88.7</v>
      </c>
      <c r="N1228">
        <v>287623.24</v>
      </c>
      <c r="O1228">
        <v>1119005.24</v>
      </c>
      <c r="P1228">
        <v>158219.23000000001</v>
      </c>
      <c r="Q1228" s="1" t="s">
        <v>4043</v>
      </c>
      <c r="R1228">
        <v>72</v>
      </c>
      <c r="S1228" s="1" t="s">
        <v>4044</v>
      </c>
      <c r="T1228" t="b">
        <v>1</v>
      </c>
    </row>
    <row r="1229" spans="1:20" x14ac:dyDescent="0.25">
      <c r="A1229" s="1" t="s">
        <v>4045</v>
      </c>
      <c r="B1229" s="1" t="s">
        <v>122</v>
      </c>
      <c r="C1229" s="1" t="s">
        <v>525</v>
      </c>
      <c r="D1229" s="1" t="s">
        <v>513</v>
      </c>
      <c r="E1229" s="1" t="s">
        <v>33</v>
      </c>
      <c r="F1229" s="1" t="s">
        <v>66</v>
      </c>
      <c r="G1229" s="2">
        <v>45436</v>
      </c>
      <c r="H1229" s="2"/>
      <c r="I1229">
        <v>12</v>
      </c>
      <c r="J1229">
        <v>13</v>
      </c>
      <c r="K1229">
        <v>1</v>
      </c>
      <c r="L1229" s="1" t="s">
        <v>26</v>
      </c>
      <c r="M1229">
        <v>130.9</v>
      </c>
      <c r="N1229">
        <v>550039.97</v>
      </c>
      <c r="O1229">
        <v>4062304.46</v>
      </c>
      <c r="P1229">
        <v>718057.34</v>
      </c>
      <c r="Q1229" s="1" t="s">
        <v>4046</v>
      </c>
      <c r="R1229">
        <v>20</v>
      </c>
      <c r="S1229" s="1" t="s">
        <v>4047</v>
      </c>
      <c r="T1229" t="b">
        <v>0</v>
      </c>
    </row>
    <row r="1230" spans="1:20" x14ac:dyDescent="0.25">
      <c r="A1230" s="1" t="s">
        <v>4048</v>
      </c>
      <c r="B1230" s="1" t="s">
        <v>545</v>
      </c>
      <c r="C1230" s="1" t="s">
        <v>1983</v>
      </c>
      <c r="D1230" s="1" t="s">
        <v>350</v>
      </c>
      <c r="E1230" s="1" t="s">
        <v>57</v>
      </c>
      <c r="F1230" s="1" t="s">
        <v>25</v>
      </c>
      <c r="G1230" s="2">
        <v>45452</v>
      </c>
      <c r="H1230" s="2">
        <v>45476</v>
      </c>
      <c r="I1230">
        <v>40</v>
      </c>
      <c r="J1230">
        <v>24</v>
      </c>
      <c r="K1230">
        <v>0</v>
      </c>
      <c r="L1230" s="1" t="s">
        <v>26</v>
      </c>
      <c r="M1230">
        <v>186.3</v>
      </c>
      <c r="N1230">
        <v>396821.47</v>
      </c>
      <c r="O1230">
        <v>3460632.42</v>
      </c>
      <c r="P1230">
        <v>543358.53</v>
      </c>
      <c r="Q1230" s="1" t="s">
        <v>1117</v>
      </c>
      <c r="R1230">
        <v>71</v>
      </c>
      <c r="S1230" s="1" t="s">
        <v>4049</v>
      </c>
      <c r="T1230" t="b">
        <v>1</v>
      </c>
    </row>
    <row r="1231" spans="1:20" x14ac:dyDescent="0.25">
      <c r="A1231" s="1" t="s">
        <v>4050</v>
      </c>
      <c r="B1231" s="1" t="s">
        <v>451</v>
      </c>
      <c r="C1231" s="1" t="s">
        <v>254</v>
      </c>
      <c r="D1231" s="1" t="s">
        <v>288</v>
      </c>
      <c r="E1231" s="1" t="s">
        <v>49</v>
      </c>
      <c r="F1231" s="1" t="s">
        <v>66</v>
      </c>
      <c r="G1231" s="2">
        <v>44769</v>
      </c>
      <c r="H1231" s="2"/>
      <c r="I1231">
        <v>25</v>
      </c>
      <c r="J1231">
        <v>37</v>
      </c>
      <c r="K1231">
        <v>12</v>
      </c>
      <c r="L1231" s="1" t="s">
        <v>101</v>
      </c>
      <c r="M1231">
        <v>195.7</v>
      </c>
      <c r="N1231">
        <v>576749.55000000005</v>
      </c>
      <c r="O1231">
        <v>2397047.21</v>
      </c>
      <c r="P1231">
        <v>384374.34</v>
      </c>
      <c r="Q1231" s="1" t="s">
        <v>4051</v>
      </c>
      <c r="R1231">
        <v>44</v>
      </c>
      <c r="S1231" s="1" t="s">
        <v>4052</v>
      </c>
      <c r="T1231" t="b">
        <v>1</v>
      </c>
    </row>
    <row r="1232" spans="1:20" x14ac:dyDescent="0.25">
      <c r="A1232" s="1" t="s">
        <v>4053</v>
      </c>
      <c r="B1232" s="1" t="s">
        <v>286</v>
      </c>
      <c r="C1232" s="1" t="s">
        <v>1834</v>
      </c>
      <c r="D1232" s="1" t="s">
        <v>713</v>
      </c>
      <c r="E1232" s="1" t="s">
        <v>49</v>
      </c>
      <c r="F1232" s="1" t="s">
        <v>25</v>
      </c>
      <c r="G1232" s="2">
        <v>45376</v>
      </c>
      <c r="H1232" s="2">
        <v>45395</v>
      </c>
      <c r="I1232">
        <v>25</v>
      </c>
      <c r="J1232">
        <v>19</v>
      </c>
      <c r="K1232">
        <v>0</v>
      </c>
      <c r="L1232" s="1" t="s">
        <v>26</v>
      </c>
      <c r="M1232">
        <v>127.2</v>
      </c>
      <c r="N1232">
        <v>508393.99</v>
      </c>
      <c r="O1232">
        <v>691393.08</v>
      </c>
      <c r="P1232">
        <v>192517.98</v>
      </c>
      <c r="Q1232" s="1" t="s">
        <v>4054</v>
      </c>
      <c r="R1232">
        <v>41</v>
      </c>
      <c r="S1232" s="1" t="s">
        <v>4055</v>
      </c>
      <c r="T1232" t="b">
        <v>1</v>
      </c>
    </row>
    <row r="1233" spans="1:20" x14ac:dyDescent="0.25">
      <c r="A1233" s="1" t="s">
        <v>4056</v>
      </c>
      <c r="B1233" s="1" t="s">
        <v>228</v>
      </c>
      <c r="C1233" s="1" t="s">
        <v>63</v>
      </c>
      <c r="D1233" s="1" t="s">
        <v>686</v>
      </c>
      <c r="E1233" s="1" t="s">
        <v>41</v>
      </c>
      <c r="F1233" s="1" t="s">
        <v>25</v>
      </c>
      <c r="G1233" s="2">
        <v>44621</v>
      </c>
      <c r="H1233" s="2">
        <v>44625</v>
      </c>
      <c r="I1233">
        <v>9</v>
      </c>
      <c r="J1233">
        <v>4</v>
      </c>
      <c r="K1233">
        <v>0</v>
      </c>
      <c r="L1233" s="1" t="s">
        <v>26</v>
      </c>
      <c r="M1233">
        <v>18.3</v>
      </c>
      <c r="N1233">
        <v>62367.48</v>
      </c>
      <c r="O1233">
        <v>1708018.8</v>
      </c>
      <c r="P1233">
        <v>217381.31</v>
      </c>
      <c r="Q1233" s="1" t="s">
        <v>4057</v>
      </c>
      <c r="R1233">
        <v>65</v>
      </c>
      <c r="S1233" s="1" t="s">
        <v>4058</v>
      </c>
      <c r="T1233" t="b">
        <v>1</v>
      </c>
    </row>
    <row r="1234" spans="1:20" x14ac:dyDescent="0.25">
      <c r="A1234" s="1" t="s">
        <v>4059</v>
      </c>
      <c r="B1234" s="1" t="s">
        <v>328</v>
      </c>
      <c r="C1234" s="1" t="s">
        <v>677</v>
      </c>
      <c r="D1234" s="1" t="s">
        <v>130</v>
      </c>
      <c r="E1234" s="1" t="s">
        <v>41</v>
      </c>
      <c r="F1234" s="1" t="s">
        <v>66</v>
      </c>
      <c r="G1234" s="2">
        <v>45400</v>
      </c>
      <c r="H1234" s="2"/>
      <c r="I1234">
        <v>9</v>
      </c>
      <c r="J1234">
        <v>7</v>
      </c>
      <c r="K1234">
        <v>0</v>
      </c>
      <c r="L1234" s="1" t="s">
        <v>26</v>
      </c>
      <c r="M1234">
        <v>104</v>
      </c>
      <c r="N1234">
        <v>234992.49</v>
      </c>
      <c r="O1234">
        <v>1481097.14</v>
      </c>
      <c r="P1234">
        <v>219133.55</v>
      </c>
      <c r="Q1234" s="1" t="s">
        <v>4060</v>
      </c>
      <c r="R1234">
        <v>43</v>
      </c>
      <c r="S1234" s="1" t="s">
        <v>4061</v>
      </c>
      <c r="T1234" t="b">
        <v>0</v>
      </c>
    </row>
    <row r="1235" spans="1:20" x14ac:dyDescent="0.25">
      <c r="A1235" s="1" t="s">
        <v>4062</v>
      </c>
      <c r="B1235" s="1" t="s">
        <v>105</v>
      </c>
      <c r="C1235" s="1" t="s">
        <v>1639</v>
      </c>
      <c r="D1235" s="1" t="s">
        <v>344</v>
      </c>
      <c r="E1235" s="1" t="s">
        <v>49</v>
      </c>
      <c r="F1235" s="1" t="s">
        <v>25</v>
      </c>
      <c r="G1235" s="2">
        <v>44911</v>
      </c>
      <c r="H1235" s="2">
        <v>44947</v>
      </c>
      <c r="I1235">
        <v>25</v>
      </c>
      <c r="J1235">
        <v>36</v>
      </c>
      <c r="K1235">
        <v>11</v>
      </c>
      <c r="L1235" s="1" t="s">
        <v>26</v>
      </c>
      <c r="M1235">
        <v>478.9</v>
      </c>
      <c r="N1235">
        <v>1495964.54</v>
      </c>
      <c r="O1235">
        <v>3179196.13</v>
      </c>
      <c r="P1235">
        <v>734474.6</v>
      </c>
      <c r="Q1235" s="1" t="s">
        <v>4063</v>
      </c>
      <c r="R1235">
        <v>29</v>
      </c>
      <c r="S1235" s="1" t="s">
        <v>4064</v>
      </c>
      <c r="T1235" t="b">
        <v>1</v>
      </c>
    </row>
    <row r="1236" spans="1:20" x14ac:dyDescent="0.25">
      <c r="A1236" s="1" t="s">
        <v>4065</v>
      </c>
      <c r="B1236" s="1" t="s">
        <v>328</v>
      </c>
      <c r="C1236" s="1" t="s">
        <v>808</v>
      </c>
      <c r="D1236" s="1" t="s">
        <v>282</v>
      </c>
      <c r="E1236" s="1" t="s">
        <v>41</v>
      </c>
      <c r="F1236" s="1" t="s">
        <v>66</v>
      </c>
      <c r="G1236" s="2">
        <v>45465</v>
      </c>
      <c r="H1236" s="2"/>
      <c r="I1236">
        <v>9</v>
      </c>
      <c r="J1236">
        <v>10</v>
      </c>
      <c r="K1236">
        <v>1</v>
      </c>
      <c r="L1236" s="1" t="s">
        <v>26</v>
      </c>
      <c r="M1236">
        <v>127.7</v>
      </c>
      <c r="N1236">
        <v>439907</v>
      </c>
      <c r="O1236">
        <v>4486998.1900000004</v>
      </c>
      <c r="P1236">
        <v>909372.86</v>
      </c>
      <c r="Q1236" s="1" t="s">
        <v>4066</v>
      </c>
      <c r="R1236">
        <v>32</v>
      </c>
      <c r="S1236" s="1" t="s">
        <v>4067</v>
      </c>
      <c r="T1236" t="b">
        <v>0</v>
      </c>
    </row>
    <row r="1237" spans="1:20" x14ac:dyDescent="0.25">
      <c r="A1237" s="1" t="s">
        <v>4068</v>
      </c>
      <c r="B1237" s="1" t="s">
        <v>117</v>
      </c>
      <c r="C1237" s="1" t="s">
        <v>2852</v>
      </c>
      <c r="D1237" s="1" t="s">
        <v>595</v>
      </c>
      <c r="E1237" s="1" t="s">
        <v>65</v>
      </c>
      <c r="F1237" s="1" t="s">
        <v>25</v>
      </c>
      <c r="G1237" s="2">
        <v>44729</v>
      </c>
      <c r="H1237" s="2">
        <v>44735</v>
      </c>
      <c r="I1237">
        <v>4</v>
      </c>
      <c r="J1237">
        <v>6</v>
      </c>
      <c r="K1237">
        <v>1.5</v>
      </c>
      <c r="L1237" s="1" t="s">
        <v>26</v>
      </c>
      <c r="M1237">
        <v>78</v>
      </c>
      <c r="N1237">
        <v>251832.86</v>
      </c>
      <c r="O1237">
        <v>4580361.37</v>
      </c>
      <c r="P1237">
        <v>610157.36</v>
      </c>
      <c r="Q1237" s="1" t="s">
        <v>1168</v>
      </c>
      <c r="R1237">
        <v>51</v>
      </c>
      <c r="S1237" s="1" t="s">
        <v>4069</v>
      </c>
      <c r="T1237" t="b">
        <v>1</v>
      </c>
    </row>
    <row r="1238" spans="1:20" x14ac:dyDescent="0.25">
      <c r="A1238" s="1" t="s">
        <v>4070</v>
      </c>
      <c r="B1238" s="1" t="s">
        <v>122</v>
      </c>
      <c r="C1238" s="1" t="s">
        <v>273</v>
      </c>
      <c r="D1238" s="1" t="s">
        <v>541</v>
      </c>
      <c r="E1238" s="1" t="s">
        <v>65</v>
      </c>
      <c r="F1238" s="1" t="s">
        <v>66</v>
      </c>
      <c r="G1238" s="2">
        <v>45633</v>
      </c>
      <c r="H1238" s="2"/>
      <c r="I1238">
        <v>4</v>
      </c>
      <c r="J1238">
        <v>2</v>
      </c>
      <c r="K1238">
        <v>0</v>
      </c>
      <c r="L1238" s="1" t="s">
        <v>26</v>
      </c>
      <c r="M1238">
        <v>10</v>
      </c>
      <c r="N1238">
        <v>37605.230000000003</v>
      </c>
      <c r="O1238">
        <v>3194594.65</v>
      </c>
      <c r="P1238">
        <v>391070.34</v>
      </c>
      <c r="Q1238" s="1" t="s">
        <v>4071</v>
      </c>
      <c r="R1238">
        <v>25</v>
      </c>
      <c r="S1238" s="1" t="s">
        <v>4072</v>
      </c>
      <c r="T1238" t="b">
        <v>1</v>
      </c>
    </row>
    <row r="1239" spans="1:20" x14ac:dyDescent="0.25">
      <c r="A1239" s="1" t="s">
        <v>4073</v>
      </c>
      <c r="B1239" s="1" t="s">
        <v>185</v>
      </c>
      <c r="C1239" s="1" t="s">
        <v>472</v>
      </c>
      <c r="D1239" s="1" t="s">
        <v>244</v>
      </c>
      <c r="E1239" s="1" t="s">
        <v>49</v>
      </c>
      <c r="F1239" s="1" t="s">
        <v>25</v>
      </c>
      <c r="G1239" s="2">
        <v>45568</v>
      </c>
      <c r="H1239" s="2">
        <v>45586</v>
      </c>
      <c r="I1239">
        <v>25</v>
      </c>
      <c r="J1239">
        <v>18</v>
      </c>
      <c r="K1239">
        <v>0</v>
      </c>
      <c r="L1239" s="1" t="s">
        <v>26</v>
      </c>
      <c r="M1239">
        <v>276.2</v>
      </c>
      <c r="N1239">
        <v>748145.78</v>
      </c>
      <c r="O1239">
        <v>66669.02</v>
      </c>
      <c r="P1239">
        <v>148383.17000000001</v>
      </c>
      <c r="Q1239" s="1" t="s">
        <v>4074</v>
      </c>
      <c r="R1239">
        <v>26</v>
      </c>
      <c r="S1239" s="1" t="s">
        <v>4075</v>
      </c>
      <c r="T1239" t="b">
        <v>0</v>
      </c>
    </row>
    <row r="1240" spans="1:20" x14ac:dyDescent="0.25">
      <c r="A1240" s="1" t="s">
        <v>4076</v>
      </c>
      <c r="B1240" s="1" t="s">
        <v>348</v>
      </c>
      <c r="C1240" s="1" t="s">
        <v>2195</v>
      </c>
      <c r="D1240" s="1" t="s">
        <v>95</v>
      </c>
      <c r="E1240" s="1" t="s">
        <v>49</v>
      </c>
      <c r="F1240" s="1" t="s">
        <v>25</v>
      </c>
      <c r="G1240" s="2">
        <v>45520</v>
      </c>
      <c r="H1240" s="2">
        <v>45541</v>
      </c>
      <c r="I1240">
        <v>25</v>
      </c>
      <c r="J1240">
        <v>21</v>
      </c>
      <c r="K1240">
        <v>0</v>
      </c>
      <c r="L1240" s="1" t="s">
        <v>26</v>
      </c>
      <c r="M1240">
        <v>163.5</v>
      </c>
      <c r="N1240">
        <v>541632.97</v>
      </c>
      <c r="O1240">
        <v>2131874.96</v>
      </c>
      <c r="P1240">
        <v>380429.07</v>
      </c>
      <c r="Q1240" s="1" t="s">
        <v>4077</v>
      </c>
      <c r="R1240">
        <v>73</v>
      </c>
      <c r="S1240" s="1" t="s">
        <v>4078</v>
      </c>
      <c r="T1240" t="b">
        <v>0</v>
      </c>
    </row>
    <row r="1241" spans="1:20" x14ac:dyDescent="0.25">
      <c r="A1241" s="1" t="s">
        <v>4079</v>
      </c>
      <c r="B1241" s="1" t="s">
        <v>21</v>
      </c>
      <c r="C1241" s="1" t="s">
        <v>1472</v>
      </c>
      <c r="D1241" s="1" t="s">
        <v>288</v>
      </c>
      <c r="E1241" s="1" t="s">
        <v>49</v>
      </c>
      <c r="F1241" s="1" t="s">
        <v>50</v>
      </c>
      <c r="G1241" s="2">
        <v>45595</v>
      </c>
      <c r="H1241" s="2"/>
      <c r="I1241">
        <v>25</v>
      </c>
      <c r="J1241">
        <v>10</v>
      </c>
      <c r="K1241">
        <v>0</v>
      </c>
      <c r="L1241" s="1" t="s">
        <v>26</v>
      </c>
      <c r="M1241">
        <v>130.5</v>
      </c>
      <c r="N1241">
        <v>398629.8</v>
      </c>
      <c r="O1241">
        <v>3747521.26</v>
      </c>
      <c r="P1241">
        <v>733372.11</v>
      </c>
      <c r="Q1241" s="1" t="s">
        <v>4080</v>
      </c>
      <c r="R1241">
        <v>67</v>
      </c>
      <c r="S1241" s="1" t="s">
        <v>4081</v>
      </c>
      <c r="T1241" t="b">
        <v>1</v>
      </c>
    </row>
    <row r="1242" spans="1:20" x14ac:dyDescent="0.25">
      <c r="A1242" s="1" t="s">
        <v>4082</v>
      </c>
      <c r="B1242" s="1" t="s">
        <v>70</v>
      </c>
      <c r="C1242" s="1" t="s">
        <v>459</v>
      </c>
      <c r="D1242" s="1" t="s">
        <v>622</v>
      </c>
      <c r="E1242" s="1" t="s">
        <v>49</v>
      </c>
      <c r="F1242" s="1" t="s">
        <v>25</v>
      </c>
      <c r="G1242" s="2">
        <v>44811</v>
      </c>
      <c r="H1242" s="2">
        <v>44846</v>
      </c>
      <c r="I1242">
        <v>25</v>
      </c>
      <c r="J1242">
        <v>35</v>
      </c>
      <c r="K1242">
        <v>10</v>
      </c>
      <c r="L1242" s="1" t="s">
        <v>330</v>
      </c>
      <c r="M1242">
        <v>385.5</v>
      </c>
      <c r="N1242">
        <v>704761.51</v>
      </c>
      <c r="O1242">
        <v>4793044.4800000004</v>
      </c>
      <c r="P1242">
        <v>842614.78</v>
      </c>
      <c r="Q1242" s="1" t="s">
        <v>4083</v>
      </c>
      <c r="R1242">
        <v>27</v>
      </c>
      <c r="S1242" s="1" t="s">
        <v>4084</v>
      </c>
      <c r="T1242" t="b">
        <v>1</v>
      </c>
    </row>
    <row r="1243" spans="1:20" x14ac:dyDescent="0.25">
      <c r="A1243" s="1" t="s">
        <v>4085</v>
      </c>
      <c r="B1243" s="1" t="s">
        <v>163</v>
      </c>
      <c r="C1243" s="1" t="s">
        <v>1368</v>
      </c>
      <c r="D1243" s="1" t="s">
        <v>107</v>
      </c>
      <c r="E1243" s="1" t="s">
        <v>33</v>
      </c>
      <c r="F1243" s="1" t="s">
        <v>66</v>
      </c>
      <c r="G1243" s="2">
        <v>45435</v>
      </c>
      <c r="H1243" s="2"/>
      <c r="I1243">
        <v>12</v>
      </c>
      <c r="J1243">
        <v>6</v>
      </c>
      <c r="K1243">
        <v>0</v>
      </c>
      <c r="L1243" s="1" t="s">
        <v>26</v>
      </c>
      <c r="M1243">
        <v>73.7</v>
      </c>
      <c r="N1243">
        <v>197946.65</v>
      </c>
      <c r="O1243">
        <v>2679707.34</v>
      </c>
      <c r="P1243">
        <v>316848.21999999997</v>
      </c>
      <c r="Q1243" s="1" t="s">
        <v>4086</v>
      </c>
      <c r="R1243">
        <v>76</v>
      </c>
      <c r="S1243" s="1" t="s">
        <v>4087</v>
      </c>
      <c r="T1243" t="b">
        <v>1</v>
      </c>
    </row>
    <row r="1244" spans="1:20" x14ac:dyDescent="0.25">
      <c r="A1244" s="1" t="s">
        <v>4088</v>
      </c>
      <c r="B1244" s="1" t="s">
        <v>21</v>
      </c>
      <c r="C1244" s="1" t="s">
        <v>1999</v>
      </c>
      <c r="D1244" s="1" t="s">
        <v>181</v>
      </c>
      <c r="E1244" s="1" t="s">
        <v>57</v>
      </c>
      <c r="F1244" s="1" t="s">
        <v>34</v>
      </c>
      <c r="G1244" s="2">
        <v>45175</v>
      </c>
      <c r="H1244" s="2"/>
      <c r="I1244">
        <v>40</v>
      </c>
      <c r="J1244">
        <v>49</v>
      </c>
      <c r="K1244">
        <v>9</v>
      </c>
      <c r="L1244" s="1" t="s">
        <v>26</v>
      </c>
      <c r="M1244">
        <v>317.5</v>
      </c>
      <c r="N1244">
        <v>631232.15</v>
      </c>
      <c r="O1244">
        <v>1722822.62</v>
      </c>
      <c r="P1244">
        <v>399520.76</v>
      </c>
      <c r="Q1244" s="1" t="s">
        <v>4089</v>
      </c>
      <c r="R1244">
        <v>48</v>
      </c>
      <c r="S1244" s="1" t="s">
        <v>4090</v>
      </c>
      <c r="T1244" t="b">
        <v>1</v>
      </c>
    </row>
    <row r="1245" spans="1:20" x14ac:dyDescent="0.25">
      <c r="A1245" s="1" t="s">
        <v>4091</v>
      </c>
      <c r="B1245" s="1" t="s">
        <v>272</v>
      </c>
      <c r="C1245" s="1" t="s">
        <v>1949</v>
      </c>
      <c r="D1245" s="1" t="s">
        <v>282</v>
      </c>
      <c r="E1245" s="1" t="s">
        <v>41</v>
      </c>
      <c r="F1245" s="1" t="s">
        <v>25</v>
      </c>
      <c r="G1245" s="2">
        <v>45006</v>
      </c>
      <c r="H1245" s="2">
        <v>45017</v>
      </c>
      <c r="I1245">
        <v>9</v>
      </c>
      <c r="J1245">
        <v>11</v>
      </c>
      <c r="K1245">
        <v>2</v>
      </c>
      <c r="L1245" s="1" t="s">
        <v>26</v>
      </c>
      <c r="M1245">
        <v>139.1</v>
      </c>
      <c r="N1245">
        <v>400962.25</v>
      </c>
      <c r="O1245">
        <v>1234276.67</v>
      </c>
      <c r="P1245">
        <v>221285.41</v>
      </c>
      <c r="Q1245" s="1" t="s">
        <v>4092</v>
      </c>
      <c r="R1245">
        <v>40</v>
      </c>
      <c r="S1245" s="1" t="s">
        <v>4093</v>
      </c>
      <c r="T1245" t="b">
        <v>0</v>
      </c>
    </row>
    <row r="1246" spans="1:20" x14ac:dyDescent="0.25">
      <c r="A1246" s="1" t="s">
        <v>4094</v>
      </c>
      <c r="B1246" s="1" t="s">
        <v>30</v>
      </c>
      <c r="C1246" s="1" t="s">
        <v>1286</v>
      </c>
      <c r="D1246" s="1" t="s">
        <v>344</v>
      </c>
      <c r="E1246" s="1" t="s">
        <v>24</v>
      </c>
      <c r="F1246" s="1" t="s">
        <v>34</v>
      </c>
      <c r="G1246" s="2">
        <v>44747</v>
      </c>
      <c r="H1246" s="2"/>
      <c r="I1246">
        <v>3</v>
      </c>
      <c r="J1246">
        <v>3</v>
      </c>
      <c r="K1246">
        <v>0</v>
      </c>
      <c r="L1246" s="1" t="s">
        <v>26</v>
      </c>
      <c r="M1246">
        <v>28.2</v>
      </c>
      <c r="N1246">
        <v>69514.06</v>
      </c>
      <c r="O1246">
        <v>3256801</v>
      </c>
      <c r="P1246">
        <v>618952.12</v>
      </c>
      <c r="Q1246" s="1" t="s">
        <v>2489</v>
      </c>
      <c r="R1246">
        <v>42</v>
      </c>
      <c r="S1246" s="1" t="s">
        <v>4095</v>
      </c>
      <c r="T1246" t="b">
        <v>0</v>
      </c>
    </row>
    <row r="1247" spans="1:20" x14ac:dyDescent="0.25">
      <c r="A1247" s="1" t="s">
        <v>4096</v>
      </c>
      <c r="B1247" s="1" t="s">
        <v>451</v>
      </c>
      <c r="C1247" s="1" t="s">
        <v>39</v>
      </c>
      <c r="D1247" s="1" t="s">
        <v>344</v>
      </c>
      <c r="E1247" s="1" t="s">
        <v>33</v>
      </c>
      <c r="F1247" s="1" t="s">
        <v>25</v>
      </c>
      <c r="G1247" s="2">
        <v>44798</v>
      </c>
      <c r="H1247" s="2">
        <v>44808</v>
      </c>
      <c r="I1247">
        <v>12</v>
      </c>
      <c r="J1247">
        <v>10</v>
      </c>
      <c r="K1247">
        <v>0</v>
      </c>
      <c r="L1247" s="1" t="s">
        <v>26</v>
      </c>
      <c r="M1247">
        <v>69.5</v>
      </c>
      <c r="N1247">
        <v>304590.75</v>
      </c>
      <c r="O1247">
        <v>3071087.16</v>
      </c>
      <c r="P1247">
        <v>560370.85</v>
      </c>
      <c r="Q1247" s="1" t="s">
        <v>4097</v>
      </c>
      <c r="R1247">
        <v>49</v>
      </c>
      <c r="S1247" s="1" t="s">
        <v>4098</v>
      </c>
      <c r="T1247" t="b">
        <v>1</v>
      </c>
    </row>
    <row r="1248" spans="1:20" x14ac:dyDescent="0.25">
      <c r="A1248" s="1" t="s">
        <v>4099</v>
      </c>
      <c r="B1248" s="1" t="s">
        <v>158</v>
      </c>
      <c r="C1248" s="1" t="s">
        <v>197</v>
      </c>
      <c r="D1248" s="1" t="s">
        <v>165</v>
      </c>
      <c r="E1248" s="1" t="s">
        <v>49</v>
      </c>
      <c r="F1248" s="1" t="s">
        <v>66</v>
      </c>
      <c r="G1248" s="2">
        <v>44886</v>
      </c>
      <c r="H1248" s="2"/>
      <c r="I1248">
        <v>25</v>
      </c>
      <c r="J1248">
        <v>23</v>
      </c>
      <c r="K1248">
        <v>0</v>
      </c>
      <c r="L1248" s="1" t="s">
        <v>26</v>
      </c>
      <c r="M1248">
        <v>367.1</v>
      </c>
      <c r="N1248">
        <v>1305196.03</v>
      </c>
      <c r="O1248">
        <v>2055197.57</v>
      </c>
      <c r="P1248">
        <v>451339.65</v>
      </c>
      <c r="Q1248" s="1" t="s">
        <v>4100</v>
      </c>
      <c r="R1248">
        <v>36</v>
      </c>
      <c r="S1248" s="1" t="s">
        <v>4101</v>
      </c>
      <c r="T1248" t="b">
        <v>0</v>
      </c>
    </row>
    <row r="1249" spans="1:20" x14ac:dyDescent="0.25">
      <c r="A1249" s="1" t="s">
        <v>4102</v>
      </c>
      <c r="B1249" s="1" t="s">
        <v>76</v>
      </c>
      <c r="C1249" s="1" t="s">
        <v>888</v>
      </c>
      <c r="D1249" s="1" t="s">
        <v>282</v>
      </c>
      <c r="E1249" s="1" t="s">
        <v>41</v>
      </c>
      <c r="F1249" s="1" t="s">
        <v>34</v>
      </c>
      <c r="G1249" s="2">
        <v>44702</v>
      </c>
      <c r="H1249" s="2"/>
      <c r="I1249">
        <v>9</v>
      </c>
      <c r="J1249">
        <v>9</v>
      </c>
      <c r="K1249">
        <v>0</v>
      </c>
      <c r="L1249" s="1" t="s">
        <v>26</v>
      </c>
      <c r="M1249">
        <v>44.3</v>
      </c>
      <c r="N1249">
        <v>186587.77</v>
      </c>
      <c r="O1249">
        <v>3121024.7</v>
      </c>
      <c r="P1249">
        <v>561158.9</v>
      </c>
      <c r="Q1249" s="1" t="s">
        <v>4103</v>
      </c>
      <c r="R1249">
        <v>75</v>
      </c>
      <c r="S1249" s="1" t="s">
        <v>4104</v>
      </c>
      <c r="T1249" t="b">
        <v>0</v>
      </c>
    </row>
    <row r="1250" spans="1:20" x14ac:dyDescent="0.25">
      <c r="A1250" s="1" t="s">
        <v>4105</v>
      </c>
      <c r="B1250" s="1" t="s">
        <v>272</v>
      </c>
      <c r="C1250" s="1" t="s">
        <v>3146</v>
      </c>
      <c r="D1250" s="1" t="s">
        <v>306</v>
      </c>
      <c r="E1250" s="1" t="s">
        <v>24</v>
      </c>
      <c r="F1250" s="1" t="s">
        <v>25</v>
      </c>
      <c r="G1250" s="2">
        <v>45400</v>
      </c>
      <c r="H1250" s="2">
        <v>45403</v>
      </c>
      <c r="I1250">
        <v>3</v>
      </c>
      <c r="J1250">
        <v>3</v>
      </c>
      <c r="K1250">
        <v>0</v>
      </c>
      <c r="L1250" s="1" t="s">
        <v>26</v>
      </c>
      <c r="M1250">
        <v>46.7</v>
      </c>
      <c r="N1250">
        <v>88785.02</v>
      </c>
      <c r="O1250">
        <v>3349701.31</v>
      </c>
      <c r="P1250">
        <v>531886.71</v>
      </c>
      <c r="Q1250" s="1" t="s">
        <v>4106</v>
      </c>
      <c r="R1250">
        <v>51</v>
      </c>
      <c r="S1250" s="1" t="s">
        <v>4107</v>
      </c>
      <c r="T1250" t="b">
        <v>0</v>
      </c>
    </row>
    <row r="1251" spans="1:20" x14ac:dyDescent="0.25">
      <c r="A1251" s="1" t="s">
        <v>4108</v>
      </c>
      <c r="B1251" s="1" t="s">
        <v>545</v>
      </c>
      <c r="C1251" s="1" t="s">
        <v>780</v>
      </c>
      <c r="D1251" s="1" t="s">
        <v>297</v>
      </c>
      <c r="E1251" s="1" t="s">
        <v>65</v>
      </c>
      <c r="F1251" s="1" t="s">
        <v>25</v>
      </c>
      <c r="G1251" s="2">
        <v>44989</v>
      </c>
      <c r="H1251" s="2">
        <v>44991</v>
      </c>
      <c r="I1251">
        <v>4</v>
      </c>
      <c r="J1251">
        <v>2</v>
      </c>
      <c r="K1251">
        <v>0</v>
      </c>
      <c r="L1251" s="1" t="s">
        <v>26</v>
      </c>
      <c r="M1251">
        <v>14.3</v>
      </c>
      <c r="N1251">
        <v>35746.29</v>
      </c>
      <c r="O1251">
        <v>1360235.08</v>
      </c>
      <c r="P1251">
        <v>155799.79</v>
      </c>
      <c r="Q1251" s="1" t="s">
        <v>4109</v>
      </c>
      <c r="R1251">
        <v>21</v>
      </c>
      <c r="S1251" s="1" t="s">
        <v>4110</v>
      </c>
      <c r="T1251" t="b">
        <v>0</v>
      </c>
    </row>
    <row r="1252" spans="1:20" x14ac:dyDescent="0.25">
      <c r="A1252" s="1" t="s">
        <v>4111</v>
      </c>
      <c r="B1252" s="1" t="s">
        <v>272</v>
      </c>
      <c r="C1252" s="1" t="s">
        <v>2256</v>
      </c>
      <c r="D1252" s="1" t="s">
        <v>344</v>
      </c>
      <c r="E1252" s="1" t="s">
        <v>65</v>
      </c>
      <c r="F1252" s="1" t="s">
        <v>25</v>
      </c>
      <c r="G1252" s="2">
        <v>44653</v>
      </c>
      <c r="H1252" s="2">
        <v>44660</v>
      </c>
      <c r="I1252">
        <v>4</v>
      </c>
      <c r="J1252">
        <v>7</v>
      </c>
      <c r="K1252">
        <v>2.5</v>
      </c>
      <c r="L1252" s="1" t="s">
        <v>26</v>
      </c>
      <c r="M1252">
        <v>49.9</v>
      </c>
      <c r="N1252">
        <v>191698.98</v>
      </c>
      <c r="O1252">
        <v>4588039.22</v>
      </c>
      <c r="P1252">
        <v>889158.95</v>
      </c>
      <c r="Q1252" s="1" t="s">
        <v>4112</v>
      </c>
      <c r="R1252">
        <v>31</v>
      </c>
      <c r="S1252" s="1" t="s">
        <v>4113</v>
      </c>
      <c r="T1252" t="b">
        <v>0</v>
      </c>
    </row>
    <row r="1253" spans="1:20" x14ac:dyDescent="0.25">
      <c r="A1253" s="1" t="s">
        <v>4114</v>
      </c>
      <c r="B1253" s="1" t="s">
        <v>228</v>
      </c>
      <c r="C1253" s="1" t="s">
        <v>281</v>
      </c>
      <c r="D1253" s="1" t="s">
        <v>288</v>
      </c>
      <c r="E1253" s="1" t="s">
        <v>65</v>
      </c>
      <c r="F1253" s="1" t="s">
        <v>50</v>
      </c>
      <c r="G1253" s="2">
        <v>45604</v>
      </c>
      <c r="H1253" s="2"/>
      <c r="I1253">
        <v>4</v>
      </c>
      <c r="J1253">
        <v>5</v>
      </c>
      <c r="K1253">
        <v>0.5</v>
      </c>
      <c r="L1253" s="1" t="s">
        <v>26</v>
      </c>
      <c r="M1253">
        <v>72.3</v>
      </c>
      <c r="N1253">
        <v>277406.19</v>
      </c>
      <c r="O1253">
        <v>1759518.93</v>
      </c>
      <c r="P1253">
        <v>377987.84000000003</v>
      </c>
      <c r="Q1253" s="1" t="s">
        <v>2170</v>
      </c>
      <c r="R1253">
        <v>77</v>
      </c>
      <c r="S1253" s="1" t="s">
        <v>4115</v>
      </c>
      <c r="T1253" t="b">
        <v>0</v>
      </c>
    </row>
    <row r="1254" spans="1:20" x14ac:dyDescent="0.25">
      <c r="A1254" s="1" t="s">
        <v>4116</v>
      </c>
      <c r="B1254" s="1" t="s">
        <v>148</v>
      </c>
      <c r="C1254" s="1" t="s">
        <v>1042</v>
      </c>
      <c r="D1254" s="1" t="s">
        <v>244</v>
      </c>
      <c r="E1254" s="1" t="s">
        <v>65</v>
      </c>
      <c r="F1254" s="1" t="s">
        <v>25</v>
      </c>
      <c r="G1254" s="2">
        <v>44840</v>
      </c>
      <c r="H1254" s="2">
        <v>44848</v>
      </c>
      <c r="I1254">
        <v>4</v>
      </c>
      <c r="J1254">
        <v>8</v>
      </c>
      <c r="K1254">
        <v>3.5</v>
      </c>
      <c r="L1254" s="1" t="s">
        <v>58</v>
      </c>
      <c r="M1254">
        <v>57.5</v>
      </c>
      <c r="N1254">
        <v>134013.76000000001</v>
      </c>
      <c r="O1254">
        <v>3212599.44</v>
      </c>
      <c r="P1254">
        <v>476831.55</v>
      </c>
      <c r="Q1254" s="1" t="s">
        <v>4117</v>
      </c>
      <c r="R1254">
        <v>73</v>
      </c>
      <c r="S1254" s="1" t="s">
        <v>4118</v>
      </c>
      <c r="T1254" t="b">
        <v>0</v>
      </c>
    </row>
    <row r="1255" spans="1:20" x14ac:dyDescent="0.25">
      <c r="A1255" s="1" t="s">
        <v>4119</v>
      </c>
      <c r="B1255" s="1" t="s">
        <v>358</v>
      </c>
      <c r="C1255" s="1" t="s">
        <v>310</v>
      </c>
      <c r="D1255" s="1" t="s">
        <v>268</v>
      </c>
      <c r="E1255" s="1" t="s">
        <v>57</v>
      </c>
      <c r="F1255" s="1" t="s">
        <v>25</v>
      </c>
      <c r="G1255" s="2">
        <v>44633</v>
      </c>
      <c r="H1255" s="2">
        <v>44666</v>
      </c>
      <c r="I1255">
        <v>40</v>
      </c>
      <c r="J1255">
        <v>33</v>
      </c>
      <c r="K1255">
        <v>0</v>
      </c>
      <c r="L1255" s="1" t="s">
        <v>26</v>
      </c>
      <c r="M1255">
        <v>365.9</v>
      </c>
      <c r="N1255">
        <v>1409453.4</v>
      </c>
      <c r="O1255">
        <v>4506717.8499999996</v>
      </c>
      <c r="P1255">
        <v>891719.13</v>
      </c>
      <c r="Q1255" s="1" t="s">
        <v>4120</v>
      </c>
      <c r="R1255">
        <v>66</v>
      </c>
      <c r="S1255" s="1" t="s">
        <v>4121</v>
      </c>
      <c r="T1255" t="b">
        <v>1</v>
      </c>
    </row>
    <row r="1256" spans="1:20" x14ac:dyDescent="0.25">
      <c r="A1256" s="1" t="s">
        <v>4122</v>
      </c>
      <c r="B1256" s="1" t="s">
        <v>358</v>
      </c>
      <c r="C1256" s="1" t="s">
        <v>47</v>
      </c>
      <c r="D1256" s="1" t="s">
        <v>726</v>
      </c>
      <c r="E1256" s="1" t="s">
        <v>65</v>
      </c>
      <c r="F1256" s="1" t="s">
        <v>25</v>
      </c>
      <c r="G1256" s="2">
        <v>45001</v>
      </c>
      <c r="H1256" s="2">
        <v>45009</v>
      </c>
      <c r="I1256">
        <v>4</v>
      </c>
      <c r="J1256">
        <v>8</v>
      </c>
      <c r="K1256">
        <v>3.5</v>
      </c>
      <c r="L1256" s="1" t="s">
        <v>58</v>
      </c>
      <c r="M1256">
        <v>75.2</v>
      </c>
      <c r="N1256">
        <v>303761.40000000002</v>
      </c>
      <c r="O1256">
        <v>480522.52</v>
      </c>
      <c r="P1256">
        <v>134697.64000000001</v>
      </c>
      <c r="Q1256" s="1" t="s">
        <v>4123</v>
      </c>
      <c r="R1256">
        <v>72</v>
      </c>
      <c r="S1256" s="1" t="s">
        <v>4124</v>
      </c>
      <c r="T1256" t="b">
        <v>0</v>
      </c>
    </row>
    <row r="1257" spans="1:20" x14ac:dyDescent="0.25">
      <c r="A1257" s="1" t="s">
        <v>4125</v>
      </c>
      <c r="B1257" s="1" t="s">
        <v>174</v>
      </c>
      <c r="C1257" s="1" t="s">
        <v>701</v>
      </c>
      <c r="D1257" s="1" t="s">
        <v>713</v>
      </c>
      <c r="E1257" s="1" t="s">
        <v>57</v>
      </c>
      <c r="F1257" s="1" t="s">
        <v>66</v>
      </c>
      <c r="G1257" s="2">
        <v>44609</v>
      </c>
      <c r="H1257" s="2"/>
      <c r="I1257">
        <v>40</v>
      </c>
      <c r="J1257">
        <v>28</v>
      </c>
      <c r="K1257">
        <v>0</v>
      </c>
      <c r="L1257" s="1" t="s">
        <v>26</v>
      </c>
      <c r="M1257">
        <v>245</v>
      </c>
      <c r="N1257">
        <v>671652.36</v>
      </c>
      <c r="O1257">
        <v>3939746.29</v>
      </c>
      <c r="P1257">
        <v>908394.09</v>
      </c>
      <c r="Q1257" s="1" t="s">
        <v>2250</v>
      </c>
      <c r="R1257">
        <v>25</v>
      </c>
      <c r="S1257" s="1" t="s">
        <v>4126</v>
      </c>
      <c r="T1257" t="b">
        <v>1</v>
      </c>
    </row>
    <row r="1258" spans="1:20" x14ac:dyDescent="0.25">
      <c r="A1258" s="1" t="s">
        <v>4127</v>
      </c>
      <c r="B1258" s="1" t="s">
        <v>117</v>
      </c>
      <c r="C1258" s="1" t="s">
        <v>1521</v>
      </c>
      <c r="D1258" s="1" t="s">
        <v>420</v>
      </c>
      <c r="E1258" s="1" t="s">
        <v>65</v>
      </c>
      <c r="F1258" s="1" t="s">
        <v>25</v>
      </c>
      <c r="G1258" s="2">
        <v>45291</v>
      </c>
      <c r="H1258" s="2">
        <v>45294</v>
      </c>
      <c r="I1258">
        <v>4</v>
      </c>
      <c r="J1258">
        <v>3</v>
      </c>
      <c r="K1258">
        <v>0</v>
      </c>
      <c r="L1258" s="1" t="s">
        <v>26</v>
      </c>
      <c r="M1258">
        <v>12.3</v>
      </c>
      <c r="N1258">
        <v>47311.92</v>
      </c>
      <c r="O1258">
        <v>340760.92</v>
      </c>
      <c r="P1258">
        <v>41003.660000000003</v>
      </c>
      <c r="Q1258" s="1" t="s">
        <v>4128</v>
      </c>
      <c r="R1258">
        <v>33</v>
      </c>
      <c r="S1258" s="1" t="s">
        <v>4129</v>
      </c>
      <c r="T1258" t="b">
        <v>1</v>
      </c>
    </row>
    <row r="1259" spans="1:20" x14ac:dyDescent="0.25">
      <c r="A1259" s="1" t="s">
        <v>4130</v>
      </c>
      <c r="B1259" s="1" t="s">
        <v>471</v>
      </c>
      <c r="C1259" s="1" t="s">
        <v>1092</v>
      </c>
      <c r="D1259" s="1" t="s">
        <v>40</v>
      </c>
      <c r="E1259" s="1" t="s">
        <v>24</v>
      </c>
      <c r="F1259" s="1" t="s">
        <v>50</v>
      </c>
      <c r="G1259" s="2">
        <v>45116</v>
      </c>
      <c r="H1259" s="2"/>
      <c r="I1259">
        <v>3</v>
      </c>
      <c r="J1259">
        <v>2</v>
      </c>
      <c r="K1259">
        <v>0</v>
      </c>
      <c r="L1259" s="1" t="s">
        <v>26</v>
      </c>
      <c r="M1259">
        <v>28.2</v>
      </c>
      <c r="N1259">
        <v>99736.79</v>
      </c>
      <c r="O1259">
        <v>306891.2</v>
      </c>
      <c r="P1259">
        <v>60291.59</v>
      </c>
      <c r="Q1259" s="1" t="s">
        <v>4131</v>
      </c>
      <c r="R1259">
        <v>37</v>
      </c>
      <c r="S1259" s="1" t="s">
        <v>4132</v>
      </c>
      <c r="T1259" t="b">
        <v>0</v>
      </c>
    </row>
    <row r="1260" spans="1:20" x14ac:dyDescent="0.25">
      <c r="A1260" s="1" t="s">
        <v>4133</v>
      </c>
      <c r="B1260" s="1" t="s">
        <v>46</v>
      </c>
      <c r="C1260" s="1" t="s">
        <v>982</v>
      </c>
      <c r="D1260" s="1" t="s">
        <v>670</v>
      </c>
      <c r="E1260" s="1" t="s">
        <v>49</v>
      </c>
      <c r="F1260" s="1" t="s">
        <v>34</v>
      </c>
      <c r="G1260" s="2">
        <v>44619</v>
      </c>
      <c r="H1260" s="2"/>
      <c r="I1260">
        <v>25</v>
      </c>
      <c r="J1260">
        <v>33</v>
      </c>
      <c r="K1260">
        <v>8</v>
      </c>
      <c r="L1260" s="1" t="s">
        <v>193</v>
      </c>
      <c r="M1260">
        <v>353</v>
      </c>
      <c r="N1260">
        <v>779340.36</v>
      </c>
      <c r="O1260">
        <v>1954975.21</v>
      </c>
      <c r="P1260">
        <v>343364.23</v>
      </c>
      <c r="Q1260" s="1" t="s">
        <v>1850</v>
      </c>
      <c r="R1260">
        <v>51</v>
      </c>
      <c r="S1260" s="1" t="s">
        <v>4134</v>
      </c>
      <c r="T1260" t="b">
        <v>0</v>
      </c>
    </row>
    <row r="1261" spans="1:20" x14ac:dyDescent="0.25">
      <c r="A1261" s="1" t="s">
        <v>4135</v>
      </c>
      <c r="B1261" s="1" t="s">
        <v>253</v>
      </c>
      <c r="C1261" s="1" t="s">
        <v>1639</v>
      </c>
      <c r="D1261" s="1" t="s">
        <v>582</v>
      </c>
      <c r="E1261" s="1" t="s">
        <v>57</v>
      </c>
      <c r="F1261" s="1" t="s">
        <v>25</v>
      </c>
      <c r="G1261" s="2">
        <v>44857</v>
      </c>
      <c r="H1261" s="2">
        <v>44877</v>
      </c>
      <c r="I1261">
        <v>40</v>
      </c>
      <c r="J1261">
        <v>20</v>
      </c>
      <c r="K1261">
        <v>0</v>
      </c>
      <c r="L1261" s="1" t="s">
        <v>26</v>
      </c>
      <c r="M1261">
        <v>143.6</v>
      </c>
      <c r="N1261">
        <v>603579.44999999995</v>
      </c>
      <c r="O1261">
        <v>3231974.02</v>
      </c>
      <c r="P1261">
        <v>465630.41</v>
      </c>
      <c r="Q1261" s="1" t="s">
        <v>4136</v>
      </c>
      <c r="R1261">
        <v>32</v>
      </c>
      <c r="S1261" s="1" t="s">
        <v>4137</v>
      </c>
      <c r="T1261" t="b">
        <v>0</v>
      </c>
    </row>
    <row r="1262" spans="1:20" x14ac:dyDescent="0.25">
      <c r="A1262" s="1" t="s">
        <v>4138</v>
      </c>
      <c r="B1262" s="1" t="s">
        <v>174</v>
      </c>
      <c r="C1262" s="1" t="s">
        <v>2338</v>
      </c>
      <c r="D1262" s="1" t="s">
        <v>297</v>
      </c>
      <c r="E1262" s="1" t="s">
        <v>49</v>
      </c>
      <c r="F1262" s="1" t="s">
        <v>25</v>
      </c>
      <c r="G1262" s="2">
        <v>45345</v>
      </c>
      <c r="H1262" s="2">
        <v>45358</v>
      </c>
      <c r="I1262">
        <v>25</v>
      </c>
      <c r="J1262">
        <v>13</v>
      </c>
      <c r="K1262">
        <v>0</v>
      </c>
      <c r="L1262" s="1" t="s">
        <v>26</v>
      </c>
      <c r="M1262">
        <v>159.30000000000001</v>
      </c>
      <c r="N1262">
        <v>379261.92</v>
      </c>
      <c r="O1262">
        <v>2379706.79</v>
      </c>
      <c r="P1262">
        <v>317090.84000000003</v>
      </c>
      <c r="Q1262" s="1" t="s">
        <v>4139</v>
      </c>
      <c r="R1262">
        <v>79</v>
      </c>
      <c r="S1262" s="1" t="s">
        <v>4140</v>
      </c>
      <c r="T1262" t="b">
        <v>1</v>
      </c>
    </row>
    <row r="1263" spans="1:20" x14ac:dyDescent="0.25">
      <c r="A1263" s="1" t="s">
        <v>4141</v>
      </c>
      <c r="B1263" s="1" t="s">
        <v>111</v>
      </c>
      <c r="C1263" s="1" t="s">
        <v>546</v>
      </c>
      <c r="D1263" s="1" t="s">
        <v>282</v>
      </c>
      <c r="E1263" s="1" t="s">
        <v>33</v>
      </c>
      <c r="F1263" s="1" t="s">
        <v>66</v>
      </c>
      <c r="G1263" s="2">
        <v>44633</v>
      </c>
      <c r="H1263" s="2"/>
      <c r="I1263">
        <v>12</v>
      </c>
      <c r="J1263">
        <v>11</v>
      </c>
      <c r="K1263">
        <v>0</v>
      </c>
      <c r="L1263" s="1" t="s">
        <v>26</v>
      </c>
      <c r="M1263">
        <v>146.9</v>
      </c>
      <c r="N1263">
        <v>358201.46</v>
      </c>
      <c r="O1263">
        <v>4467379.93</v>
      </c>
      <c r="P1263">
        <v>682387.67</v>
      </c>
      <c r="Q1263" s="1" t="s">
        <v>4142</v>
      </c>
      <c r="R1263">
        <v>57</v>
      </c>
      <c r="S1263" s="1" t="s">
        <v>4143</v>
      </c>
      <c r="T1263" t="b">
        <v>1</v>
      </c>
    </row>
    <row r="1264" spans="1:20" x14ac:dyDescent="0.25">
      <c r="A1264" s="1" t="s">
        <v>4144</v>
      </c>
      <c r="B1264" s="1" t="s">
        <v>272</v>
      </c>
      <c r="C1264" s="1" t="s">
        <v>2423</v>
      </c>
      <c r="D1264" s="1" t="s">
        <v>165</v>
      </c>
      <c r="E1264" s="1" t="s">
        <v>24</v>
      </c>
      <c r="F1264" s="1" t="s">
        <v>25</v>
      </c>
      <c r="G1264" s="2">
        <v>44582</v>
      </c>
      <c r="H1264" s="2">
        <v>44586</v>
      </c>
      <c r="I1264">
        <v>3</v>
      </c>
      <c r="J1264">
        <v>4</v>
      </c>
      <c r="K1264">
        <v>1</v>
      </c>
      <c r="L1264" s="1" t="s">
        <v>26</v>
      </c>
      <c r="M1264">
        <v>45</v>
      </c>
      <c r="N1264">
        <v>84648.05</v>
      </c>
      <c r="O1264">
        <v>487940.66</v>
      </c>
      <c r="P1264">
        <v>71195.39</v>
      </c>
      <c r="Q1264" s="1" t="s">
        <v>4145</v>
      </c>
      <c r="R1264">
        <v>49</v>
      </c>
      <c r="S1264" s="1" t="s">
        <v>4146</v>
      </c>
      <c r="T1264" t="b">
        <v>1</v>
      </c>
    </row>
    <row r="1265" spans="1:20" x14ac:dyDescent="0.25">
      <c r="A1265" s="1" t="s">
        <v>4147</v>
      </c>
      <c r="B1265" s="1" t="s">
        <v>138</v>
      </c>
      <c r="C1265" s="1" t="s">
        <v>1482</v>
      </c>
      <c r="D1265" s="1" t="s">
        <v>350</v>
      </c>
      <c r="E1265" s="1" t="s">
        <v>33</v>
      </c>
      <c r="F1265" s="1" t="s">
        <v>25</v>
      </c>
      <c r="G1265" s="2">
        <v>45507</v>
      </c>
      <c r="H1265" s="2">
        <v>45525</v>
      </c>
      <c r="I1265">
        <v>12</v>
      </c>
      <c r="J1265">
        <v>18</v>
      </c>
      <c r="K1265">
        <v>6</v>
      </c>
      <c r="L1265" s="1" t="s">
        <v>26</v>
      </c>
      <c r="M1265">
        <v>240.2</v>
      </c>
      <c r="N1265">
        <v>856731.17</v>
      </c>
      <c r="O1265">
        <v>866609.24</v>
      </c>
      <c r="P1265">
        <v>188451.44</v>
      </c>
      <c r="Q1265" s="1" t="s">
        <v>4148</v>
      </c>
      <c r="R1265">
        <v>76</v>
      </c>
      <c r="S1265" s="1" t="s">
        <v>4149</v>
      </c>
      <c r="T1265" t="b">
        <v>1</v>
      </c>
    </row>
    <row r="1266" spans="1:20" x14ac:dyDescent="0.25">
      <c r="A1266" s="1" t="s">
        <v>4150</v>
      </c>
      <c r="B1266" s="1" t="s">
        <v>38</v>
      </c>
      <c r="C1266" s="1" t="s">
        <v>175</v>
      </c>
      <c r="D1266" s="1" t="s">
        <v>263</v>
      </c>
      <c r="E1266" s="1" t="s">
        <v>65</v>
      </c>
      <c r="F1266" s="1" t="s">
        <v>25</v>
      </c>
      <c r="G1266" s="2">
        <v>45360</v>
      </c>
      <c r="H1266" s="2">
        <v>45363</v>
      </c>
      <c r="I1266">
        <v>4</v>
      </c>
      <c r="J1266">
        <v>3</v>
      </c>
      <c r="K1266">
        <v>0</v>
      </c>
      <c r="L1266" s="1" t="s">
        <v>26</v>
      </c>
      <c r="M1266">
        <v>16.3</v>
      </c>
      <c r="N1266">
        <v>64735.7</v>
      </c>
      <c r="O1266">
        <v>1276890.26</v>
      </c>
      <c r="P1266">
        <v>250902.67</v>
      </c>
      <c r="Q1266" s="1" t="s">
        <v>4151</v>
      </c>
      <c r="R1266">
        <v>27</v>
      </c>
      <c r="S1266" s="1" t="s">
        <v>4152</v>
      </c>
      <c r="T1266" t="b">
        <v>1</v>
      </c>
    </row>
    <row r="1267" spans="1:20" x14ac:dyDescent="0.25">
      <c r="A1267" s="1" t="s">
        <v>4153</v>
      </c>
      <c r="B1267" s="1" t="s">
        <v>328</v>
      </c>
      <c r="C1267" s="1" t="s">
        <v>229</v>
      </c>
      <c r="D1267" s="1" t="s">
        <v>64</v>
      </c>
      <c r="E1267" s="1" t="s">
        <v>65</v>
      </c>
      <c r="F1267" s="1" t="s">
        <v>50</v>
      </c>
      <c r="G1267" s="2">
        <v>44702</v>
      </c>
      <c r="H1267" s="2"/>
      <c r="I1267">
        <v>4</v>
      </c>
      <c r="J1267">
        <v>1</v>
      </c>
      <c r="K1267">
        <v>0</v>
      </c>
      <c r="L1267" s="1" t="s">
        <v>26</v>
      </c>
      <c r="M1267">
        <v>9.5</v>
      </c>
      <c r="N1267">
        <v>24958.99</v>
      </c>
      <c r="O1267">
        <v>2041240.95</v>
      </c>
      <c r="P1267">
        <v>409779.18</v>
      </c>
      <c r="Q1267" s="1" t="s">
        <v>509</v>
      </c>
      <c r="R1267">
        <v>70</v>
      </c>
      <c r="S1267" s="1" t="s">
        <v>4154</v>
      </c>
      <c r="T1267" t="b">
        <v>1</v>
      </c>
    </row>
    <row r="1268" spans="1:20" x14ac:dyDescent="0.25">
      <c r="A1268" s="1" t="s">
        <v>4155</v>
      </c>
      <c r="B1268" s="1" t="s">
        <v>471</v>
      </c>
      <c r="C1268" s="1" t="s">
        <v>784</v>
      </c>
      <c r="D1268" s="1" t="s">
        <v>130</v>
      </c>
      <c r="E1268" s="1" t="s">
        <v>24</v>
      </c>
      <c r="F1268" s="1" t="s">
        <v>25</v>
      </c>
      <c r="G1268" s="2">
        <v>44938</v>
      </c>
      <c r="H1268" s="2">
        <v>44939</v>
      </c>
      <c r="I1268">
        <v>3</v>
      </c>
      <c r="J1268">
        <v>1</v>
      </c>
      <c r="K1268">
        <v>0</v>
      </c>
      <c r="L1268" s="1" t="s">
        <v>26</v>
      </c>
      <c r="M1268">
        <v>11.8</v>
      </c>
      <c r="N1268">
        <v>21730.54</v>
      </c>
      <c r="O1268">
        <v>1718182.88</v>
      </c>
      <c r="P1268">
        <v>211342.73</v>
      </c>
      <c r="Q1268" s="1" t="s">
        <v>2479</v>
      </c>
      <c r="R1268">
        <v>37</v>
      </c>
      <c r="S1268" s="1" t="s">
        <v>4156</v>
      </c>
      <c r="T1268" t="b">
        <v>0</v>
      </c>
    </row>
    <row r="1269" spans="1:20" x14ac:dyDescent="0.25">
      <c r="A1269" s="1" t="s">
        <v>4157</v>
      </c>
      <c r="B1269" s="1" t="s">
        <v>70</v>
      </c>
      <c r="C1269" s="1" t="s">
        <v>106</v>
      </c>
      <c r="D1269" s="1" t="s">
        <v>113</v>
      </c>
      <c r="E1269" s="1" t="s">
        <v>65</v>
      </c>
      <c r="F1269" s="1" t="s">
        <v>25</v>
      </c>
      <c r="G1269" s="2">
        <v>45475</v>
      </c>
      <c r="H1269" s="2">
        <v>45482</v>
      </c>
      <c r="I1269">
        <v>4</v>
      </c>
      <c r="J1269">
        <v>7</v>
      </c>
      <c r="K1269">
        <v>2.5</v>
      </c>
      <c r="L1269" s="1" t="s">
        <v>26</v>
      </c>
      <c r="M1269">
        <v>79.8</v>
      </c>
      <c r="N1269">
        <v>188508.28</v>
      </c>
      <c r="O1269">
        <v>921331.46</v>
      </c>
      <c r="P1269">
        <v>182186.05</v>
      </c>
      <c r="Q1269" s="1" t="s">
        <v>4158</v>
      </c>
      <c r="R1269">
        <v>25</v>
      </c>
      <c r="S1269" s="1" t="s">
        <v>4159</v>
      </c>
      <c r="T1269" t="b">
        <v>0</v>
      </c>
    </row>
    <row r="1270" spans="1:20" x14ac:dyDescent="0.25">
      <c r="A1270" s="1" t="s">
        <v>4160</v>
      </c>
      <c r="B1270" s="1" t="s">
        <v>358</v>
      </c>
      <c r="C1270" s="1" t="s">
        <v>175</v>
      </c>
      <c r="D1270" s="1" t="s">
        <v>293</v>
      </c>
      <c r="E1270" s="1" t="s">
        <v>41</v>
      </c>
      <c r="F1270" s="1" t="s">
        <v>66</v>
      </c>
      <c r="G1270" s="2">
        <v>45176</v>
      </c>
      <c r="H1270" s="2"/>
      <c r="I1270">
        <v>9</v>
      </c>
      <c r="J1270">
        <v>3</v>
      </c>
      <c r="K1270">
        <v>0</v>
      </c>
      <c r="L1270" s="1" t="s">
        <v>26</v>
      </c>
      <c r="M1270">
        <v>46.9</v>
      </c>
      <c r="N1270">
        <v>170164.62</v>
      </c>
      <c r="O1270">
        <v>1359038.48</v>
      </c>
      <c r="P1270">
        <v>205669.62</v>
      </c>
      <c r="Q1270" s="1" t="s">
        <v>4161</v>
      </c>
      <c r="R1270">
        <v>22</v>
      </c>
      <c r="S1270" s="1" t="s">
        <v>4162</v>
      </c>
      <c r="T1270" t="b">
        <v>1</v>
      </c>
    </row>
    <row r="1271" spans="1:20" x14ac:dyDescent="0.25">
      <c r="A1271" s="1" t="s">
        <v>4163</v>
      </c>
      <c r="B1271" s="1" t="s">
        <v>21</v>
      </c>
      <c r="C1271" s="1" t="s">
        <v>404</v>
      </c>
      <c r="D1271" s="1" t="s">
        <v>124</v>
      </c>
      <c r="E1271" s="1" t="s">
        <v>33</v>
      </c>
      <c r="F1271" s="1" t="s">
        <v>66</v>
      </c>
      <c r="G1271" s="2">
        <v>44778</v>
      </c>
      <c r="H1271" s="2"/>
      <c r="I1271">
        <v>12</v>
      </c>
      <c r="J1271">
        <v>16</v>
      </c>
      <c r="K1271">
        <v>4</v>
      </c>
      <c r="L1271" s="1" t="s">
        <v>26</v>
      </c>
      <c r="M1271">
        <v>85.2</v>
      </c>
      <c r="N1271">
        <v>373067.21</v>
      </c>
      <c r="O1271">
        <v>2689750.11</v>
      </c>
      <c r="P1271">
        <v>588730.87</v>
      </c>
      <c r="Q1271" s="1" t="s">
        <v>4164</v>
      </c>
      <c r="R1271">
        <v>58</v>
      </c>
      <c r="S1271" s="1" t="s">
        <v>4165</v>
      </c>
      <c r="T1271" t="b">
        <v>0</v>
      </c>
    </row>
    <row r="1272" spans="1:20" x14ac:dyDescent="0.25">
      <c r="A1272" s="1" t="s">
        <v>4166</v>
      </c>
      <c r="B1272" s="1" t="s">
        <v>62</v>
      </c>
      <c r="C1272" s="1" t="s">
        <v>1556</v>
      </c>
      <c r="D1272" s="1" t="s">
        <v>726</v>
      </c>
      <c r="E1272" s="1" t="s">
        <v>65</v>
      </c>
      <c r="F1272" s="1" t="s">
        <v>66</v>
      </c>
      <c r="G1272" s="2">
        <v>45084</v>
      </c>
      <c r="H1272" s="2"/>
      <c r="I1272">
        <v>4</v>
      </c>
      <c r="J1272">
        <v>7</v>
      </c>
      <c r="K1272">
        <v>2.5</v>
      </c>
      <c r="L1272" s="1" t="s">
        <v>26</v>
      </c>
      <c r="M1272">
        <v>94.5</v>
      </c>
      <c r="N1272">
        <v>401852.98</v>
      </c>
      <c r="O1272">
        <v>2573338.7200000002</v>
      </c>
      <c r="P1272">
        <v>422864.3</v>
      </c>
      <c r="Q1272" s="1" t="s">
        <v>4167</v>
      </c>
      <c r="R1272">
        <v>53</v>
      </c>
      <c r="S1272" s="1" t="s">
        <v>4168</v>
      </c>
      <c r="T1272" t="b">
        <v>0</v>
      </c>
    </row>
    <row r="1273" spans="1:20" x14ac:dyDescent="0.25">
      <c r="A1273" s="1" t="s">
        <v>4169</v>
      </c>
      <c r="B1273" s="1" t="s">
        <v>185</v>
      </c>
      <c r="C1273" s="1" t="s">
        <v>721</v>
      </c>
      <c r="D1273" s="1" t="s">
        <v>263</v>
      </c>
      <c r="E1273" s="1" t="s">
        <v>65</v>
      </c>
      <c r="F1273" s="1" t="s">
        <v>25</v>
      </c>
      <c r="G1273" s="2">
        <v>45200</v>
      </c>
      <c r="H1273" s="2">
        <v>45201</v>
      </c>
      <c r="I1273">
        <v>4</v>
      </c>
      <c r="J1273">
        <v>1</v>
      </c>
      <c r="K1273">
        <v>0</v>
      </c>
      <c r="L1273" s="1" t="s">
        <v>26</v>
      </c>
      <c r="M1273">
        <v>10.1</v>
      </c>
      <c r="N1273">
        <v>24471.77</v>
      </c>
      <c r="O1273">
        <v>4106113.24</v>
      </c>
      <c r="P1273">
        <v>643334.59</v>
      </c>
      <c r="Q1273" s="1" t="s">
        <v>2039</v>
      </c>
      <c r="R1273">
        <v>38</v>
      </c>
      <c r="S1273" s="1" t="s">
        <v>4170</v>
      </c>
      <c r="T1273" t="b">
        <v>1</v>
      </c>
    </row>
    <row r="1274" spans="1:20" x14ac:dyDescent="0.25">
      <c r="A1274" s="1" t="s">
        <v>4171</v>
      </c>
      <c r="B1274" s="1" t="s">
        <v>111</v>
      </c>
      <c r="C1274" s="1" t="s">
        <v>837</v>
      </c>
      <c r="D1274" s="1" t="s">
        <v>72</v>
      </c>
      <c r="E1274" s="1" t="s">
        <v>65</v>
      </c>
      <c r="F1274" s="1" t="s">
        <v>25</v>
      </c>
      <c r="G1274" s="2">
        <v>44737</v>
      </c>
      <c r="H1274" s="2">
        <v>44738</v>
      </c>
      <c r="I1274">
        <v>4</v>
      </c>
      <c r="J1274">
        <v>1</v>
      </c>
      <c r="K1274">
        <v>0</v>
      </c>
      <c r="L1274" s="1" t="s">
        <v>26</v>
      </c>
      <c r="M1274">
        <v>4.5999999999999996</v>
      </c>
      <c r="N1274">
        <v>15375.31</v>
      </c>
      <c r="O1274">
        <v>3633237.2</v>
      </c>
      <c r="P1274">
        <v>557904.42000000004</v>
      </c>
      <c r="Q1274" s="1" t="s">
        <v>4172</v>
      </c>
      <c r="R1274">
        <v>66</v>
      </c>
      <c r="S1274" s="1" t="s">
        <v>4173</v>
      </c>
      <c r="T1274" t="b">
        <v>1</v>
      </c>
    </row>
    <row r="1275" spans="1:20" x14ac:dyDescent="0.25">
      <c r="A1275" s="1" t="s">
        <v>4174</v>
      </c>
      <c r="B1275" s="1" t="s">
        <v>93</v>
      </c>
      <c r="C1275" s="1" t="s">
        <v>630</v>
      </c>
      <c r="D1275" s="1" t="s">
        <v>655</v>
      </c>
      <c r="E1275" s="1" t="s">
        <v>24</v>
      </c>
      <c r="F1275" s="1" t="s">
        <v>25</v>
      </c>
      <c r="G1275" s="2">
        <v>44966</v>
      </c>
      <c r="H1275" s="2">
        <v>44969</v>
      </c>
      <c r="I1275">
        <v>3</v>
      </c>
      <c r="J1275">
        <v>3</v>
      </c>
      <c r="K1275">
        <v>0</v>
      </c>
      <c r="L1275" s="1" t="s">
        <v>26</v>
      </c>
      <c r="M1275">
        <v>31.5</v>
      </c>
      <c r="N1275">
        <v>100063.72</v>
      </c>
      <c r="O1275">
        <v>1359390.91</v>
      </c>
      <c r="P1275">
        <v>283798.09000000003</v>
      </c>
      <c r="Q1275" s="1" t="s">
        <v>4175</v>
      </c>
      <c r="R1275">
        <v>46</v>
      </c>
      <c r="S1275" s="1" t="s">
        <v>4176</v>
      </c>
      <c r="T1275" t="b">
        <v>0</v>
      </c>
    </row>
    <row r="1276" spans="1:20" x14ac:dyDescent="0.25">
      <c r="A1276" s="1" t="s">
        <v>4177</v>
      </c>
      <c r="B1276" s="1" t="s">
        <v>471</v>
      </c>
      <c r="C1276" s="1" t="s">
        <v>1794</v>
      </c>
      <c r="D1276" s="1" t="s">
        <v>622</v>
      </c>
      <c r="E1276" s="1" t="s">
        <v>65</v>
      </c>
      <c r="F1276" s="1" t="s">
        <v>25</v>
      </c>
      <c r="G1276" s="2">
        <v>45123</v>
      </c>
      <c r="H1276" s="2">
        <v>45126</v>
      </c>
      <c r="I1276">
        <v>4</v>
      </c>
      <c r="J1276">
        <v>3</v>
      </c>
      <c r="K1276">
        <v>0</v>
      </c>
      <c r="L1276" s="1" t="s">
        <v>26</v>
      </c>
      <c r="M1276">
        <v>37.700000000000003</v>
      </c>
      <c r="N1276">
        <v>68850.25</v>
      </c>
      <c r="O1276">
        <v>338931.15</v>
      </c>
      <c r="P1276">
        <v>47567.69</v>
      </c>
      <c r="Q1276" s="1" t="s">
        <v>4178</v>
      </c>
      <c r="R1276">
        <v>77</v>
      </c>
      <c r="S1276" s="1" t="s">
        <v>4179</v>
      </c>
      <c r="T1276" t="b">
        <v>0</v>
      </c>
    </row>
    <row r="1277" spans="1:20" x14ac:dyDescent="0.25">
      <c r="A1277" s="1" t="s">
        <v>4180</v>
      </c>
      <c r="B1277" s="1" t="s">
        <v>21</v>
      </c>
      <c r="C1277" s="1" t="s">
        <v>206</v>
      </c>
      <c r="D1277" s="1" t="s">
        <v>249</v>
      </c>
      <c r="E1277" s="1" t="s">
        <v>57</v>
      </c>
      <c r="F1277" s="1" t="s">
        <v>50</v>
      </c>
      <c r="G1277" s="2">
        <v>44565</v>
      </c>
      <c r="H1277" s="2"/>
      <c r="I1277">
        <v>40</v>
      </c>
      <c r="J1277">
        <v>33</v>
      </c>
      <c r="K1277">
        <v>0</v>
      </c>
      <c r="L1277" s="1" t="s">
        <v>26</v>
      </c>
      <c r="M1277">
        <v>132.80000000000001</v>
      </c>
      <c r="N1277">
        <v>246433.93</v>
      </c>
      <c r="O1277">
        <v>2747233.26</v>
      </c>
      <c r="P1277">
        <v>412199.04</v>
      </c>
      <c r="Q1277" s="1" t="s">
        <v>4181</v>
      </c>
      <c r="R1277">
        <v>57</v>
      </c>
      <c r="S1277" s="1" t="s">
        <v>4182</v>
      </c>
      <c r="T1277" t="b">
        <v>1</v>
      </c>
    </row>
    <row r="1278" spans="1:20" x14ac:dyDescent="0.25">
      <c r="A1278" s="1" t="s">
        <v>4183</v>
      </c>
      <c r="B1278" s="1" t="s">
        <v>54</v>
      </c>
      <c r="C1278" s="1" t="s">
        <v>892</v>
      </c>
      <c r="D1278" s="1" t="s">
        <v>64</v>
      </c>
      <c r="E1278" s="1" t="s">
        <v>33</v>
      </c>
      <c r="F1278" s="1" t="s">
        <v>66</v>
      </c>
      <c r="G1278" s="2">
        <v>44571</v>
      </c>
      <c r="H1278" s="2"/>
      <c r="I1278">
        <v>12</v>
      </c>
      <c r="J1278">
        <v>14</v>
      </c>
      <c r="K1278">
        <v>2</v>
      </c>
      <c r="L1278" s="1" t="s">
        <v>26</v>
      </c>
      <c r="M1278">
        <v>152.1</v>
      </c>
      <c r="N1278">
        <v>593340.78</v>
      </c>
      <c r="O1278">
        <v>4996368.9000000004</v>
      </c>
      <c r="P1278">
        <v>626784.25</v>
      </c>
      <c r="Q1278" s="1" t="s">
        <v>4184</v>
      </c>
      <c r="R1278">
        <v>74</v>
      </c>
      <c r="S1278" s="1" t="s">
        <v>4185</v>
      </c>
      <c r="T1278" t="b">
        <v>1</v>
      </c>
    </row>
    <row r="1279" spans="1:20" x14ac:dyDescent="0.25">
      <c r="A1279" s="1" t="s">
        <v>4186</v>
      </c>
      <c r="B1279" s="1" t="s">
        <v>122</v>
      </c>
      <c r="C1279" s="1" t="s">
        <v>467</v>
      </c>
      <c r="D1279" s="1" t="s">
        <v>124</v>
      </c>
      <c r="E1279" s="1" t="s">
        <v>49</v>
      </c>
      <c r="F1279" s="1" t="s">
        <v>50</v>
      </c>
      <c r="G1279" s="2">
        <v>45349</v>
      </c>
      <c r="H1279" s="2"/>
      <c r="I1279">
        <v>25</v>
      </c>
      <c r="J1279">
        <v>33</v>
      </c>
      <c r="K1279">
        <v>8</v>
      </c>
      <c r="L1279" s="1" t="s">
        <v>26</v>
      </c>
      <c r="M1279">
        <v>380.6</v>
      </c>
      <c r="N1279">
        <v>1528139.43</v>
      </c>
      <c r="O1279">
        <v>702929.95</v>
      </c>
      <c r="P1279">
        <v>333427.09999999998</v>
      </c>
      <c r="Q1279" s="1" t="s">
        <v>4187</v>
      </c>
      <c r="R1279">
        <v>49</v>
      </c>
      <c r="S1279" s="1" t="s">
        <v>4188</v>
      </c>
      <c r="T1279" t="b">
        <v>1</v>
      </c>
    </row>
    <row r="1280" spans="1:20" x14ac:dyDescent="0.25">
      <c r="A1280" s="1" t="s">
        <v>4189</v>
      </c>
      <c r="B1280" s="1" t="s">
        <v>286</v>
      </c>
      <c r="C1280" s="1" t="s">
        <v>914</v>
      </c>
      <c r="D1280" s="1" t="s">
        <v>144</v>
      </c>
      <c r="E1280" s="1" t="s">
        <v>33</v>
      </c>
      <c r="F1280" s="1" t="s">
        <v>66</v>
      </c>
      <c r="G1280" s="2">
        <v>45357</v>
      </c>
      <c r="H1280" s="2"/>
      <c r="I1280">
        <v>12</v>
      </c>
      <c r="J1280">
        <v>18</v>
      </c>
      <c r="K1280">
        <v>6</v>
      </c>
      <c r="L1280" s="1" t="s">
        <v>26</v>
      </c>
      <c r="M1280">
        <v>230.3</v>
      </c>
      <c r="N1280">
        <v>601208.34</v>
      </c>
      <c r="O1280">
        <v>4945069.95</v>
      </c>
      <c r="P1280">
        <v>1082053.8700000001</v>
      </c>
      <c r="Q1280" s="1" t="s">
        <v>4190</v>
      </c>
      <c r="R1280">
        <v>44</v>
      </c>
      <c r="S1280" s="1" t="s">
        <v>4191</v>
      </c>
      <c r="T1280" t="b">
        <v>1</v>
      </c>
    </row>
    <row r="1281" spans="1:20" x14ac:dyDescent="0.25">
      <c r="A1281" s="1" t="s">
        <v>4192</v>
      </c>
      <c r="B1281" s="1" t="s">
        <v>148</v>
      </c>
      <c r="C1281" s="1" t="s">
        <v>2304</v>
      </c>
      <c r="D1281" s="1" t="s">
        <v>230</v>
      </c>
      <c r="E1281" s="1" t="s">
        <v>33</v>
      </c>
      <c r="F1281" s="1" t="s">
        <v>25</v>
      </c>
      <c r="G1281" s="2">
        <v>44645</v>
      </c>
      <c r="H1281" s="2">
        <v>44660</v>
      </c>
      <c r="I1281">
        <v>12</v>
      </c>
      <c r="J1281">
        <v>15</v>
      </c>
      <c r="K1281">
        <v>3</v>
      </c>
      <c r="L1281" s="1" t="s">
        <v>26</v>
      </c>
      <c r="M1281">
        <v>206.9</v>
      </c>
      <c r="N1281">
        <v>915654.62</v>
      </c>
      <c r="O1281">
        <v>2580099.44</v>
      </c>
      <c r="P1281">
        <v>588788.78</v>
      </c>
      <c r="Q1281" s="1" t="s">
        <v>4193</v>
      </c>
      <c r="R1281">
        <v>25</v>
      </c>
      <c r="S1281" s="1" t="s">
        <v>4194</v>
      </c>
      <c r="T1281" t="b">
        <v>1</v>
      </c>
    </row>
    <row r="1282" spans="1:20" x14ac:dyDescent="0.25">
      <c r="A1282" s="1" t="s">
        <v>4195</v>
      </c>
      <c r="B1282" s="1" t="s">
        <v>328</v>
      </c>
      <c r="C1282" s="1" t="s">
        <v>858</v>
      </c>
      <c r="D1282" s="1" t="s">
        <v>505</v>
      </c>
      <c r="E1282" s="1" t="s">
        <v>33</v>
      </c>
      <c r="F1282" s="1" t="s">
        <v>25</v>
      </c>
      <c r="G1282" s="2">
        <v>45633</v>
      </c>
      <c r="H1282" s="2">
        <v>45640</v>
      </c>
      <c r="I1282">
        <v>12</v>
      </c>
      <c r="J1282">
        <v>7</v>
      </c>
      <c r="K1282">
        <v>0</v>
      </c>
      <c r="L1282" s="1" t="s">
        <v>26</v>
      </c>
      <c r="M1282">
        <v>83.6</v>
      </c>
      <c r="N1282">
        <v>275821.40000000002</v>
      </c>
      <c r="O1282">
        <v>1853206.32</v>
      </c>
      <c r="P1282">
        <v>268073.95</v>
      </c>
      <c r="Q1282" s="1" t="s">
        <v>4196</v>
      </c>
      <c r="R1282">
        <v>32</v>
      </c>
      <c r="S1282" s="1" t="s">
        <v>4197</v>
      </c>
      <c r="T1282" t="b">
        <v>0</v>
      </c>
    </row>
    <row r="1283" spans="1:20" x14ac:dyDescent="0.25">
      <c r="A1283" s="1" t="s">
        <v>4198</v>
      </c>
      <c r="B1283" s="1" t="s">
        <v>566</v>
      </c>
      <c r="C1283" s="1" t="s">
        <v>827</v>
      </c>
      <c r="D1283" s="1" t="s">
        <v>238</v>
      </c>
      <c r="E1283" s="1" t="s">
        <v>33</v>
      </c>
      <c r="F1283" s="1" t="s">
        <v>25</v>
      </c>
      <c r="G1283" s="2">
        <v>44586</v>
      </c>
      <c r="H1283" s="2">
        <v>44595</v>
      </c>
      <c r="I1283">
        <v>12</v>
      </c>
      <c r="J1283">
        <v>9</v>
      </c>
      <c r="K1283">
        <v>0</v>
      </c>
      <c r="L1283" s="1" t="s">
        <v>26</v>
      </c>
      <c r="M1283">
        <v>71</v>
      </c>
      <c r="N1283">
        <v>173649.56</v>
      </c>
      <c r="O1283">
        <v>2070235.99</v>
      </c>
      <c r="P1283">
        <v>231113.78</v>
      </c>
      <c r="Q1283" s="1" t="s">
        <v>4199</v>
      </c>
      <c r="R1283">
        <v>57</v>
      </c>
      <c r="S1283" s="1" t="s">
        <v>4200</v>
      </c>
      <c r="T1283" t="b">
        <v>0</v>
      </c>
    </row>
    <row r="1284" spans="1:20" x14ac:dyDescent="0.25">
      <c r="A1284" s="1" t="s">
        <v>4201</v>
      </c>
      <c r="B1284" s="1" t="s">
        <v>70</v>
      </c>
      <c r="C1284" s="1" t="s">
        <v>277</v>
      </c>
      <c r="D1284" s="1" t="s">
        <v>181</v>
      </c>
      <c r="E1284" s="1" t="s">
        <v>65</v>
      </c>
      <c r="F1284" s="1" t="s">
        <v>25</v>
      </c>
      <c r="G1284" s="2">
        <v>45390</v>
      </c>
      <c r="H1284" s="2">
        <v>45393</v>
      </c>
      <c r="I1284">
        <v>4</v>
      </c>
      <c r="J1284">
        <v>3</v>
      </c>
      <c r="K1284">
        <v>0</v>
      </c>
      <c r="L1284" s="1" t="s">
        <v>26</v>
      </c>
      <c r="M1284">
        <v>37.799999999999997</v>
      </c>
      <c r="N1284">
        <v>77785.759999999995</v>
      </c>
      <c r="O1284">
        <v>2757176.87</v>
      </c>
      <c r="P1284">
        <v>359188.79</v>
      </c>
      <c r="Q1284" s="1" t="s">
        <v>4202</v>
      </c>
      <c r="R1284">
        <v>25</v>
      </c>
      <c r="S1284" s="1" t="s">
        <v>4203</v>
      </c>
      <c r="T1284" t="b">
        <v>1</v>
      </c>
    </row>
    <row r="1285" spans="1:20" x14ac:dyDescent="0.25">
      <c r="A1285" s="1" t="s">
        <v>4204</v>
      </c>
      <c r="B1285" s="1" t="s">
        <v>138</v>
      </c>
      <c r="C1285" s="1" t="s">
        <v>2617</v>
      </c>
      <c r="D1285" s="1" t="s">
        <v>622</v>
      </c>
      <c r="E1285" s="1" t="s">
        <v>41</v>
      </c>
      <c r="F1285" s="1" t="s">
        <v>25</v>
      </c>
      <c r="G1285" s="2">
        <v>44844</v>
      </c>
      <c r="H1285" s="2">
        <v>44855</v>
      </c>
      <c r="I1285">
        <v>9</v>
      </c>
      <c r="J1285">
        <v>11</v>
      </c>
      <c r="K1285">
        <v>2</v>
      </c>
      <c r="L1285" s="1" t="s">
        <v>26</v>
      </c>
      <c r="M1285">
        <v>103</v>
      </c>
      <c r="N1285">
        <v>441931.26</v>
      </c>
      <c r="O1285">
        <v>1452039.98</v>
      </c>
      <c r="P1285">
        <v>189610.88</v>
      </c>
      <c r="Q1285" s="1" t="s">
        <v>4205</v>
      </c>
      <c r="R1285">
        <v>52</v>
      </c>
      <c r="S1285" s="1" t="s">
        <v>4206</v>
      </c>
      <c r="T1285" t="b">
        <v>1</v>
      </c>
    </row>
    <row r="1286" spans="1:20" x14ac:dyDescent="0.25">
      <c r="A1286" s="1" t="s">
        <v>4207</v>
      </c>
      <c r="B1286" s="1" t="s">
        <v>174</v>
      </c>
      <c r="C1286" s="1" t="s">
        <v>1462</v>
      </c>
      <c r="D1286" s="1" t="s">
        <v>622</v>
      </c>
      <c r="E1286" s="1" t="s">
        <v>24</v>
      </c>
      <c r="F1286" s="1" t="s">
        <v>34</v>
      </c>
      <c r="G1286" s="2">
        <v>45579</v>
      </c>
      <c r="H1286" s="2"/>
      <c r="I1286">
        <v>3</v>
      </c>
      <c r="J1286">
        <v>3</v>
      </c>
      <c r="K1286">
        <v>0</v>
      </c>
      <c r="L1286" s="1" t="s">
        <v>26</v>
      </c>
      <c r="M1286">
        <v>44.6</v>
      </c>
      <c r="N1286">
        <v>136584.66</v>
      </c>
      <c r="O1286">
        <v>3950446.45</v>
      </c>
      <c r="P1286">
        <v>555227.67000000004</v>
      </c>
      <c r="Q1286" s="1" t="s">
        <v>4208</v>
      </c>
      <c r="R1286">
        <v>49</v>
      </c>
      <c r="S1286" s="1" t="s">
        <v>4209</v>
      </c>
      <c r="T1286" t="b">
        <v>1</v>
      </c>
    </row>
    <row r="1287" spans="1:20" x14ac:dyDescent="0.25">
      <c r="A1287" s="1" t="s">
        <v>4210</v>
      </c>
      <c r="B1287" s="1" t="s">
        <v>105</v>
      </c>
      <c r="C1287" s="1" t="s">
        <v>1126</v>
      </c>
      <c r="D1287" s="1" t="s">
        <v>159</v>
      </c>
      <c r="E1287" s="1" t="s">
        <v>24</v>
      </c>
      <c r="F1287" s="1" t="s">
        <v>25</v>
      </c>
      <c r="G1287" s="2">
        <v>44579</v>
      </c>
      <c r="H1287" s="2">
        <v>44581</v>
      </c>
      <c r="I1287">
        <v>3</v>
      </c>
      <c r="J1287">
        <v>2</v>
      </c>
      <c r="K1287">
        <v>0</v>
      </c>
      <c r="L1287" s="1" t="s">
        <v>26</v>
      </c>
      <c r="M1287">
        <v>22.9</v>
      </c>
      <c r="N1287">
        <v>102585.68</v>
      </c>
      <c r="O1287">
        <v>2804468.31</v>
      </c>
      <c r="P1287">
        <v>331255.67</v>
      </c>
      <c r="Q1287" s="1" t="s">
        <v>2486</v>
      </c>
      <c r="R1287">
        <v>60</v>
      </c>
      <c r="S1287" s="1" t="s">
        <v>4211</v>
      </c>
      <c r="T1287" t="b">
        <v>1</v>
      </c>
    </row>
    <row r="1288" spans="1:20" x14ac:dyDescent="0.25">
      <c r="A1288" s="1" t="s">
        <v>4212</v>
      </c>
      <c r="B1288" s="1" t="s">
        <v>93</v>
      </c>
      <c r="C1288" s="1" t="s">
        <v>2338</v>
      </c>
      <c r="D1288" s="1" t="s">
        <v>144</v>
      </c>
      <c r="E1288" s="1" t="s">
        <v>24</v>
      </c>
      <c r="F1288" s="1" t="s">
        <v>66</v>
      </c>
      <c r="G1288" s="2">
        <v>45232</v>
      </c>
      <c r="H1288" s="2"/>
      <c r="I1288">
        <v>3</v>
      </c>
      <c r="J1288">
        <v>1</v>
      </c>
      <c r="K1288">
        <v>0</v>
      </c>
      <c r="L1288" s="1" t="s">
        <v>26</v>
      </c>
      <c r="M1288">
        <v>7.4</v>
      </c>
      <c r="N1288">
        <v>30628.23</v>
      </c>
      <c r="O1288">
        <v>1993937.87</v>
      </c>
      <c r="P1288">
        <v>381300.61</v>
      </c>
      <c r="Q1288" s="1" t="s">
        <v>4213</v>
      </c>
      <c r="R1288">
        <v>47</v>
      </c>
      <c r="S1288" s="1" t="s">
        <v>4214</v>
      </c>
      <c r="T1288" t="b">
        <v>0</v>
      </c>
    </row>
    <row r="1289" spans="1:20" x14ac:dyDescent="0.25">
      <c r="A1289" s="1" t="s">
        <v>4215</v>
      </c>
      <c r="B1289" s="1" t="s">
        <v>46</v>
      </c>
      <c r="C1289" s="1" t="s">
        <v>123</v>
      </c>
      <c r="D1289" s="1" t="s">
        <v>713</v>
      </c>
      <c r="E1289" s="1" t="s">
        <v>33</v>
      </c>
      <c r="F1289" s="1" t="s">
        <v>25</v>
      </c>
      <c r="G1289" s="2">
        <v>44610</v>
      </c>
      <c r="H1289" s="2">
        <v>44618</v>
      </c>
      <c r="I1289">
        <v>12</v>
      </c>
      <c r="J1289">
        <v>8</v>
      </c>
      <c r="K1289">
        <v>0</v>
      </c>
      <c r="L1289" s="1" t="s">
        <v>26</v>
      </c>
      <c r="M1289">
        <v>85.9</v>
      </c>
      <c r="N1289">
        <v>275773.64</v>
      </c>
      <c r="O1289">
        <v>2296823.36</v>
      </c>
      <c r="P1289">
        <v>264880.95</v>
      </c>
      <c r="Q1289" s="1" t="s">
        <v>4216</v>
      </c>
      <c r="R1289">
        <v>28</v>
      </c>
      <c r="S1289" s="1" t="s">
        <v>4217</v>
      </c>
      <c r="T1289" t="b">
        <v>0</v>
      </c>
    </row>
    <row r="1290" spans="1:20" x14ac:dyDescent="0.25">
      <c r="A1290" s="1" t="s">
        <v>4218</v>
      </c>
      <c r="B1290" s="1" t="s">
        <v>286</v>
      </c>
      <c r="C1290" s="1" t="s">
        <v>753</v>
      </c>
      <c r="D1290" s="1" t="s">
        <v>268</v>
      </c>
      <c r="E1290" s="1" t="s">
        <v>24</v>
      </c>
      <c r="F1290" s="1" t="s">
        <v>25</v>
      </c>
      <c r="G1290" s="2">
        <v>44702</v>
      </c>
      <c r="H1290" s="2">
        <v>44704</v>
      </c>
      <c r="I1290">
        <v>3</v>
      </c>
      <c r="J1290">
        <v>2</v>
      </c>
      <c r="K1290">
        <v>0</v>
      </c>
      <c r="L1290" s="1" t="s">
        <v>26</v>
      </c>
      <c r="M1290">
        <v>8.6999999999999993</v>
      </c>
      <c r="N1290">
        <v>36905.519999999997</v>
      </c>
      <c r="O1290">
        <v>4733054.4400000004</v>
      </c>
      <c r="P1290">
        <v>818205.6</v>
      </c>
      <c r="Q1290" s="1" t="s">
        <v>4219</v>
      </c>
      <c r="R1290">
        <v>72</v>
      </c>
      <c r="S1290" s="1" t="s">
        <v>4220</v>
      </c>
      <c r="T1290" t="b">
        <v>0</v>
      </c>
    </row>
    <row r="1291" spans="1:20" x14ac:dyDescent="0.25">
      <c r="A1291" s="1" t="s">
        <v>4221</v>
      </c>
      <c r="B1291" s="1" t="s">
        <v>328</v>
      </c>
      <c r="C1291" s="1" t="s">
        <v>1042</v>
      </c>
      <c r="D1291" s="1" t="s">
        <v>336</v>
      </c>
      <c r="E1291" s="1" t="s">
        <v>65</v>
      </c>
      <c r="F1291" s="1" t="s">
        <v>34</v>
      </c>
      <c r="G1291" s="2">
        <v>45201</v>
      </c>
      <c r="H1291" s="2"/>
      <c r="I1291">
        <v>4</v>
      </c>
      <c r="J1291">
        <v>1</v>
      </c>
      <c r="K1291">
        <v>0</v>
      </c>
      <c r="L1291" s="1" t="s">
        <v>26</v>
      </c>
      <c r="M1291">
        <v>15.6</v>
      </c>
      <c r="N1291">
        <v>40946.04</v>
      </c>
      <c r="O1291">
        <v>896744.74</v>
      </c>
      <c r="P1291">
        <v>107302.45</v>
      </c>
      <c r="Q1291" s="1" t="s">
        <v>4222</v>
      </c>
      <c r="R1291">
        <v>21</v>
      </c>
      <c r="S1291" s="1" t="s">
        <v>4223</v>
      </c>
      <c r="T1291" t="b">
        <v>1</v>
      </c>
    </row>
    <row r="1292" spans="1:20" x14ac:dyDescent="0.25">
      <c r="A1292" s="1" t="s">
        <v>4224</v>
      </c>
      <c r="B1292" s="1" t="s">
        <v>471</v>
      </c>
      <c r="C1292" s="1" t="s">
        <v>428</v>
      </c>
      <c r="D1292" s="1" t="s">
        <v>249</v>
      </c>
      <c r="E1292" s="1" t="s">
        <v>24</v>
      </c>
      <c r="F1292" s="1" t="s">
        <v>25</v>
      </c>
      <c r="G1292" s="2">
        <v>44742</v>
      </c>
      <c r="H1292" s="2">
        <v>44743</v>
      </c>
      <c r="I1292">
        <v>3</v>
      </c>
      <c r="J1292">
        <v>1</v>
      </c>
      <c r="K1292">
        <v>0</v>
      </c>
      <c r="L1292" s="1" t="s">
        <v>26</v>
      </c>
      <c r="M1292">
        <v>8.4</v>
      </c>
      <c r="N1292">
        <v>31430.97</v>
      </c>
      <c r="O1292">
        <v>3994762.42</v>
      </c>
      <c r="P1292">
        <v>798408.46</v>
      </c>
      <c r="Q1292" s="1" t="s">
        <v>1744</v>
      </c>
      <c r="R1292">
        <v>42</v>
      </c>
      <c r="S1292" s="1" t="s">
        <v>4225</v>
      </c>
      <c r="T1292" t="b">
        <v>0</v>
      </c>
    </row>
    <row r="1293" spans="1:20" x14ac:dyDescent="0.25">
      <c r="A1293" s="1" t="s">
        <v>4226</v>
      </c>
      <c r="B1293" s="1" t="s">
        <v>46</v>
      </c>
      <c r="C1293" s="1" t="s">
        <v>837</v>
      </c>
      <c r="D1293" s="1" t="s">
        <v>230</v>
      </c>
      <c r="E1293" s="1" t="s">
        <v>65</v>
      </c>
      <c r="F1293" s="1" t="s">
        <v>25</v>
      </c>
      <c r="G1293" s="2">
        <v>44732</v>
      </c>
      <c r="H1293" s="2">
        <v>44735</v>
      </c>
      <c r="I1293">
        <v>4</v>
      </c>
      <c r="J1293">
        <v>3</v>
      </c>
      <c r="K1293">
        <v>0</v>
      </c>
      <c r="L1293" s="1" t="s">
        <v>26</v>
      </c>
      <c r="M1293">
        <v>17.899999999999999</v>
      </c>
      <c r="N1293">
        <v>47581.71</v>
      </c>
      <c r="O1293">
        <v>516768.35</v>
      </c>
      <c r="P1293">
        <v>94776.320000000007</v>
      </c>
      <c r="Q1293" s="1" t="s">
        <v>4227</v>
      </c>
      <c r="R1293">
        <v>20</v>
      </c>
      <c r="S1293" s="1" t="s">
        <v>4228</v>
      </c>
      <c r="T1293" t="b">
        <v>0</v>
      </c>
    </row>
    <row r="1294" spans="1:20" x14ac:dyDescent="0.25">
      <c r="A1294" s="1" t="s">
        <v>4229</v>
      </c>
      <c r="B1294" s="1" t="s">
        <v>82</v>
      </c>
      <c r="C1294" s="1" t="s">
        <v>254</v>
      </c>
      <c r="D1294" s="1" t="s">
        <v>48</v>
      </c>
      <c r="E1294" s="1" t="s">
        <v>41</v>
      </c>
      <c r="F1294" s="1" t="s">
        <v>50</v>
      </c>
      <c r="G1294" s="2">
        <v>45418</v>
      </c>
      <c r="H1294" s="2"/>
      <c r="I1294">
        <v>9</v>
      </c>
      <c r="J1294">
        <v>9</v>
      </c>
      <c r="K1294">
        <v>0</v>
      </c>
      <c r="L1294" s="1" t="s">
        <v>26</v>
      </c>
      <c r="M1294">
        <v>137</v>
      </c>
      <c r="N1294">
        <v>591303.27</v>
      </c>
      <c r="O1294">
        <v>3918026.64</v>
      </c>
      <c r="P1294">
        <v>880538.45</v>
      </c>
      <c r="Q1294" s="1" t="s">
        <v>4230</v>
      </c>
      <c r="R1294">
        <v>46</v>
      </c>
      <c r="S1294" s="1" t="s">
        <v>4231</v>
      </c>
      <c r="T1294" t="b">
        <v>0</v>
      </c>
    </row>
    <row r="1295" spans="1:20" x14ac:dyDescent="0.25">
      <c r="A1295" s="1" t="s">
        <v>4232</v>
      </c>
      <c r="B1295" s="1" t="s">
        <v>272</v>
      </c>
      <c r="C1295" s="1" t="s">
        <v>201</v>
      </c>
      <c r="D1295" s="1" t="s">
        <v>113</v>
      </c>
      <c r="E1295" s="1" t="s">
        <v>24</v>
      </c>
      <c r="F1295" s="1" t="s">
        <v>50</v>
      </c>
      <c r="G1295" s="2">
        <v>45607</v>
      </c>
      <c r="H1295" s="2"/>
      <c r="I1295">
        <v>3</v>
      </c>
      <c r="J1295">
        <v>5</v>
      </c>
      <c r="K1295">
        <v>2</v>
      </c>
      <c r="L1295" s="1" t="s">
        <v>26</v>
      </c>
      <c r="M1295">
        <v>37.6</v>
      </c>
      <c r="N1295">
        <v>115098.12</v>
      </c>
      <c r="O1295">
        <v>411792.8</v>
      </c>
      <c r="P1295">
        <v>61100.57</v>
      </c>
      <c r="Q1295" s="1" t="s">
        <v>4233</v>
      </c>
      <c r="R1295">
        <v>79</v>
      </c>
      <c r="S1295" s="1" t="s">
        <v>4234</v>
      </c>
      <c r="T1295" t="b">
        <v>1</v>
      </c>
    </row>
    <row r="1296" spans="1:20" x14ac:dyDescent="0.25">
      <c r="A1296" s="1" t="s">
        <v>4235</v>
      </c>
      <c r="B1296" s="1" t="s">
        <v>328</v>
      </c>
      <c r="C1296" s="1" t="s">
        <v>191</v>
      </c>
      <c r="D1296" s="1" t="s">
        <v>78</v>
      </c>
      <c r="E1296" s="1" t="s">
        <v>24</v>
      </c>
      <c r="F1296" s="1" t="s">
        <v>66</v>
      </c>
      <c r="G1296" s="2">
        <v>45607</v>
      </c>
      <c r="H1296" s="2"/>
      <c r="I1296">
        <v>3</v>
      </c>
      <c r="J1296">
        <v>5</v>
      </c>
      <c r="K1296">
        <v>2</v>
      </c>
      <c r="L1296" s="1" t="s">
        <v>26</v>
      </c>
      <c r="M1296">
        <v>49</v>
      </c>
      <c r="N1296">
        <v>128066.91</v>
      </c>
      <c r="O1296">
        <v>736416.36</v>
      </c>
      <c r="P1296">
        <v>106789.05</v>
      </c>
      <c r="Q1296" s="1" t="s">
        <v>2274</v>
      </c>
      <c r="R1296">
        <v>66</v>
      </c>
      <c r="S1296" s="1" t="s">
        <v>4236</v>
      </c>
      <c r="T1296" t="b">
        <v>0</v>
      </c>
    </row>
    <row r="1297" spans="1:20" x14ac:dyDescent="0.25">
      <c r="A1297" s="1" t="s">
        <v>4237</v>
      </c>
      <c r="B1297" s="1" t="s">
        <v>174</v>
      </c>
      <c r="C1297" s="1" t="s">
        <v>1032</v>
      </c>
      <c r="D1297" s="1" t="s">
        <v>144</v>
      </c>
      <c r="E1297" s="1" t="s">
        <v>49</v>
      </c>
      <c r="F1297" s="1" t="s">
        <v>25</v>
      </c>
      <c r="G1297" s="2">
        <v>45336</v>
      </c>
      <c r="H1297" s="2">
        <v>45376</v>
      </c>
      <c r="I1297">
        <v>25</v>
      </c>
      <c r="J1297">
        <v>40</v>
      </c>
      <c r="K1297">
        <v>15</v>
      </c>
      <c r="L1297" s="1" t="s">
        <v>330</v>
      </c>
      <c r="M1297">
        <v>213</v>
      </c>
      <c r="N1297">
        <v>433365.06</v>
      </c>
      <c r="O1297">
        <v>3955243.23</v>
      </c>
      <c r="P1297">
        <v>628810.17000000004</v>
      </c>
      <c r="Q1297" s="1" t="s">
        <v>4238</v>
      </c>
      <c r="R1297">
        <v>56</v>
      </c>
      <c r="S1297" s="1" t="s">
        <v>4239</v>
      </c>
      <c r="T1297" t="b">
        <v>1</v>
      </c>
    </row>
    <row r="1298" spans="1:20" x14ac:dyDescent="0.25">
      <c r="A1298" s="1" t="s">
        <v>4240</v>
      </c>
      <c r="B1298" s="1" t="s">
        <v>111</v>
      </c>
      <c r="C1298" s="1" t="s">
        <v>1939</v>
      </c>
      <c r="D1298" s="1" t="s">
        <v>202</v>
      </c>
      <c r="E1298" s="1" t="s">
        <v>65</v>
      </c>
      <c r="F1298" s="1" t="s">
        <v>34</v>
      </c>
      <c r="G1298" s="2">
        <v>44597</v>
      </c>
      <c r="H1298" s="2"/>
      <c r="I1298">
        <v>4</v>
      </c>
      <c r="J1298">
        <v>5</v>
      </c>
      <c r="K1298">
        <v>0.5</v>
      </c>
      <c r="L1298" s="1" t="s">
        <v>26</v>
      </c>
      <c r="M1298">
        <v>68.099999999999994</v>
      </c>
      <c r="N1298">
        <v>240774.96</v>
      </c>
      <c r="O1298">
        <v>448827.66</v>
      </c>
      <c r="P1298">
        <v>77492.36</v>
      </c>
      <c r="Q1298" s="1" t="s">
        <v>4241</v>
      </c>
      <c r="R1298">
        <v>25</v>
      </c>
      <c r="S1298" s="1" t="s">
        <v>4242</v>
      </c>
      <c r="T1298" t="b">
        <v>1</v>
      </c>
    </row>
    <row r="1299" spans="1:20" x14ac:dyDescent="0.25">
      <c r="A1299" s="1" t="s">
        <v>4243</v>
      </c>
      <c r="B1299" s="1" t="s">
        <v>46</v>
      </c>
      <c r="C1299" s="1" t="s">
        <v>717</v>
      </c>
      <c r="D1299" s="1" t="s">
        <v>655</v>
      </c>
      <c r="E1299" s="1" t="s">
        <v>57</v>
      </c>
      <c r="F1299" s="1" t="s">
        <v>25</v>
      </c>
      <c r="G1299" s="2">
        <v>45511</v>
      </c>
      <c r="H1299" s="2">
        <v>45558</v>
      </c>
      <c r="I1299">
        <v>40</v>
      </c>
      <c r="J1299">
        <v>47</v>
      </c>
      <c r="K1299">
        <v>7</v>
      </c>
      <c r="L1299" s="1" t="s">
        <v>42</v>
      </c>
      <c r="M1299">
        <v>319.7</v>
      </c>
      <c r="N1299">
        <v>769977.54</v>
      </c>
      <c r="O1299">
        <v>3389069.4</v>
      </c>
      <c r="P1299">
        <v>744034.79</v>
      </c>
      <c r="Q1299" s="1" t="s">
        <v>4244</v>
      </c>
      <c r="R1299">
        <v>53</v>
      </c>
      <c r="S1299" s="1" t="s">
        <v>4245</v>
      </c>
      <c r="T1299" t="b">
        <v>0</v>
      </c>
    </row>
    <row r="1300" spans="1:20" x14ac:dyDescent="0.25">
      <c r="A1300" s="1" t="s">
        <v>4246</v>
      </c>
      <c r="B1300" s="1" t="s">
        <v>46</v>
      </c>
      <c r="C1300" s="1" t="s">
        <v>399</v>
      </c>
      <c r="D1300" s="1" t="s">
        <v>154</v>
      </c>
      <c r="E1300" s="1" t="s">
        <v>49</v>
      </c>
      <c r="F1300" s="1" t="s">
        <v>25</v>
      </c>
      <c r="G1300" s="2">
        <v>45421</v>
      </c>
      <c r="H1300" s="2">
        <v>45443</v>
      </c>
      <c r="I1300">
        <v>25</v>
      </c>
      <c r="J1300">
        <v>22</v>
      </c>
      <c r="K1300">
        <v>0</v>
      </c>
      <c r="L1300" s="1" t="s">
        <v>26</v>
      </c>
      <c r="M1300">
        <v>195</v>
      </c>
      <c r="N1300">
        <v>807039.21</v>
      </c>
      <c r="O1300">
        <v>101249.85</v>
      </c>
      <c r="P1300">
        <v>167737.57999999999</v>
      </c>
      <c r="Q1300" s="1" t="s">
        <v>4247</v>
      </c>
      <c r="R1300">
        <v>72</v>
      </c>
      <c r="S1300" s="1" t="s">
        <v>4248</v>
      </c>
      <c r="T1300" t="b">
        <v>0</v>
      </c>
    </row>
    <row r="1301" spans="1:20" x14ac:dyDescent="0.25">
      <c r="A1301" s="1" t="s">
        <v>4249</v>
      </c>
      <c r="B1301" s="1" t="s">
        <v>253</v>
      </c>
      <c r="C1301" s="1" t="s">
        <v>808</v>
      </c>
      <c r="D1301" s="1" t="s">
        <v>595</v>
      </c>
      <c r="E1301" s="1" t="s">
        <v>57</v>
      </c>
      <c r="F1301" s="1" t="s">
        <v>34</v>
      </c>
      <c r="G1301" s="2">
        <v>45198</v>
      </c>
      <c r="H1301" s="2"/>
      <c r="I1301">
        <v>40</v>
      </c>
      <c r="J1301">
        <v>37</v>
      </c>
      <c r="K1301">
        <v>0</v>
      </c>
      <c r="L1301" s="1" t="s">
        <v>26</v>
      </c>
      <c r="M1301">
        <v>184.5</v>
      </c>
      <c r="N1301">
        <v>693860.2</v>
      </c>
      <c r="O1301">
        <v>1243201.44</v>
      </c>
      <c r="P1301">
        <v>199383.23</v>
      </c>
      <c r="Q1301" s="1" t="s">
        <v>4250</v>
      </c>
      <c r="R1301">
        <v>20</v>
      </c>
      <c r="S1301" s="1" t="s">
        <v>4251</v>
      </c>
      <c r="T1301" t="b">
        <v>1</v>
      </c>
    </row>
    <row r="1302" spans="1:20" x14ac:dyDescent="0.25">
      <c r="A1302" s="1" t="s">
        <v>4252</v>
      </c>
      <c r="B1302" s="1" t="s">
        <v>99</v>
      </c>
      <c r="C1302" s="1" t="s">
        <v>685</v>
      </c>
      <c r="D1302" s="1" t="s">
        <v>670</v>
      </c>
      <c r="E1302" s="1" t="s">
        <v>57</v>
      </c>
      <c r="F1302" s="1" t="s">
        <v>25</v>
      </c>
      <c r="G1302" s="2">
        <v>45579</v>
      </c>
      <c r="H1302" s="2">
        <v>45631</v>
      </c>
      <c r="I1302">
        <v>40</v>
      </c>
      <c r="J1302">
        <v>52</v>
      </c>
      <c r="K1302">
        <v>12</v>
      </c>
      <c r="L1302" s="1" t="s">
        <v>26</v>
      </c>
      <c r="M1302">
        <v>448.3</v>
      </c>
      <c r="N1302">
        <v>2002164.54</v>
      </c>
      <c r="O1302">
        <v>1021152.44</v>
      </c>
      <c r="P1302">
        <v>321221.98</v>
      </c>
      <c r="Q1302" s="1" t="s">
        <v>4253</v>
      </c>
      <c r="R1302">
        <v>25</v>
      </c>
      <c r="S1302" s="1" t="s">
        <v>4254</v>
      </c>
      <c r="T1302" t="b">
        <v>0</v>
      </c>
    </row>
    <row r="1303" spans="1:20" x14ac:dyDescent="0.25">
      <c r="A1303" s="1" t="s">
        <v>4255</v>
      </c>
      <c r="B1303" s="1" t="s">
        <v>220</v>
      </c>
      <c r="C1303" s="1" t="s">
        <v>77</v>
      </c>
      <c r="D1303" s="1" t="s">
        <v>40</v>
      </c>
      <c r="E1303" s="1" t="s">
        <v>33</v>
      </c>
      <c r="F1303" s="1" t="s">
        <v>25</v>
      </c>
      <c r="G1303" s="2">
        <v>44628</v>
      </c>
      <c r="H1303" s="2">
        <v>44638</v>
      </c>
      <c r="I1303">
        <v>12</v>
      </c>
      <c r="J1303">
        <v>10</v>
      </c>
      <c r="K1303">
        <v>0</v>
      </c>
      <c r="L1303" s="1" t="s">
        <v>26</v>
      </c>
      <c r="M1303">
        <v>150.30000000000001</v>
      </c>
      <c r="N1303">
        <v>463236.39</v>
      </c>
      <c r="O1303">
        <v>592714.46</v>
      </c>
      <c r="P1303">
        <v>116887.19</v>
      </c>
      <c r="Q1303" s="1" t="s">
        <v>4256</v>
      </c>
      <c r="R1303">
        <v>61</v>
      </c>
      <c r="S1303" s="1" t="s">
        <v>4257</v>
      </c>
      <c r="T1303" t="b">
        <v>0</v>
      </c>
    </row>
    <row r="1304" spans="1:20" x14ac:dyDescent="0.25">
      <c r="A1304" s="1" t="s">
        <v>4258</v>
      </c>
      <c r="B1304" s="1" t="s">
        <v>62</v>
      </c>
      <c r="C1304" s="1" t="s">
        <v>3172</v>
      </c>
      <c r="D1304" s="1" t="s">
        <v>144</v>
      </c>
      <c r="E1304" s="1" t="s">
        <v>41</v>
      </c>
      <c r="F1304" s="1" t="s">
        <v>25</v>
      </c>
      <c r="G1304" s="2">
        <v>44655</v>
      </c>
      <c r="H1304" s="2">
        <v>44668</v>
      </c>
      <c r="I1304">
        <v>9</v>
      </c>
      <c r="J1304">
        <v>13</v>
      </c>
      <c r="K1304">
        <v>4</v>
      </c>
      <c r="L1304" s="1" t="s">
        <v>42</v>
      </c>
      <c r="M1304">
        <v>170.2</v>
      </c>
      <c r="N1304">
        <v>712642.11</v>
      </c>
      <c r="O1304">
        <v>786384.53</v>
      </c>
      <c r="P1304">
        <v>297960.75</v>
      </c>
      <c r="Q1304" s="1" t="s">
        <v>4259</v>
      </c>
      <c r="R1304">
        <v>26</v>
      </c>
      <c r="S1304" s="1" t="s">
        <v>4260</v>
      </c>
      <c r="T1304" t="b">
        <v>0</v>
      </c>
    </row>
    <row r="1305" spans="1:20" x14ac:dyDescent="0.25">
      <c r="A1305" s="1" t="s">
        <v>4261</v>
      </c>
      <c r="B1305" s="1" t="s">
        <v>174</v>
      </c>
      <c r="C1305" s="1" t="s">
        <v>869</v>
      </c>
      <c r="D1305" s="1" t="s">
        <v>505</v>
      </c>
      <c r="E1305" s="1" t="s">
        <v>49</v>
      </c>
      <c r="F1305" s="1" t="s">
        <v>25</v>
      </c>
      <c r="G1305" s="2">
        <v>45517</v>
      </c>
      <c r="H1305" s="2">
        <v>45554</v>
      </c>
      <c r="I1305">
        <v>25</v>
      </c>
      <c r="J1305">
        <v>37</v>
      </c>
      <c r="K1305">
        <v>12</v>
      </c>
      <c r="L1305" s="1" t="s">
        <v>26</v>
      </c>
      <c r="M1305">
        <v>309.89999999999998</v>
      </c>
      <c r="N1305">
        <v>565706.67000000004</v>
      </c>
      <c r="O1305">
        <v>611196.84</v>
      </c>
      <c r="P1305">
        <v>141938.45000000001</v>
      </c>
      <c r="Q1305" s="1" t="s">
        <v>4262</v>
      </c>
      <c r="R1305">
        <v>50</v>
      </c>
      <c r="S1305" s="1" t="s">
        <v>4263</v>
      </c>
      <c r="T1305" t="b">
        <v>1</v>
      </c>
    </row>
    <row r="1306" spans="1:20" x14ac:dyDescent="0.25">
      <c r="A1306" s="1" t="s">
        <v>4264</v>
      </c>
      <c r="B1306" s="1" t="s">
        <v>418</v>
      </c>
      <c r="C1306" s="1" t="s">
        <v>175</v>
      </c>
      <c r="D1306" s="1" t="s">
        <v>113</v>
      </c>
      <c r="E1306" s="1" t="s">
        <v>41</v>
      </c>
      <c r="F1306" s="1" t="s">
        <v>50</v>
      </c>
      <c r="G1306" s="2">
        <v>45644</v>
      </c>
      <c r="H1306" s="2"/>
      <c r="I1306">
        <v>9</v>
      </c>
      <c r="J1306">
        <v>10</v>
      </c>
      <c r="K1306">
        <v>1</v>
      </c>
      <c r="L1306" s="1" t="s">
        <v>26</v>
      </c>
      <c r="M1306">
        <v>102.7</v>
      </c>
      <c r="N1306">
        <v>185820.29</v>
      </c>
      <c r="O1306">
        <v>696633.09</v>
      </c>
      <c r="P1306">
        <v>129542.57</v>
      </c>
      <c r="Q1306" s="1" t="s">
        <v>4265</v>
      </c>
      <c r="R1306">
        <v>26</v>
      </c>
      <c r="S1306" s="1" t="s">
        <v>4266</v>
      </c>
      <c r="T1306" t="b">
        <v>0</v>
      </c>
    </row>
    <row r="1307" spans="1:20" x14ac:dyDescent="0.25">
      <c r="A1307" s="1" t="s">
        <v>4267</v>
      </c>
      <c r="B1307" s="1" t="s">
        <v>220</v>
      </c>
      <c r="C1307" s="1" t="s">
        <v>1042</v>
      </c>
      <c r="D1307" s="1" t="s">
        <v>144</v>
      </c>
      <c r="E1307" s="1" t="s">
        <v>49</v>
      </c>
      <c r="F1307" s="1" t="s">
        <v>34</v>
      </c>
      <c r="G1307" s="2">
        <v>44618</v>
      </c>
      <c r="H1307" s="2"/>
      <c r="I1307">
        <v>25</v>
      </c>
      <c r="J1307">
        <v>26</v>
      </c>
      <c r="K1307">
        <v>1</v>
      </c>
      <c r="L1307" s="1" t="s">
        <v>26</v>
      </c>
      <c r="M1307">
        <v>138.69999999999999</v>
      </c>
      <c r="N1307">
        <v>480184.61</v>
      </c>
      <c r="O1307">
        <v>4879980.32</v>
      </c>
      <c r="P1307">
        <v>618900.04</v>
      </c>
      <c r="Q1307" s="1" t="s">
        <v>4268</v>
      </c>
      <c r="R1307">
        <v>50</v>
      </c>
      <c r="S1307" s="1" t="s">
        <v>4269</v>
      </c>
      <c r="T1307" t="b">
        <v>0</v>
      </c>
    </row>
    <row r="1308" spans="1:20" x14ac:dyDescent="0.25">
      <c r="A1308" s="1" t="s">
        <v>4270</v>
      </c>
      <c r="B1308" s="1" t="s">
        <v>272</v>
      </c>
      <c r="C1308" s="1" t="s">
        <v>100</v>
      </c>
      <c r="D1308" s="1" t="s">
        <v>165</v>
      </c>
      <c r="E1308" s="1" t="s">
        <v>49</v>
      </c>
      <c r="F1308" s="1" t="s">
        <v>25</v>
      </c>
      <c r="G1308" s="2">
        <v>44809</v>
      </c>
      <c r="H1308" s="2">
        <v>44834</v>
      </c>
      <c r="I1308">
        <v>25</v>
      </c>
      <c r="J1308">
        <v>25</v>
      </c>
      <c r="K1308">
        <v>0</v>
      </c>
      <c r="L1308" s="1" t="s">
        <v>26</v>
      </c>
      <c r="M1308">
        <v>201.7</v>
      </c>
      <c r="N1308">
        <v>486510.4</v>
      </c>
      <c r="O1308">
        <v>2242569.4</v>
      </c>
      <c r="P1308">
        <v>387317.92</v>
      </c>
      <c r="Q1308" s="1" t="s">
        <v>4271</v>
      </c>
      <c r="R1308">
        <v>38</v>
      </c>
      <c r="S1308" s="1" t="s">
        <v>4272</v>
      </c>
      <c r="T1308" t="b">
        <v>1</v>
      </c>
    </row>
    <row r="1309" spans="1:20" x14ac:dyDescent="0.25">
      <c r="A1309" s="1" t="s">
        <v>4273</v>
      </c>
      <c r="B1309" s="1" t="s">
        <v>76</v>
      </c>
      <c r="C1309" s="1" t="s">
        <v>476</v>
      </c>
      <c r="D1309" s="1" t="s">
        <v>344</v>
      </c>
      <c r="E1309" s="1" t="s">
        <v>24</v>
      </c>
      <c r="F1309" s="1" t="s">
        <v>25</v>
      </c>
      <c r="G1309" s="2">
        <v>45312</v>
      </c>
      <c r="H1309" s="2">
        <v>45317</v>
      </c>
      <c r="I1309">
        <v>3</v>
      </c>
      <c r="J1309">
        <v>5</v>
      </c>
      <c r="K1309">
        <v>2</v>
      </c>
      <c r="L1309" s="1" t="s">
        <v>26</v>
      </c>
      <c r="M1309">
        <v>21.9</v>
      </c>
      <c r="N1309">
        <v>49455.33</v>
      </c>
      <c r="O1309">
        <v>1291896.8799999999</v>
      </c>
      <c r="P1309">
        <v>250581.57</v>
      </c>
      <c r="Q1309" s="1" t="s">
        <v>3934</v>
      </c>
      <c r="R1309">
        <v>30</v>
      </c>
      <c r="S1309" s="1" t="s">
        <v>4274</v>
      </c>
      <c r="T1309" t="b">
        <v>1</v>
      </c>
    </row>
    <row r="1310" spans="1:20" x14ac:dyDescent="0.25">
      <c r="A1310" s="1" t="s">
        <v>4275</v>
      </c>
      <c r="B1310" s="1" t="s">
        <v>451</v>
      </c>
      <c r="C1310" s="1" t="s">
        <v>1472</v>
      </c>
      <c r="D1310" s="1" t="s">
        <v>293</v>
      </c>
      <c r="E1310" s="1" t="s">
        <v>49</v>
      </c>
      <c r="F1310" s="1" t="s">
        <v>25</v>
      </c>
      <c r="G1310" s="2">
        <v>45362</v>
      </c>
      <c r="H1310" s="2">
        <v>45397</v>
      </c>
      <c r="I1310">
        <v>25</v>
      </c>
      <c r="J1310">
        <v>35</v>
      </c>
      <c r="K1310">
        <v>10</v>
      </c>
      <c r="L1310" s="1" t="s">
        <v>101</v>
      </c>
      <c r="M1310">
        <v>557.20000000000005</v>
      </c>
      <c r="N1310">
        <v>1909332.18</v>
      </c>
      <c r="O1310">
        <v>3819457.6</v>
      </c>
      <c r="P1310">
        <v>888813.73</v>
      </c>
      <c r="Q1310" s="1" t="s">
        <v>1093</v>
      </c>
      <c r="R1310">
        <v>71</v>
      </c>
      <c r="S1310" s="1" t="s">
        <v>4276</v>
      </c>
      <c r="T1310" t="b">
        <v>0</v>
      </c>
    </row>
    <row r="1311" spans="1:20" x14ac:dyDescent="0.25">
      <c r="A1311" s="1" t="s">
        <v>4277</v>
      </c>
      <c r="B1311" s="1" t="s">
        <v>471</v>
      </c>
      <c r="C1311" s="1" t="s">
        <v>2195</v>
      </c>
      <c r="D1311" s="1" t="s">
        <v>758</v>
      </c>
      <c r="E1311" s="1" t="s">
        <v>33</v>
      </c>
      <c r="F1311" s="1" t="s">
        <v>25</v>
      </c>
      <c r="G1311" s="2">
        <v>45292</v>
      </c>
      <c r="H1311" s="2">
        <v>45307</v>
      </c>
      <c r="I1311">
        <v>12</v>
      </c>
      <c r="J1311">
        <v>15</v>
      </c>
      <c r="K1311">
        <v>3</v>
      </c>
      <c r="L1311" s="1" t="s">
        <v>26</v>
      </c>
      <c r="M1311">
        <v>184.2</v>
      </c>
      <c r="N1311">
        <v>453859.79</v>
      </c>
      <c r="O1311">
        <v>4250025.29</v>
      </c>
      <c r="P1311">
        <v>900507.38</v>
      </c>
      <c r="Q1311" s="1" t="s">
        <v>4278</v>
      </c>
      <c r="R1311">
        <v>23</v>
      </c>
      <c r="S1311" s="1" t="s">
        <v>4279</v>
      </c>
      <c r="T1311" t="b">
        <v>1</v>
      </c>
    </row>
    <row r="1312" spans="1:20" x14ac:dyDescent="0.25">
      <c r="A1312" s="1" t="s">
        <v>4280</v>
      </c>
      <c r="B1312" s="1" t="s">
        <v>403</v>
      </c>
      <c r="C1312" s="1" t="s">
        <v>428</v>
      </c>
      <c r="D1312" s="1" t="s">
        <v>713</v>
      </c>
      <c r="E1312" s="1" t="s">
        <v>24</v>
      </c>
      <c r="F1312" s="1" t="s">
        <v>50</v>
      </c>
      <c r="G1312" s="2">
        <v>45394</v>
      </c>
      <c r="H1312" s="2"/>
      <c r="I1312">
        <v>3</v>
      </c>
      <c r="J1312">
        <v>2</v>
      </c>
      <c r="K1312">
        <v>0</v>
      </c>
      <c r="L1312" s="1" t="s">
        <v>26</v>
      </c>
      <c r="M1312">
        <v>17.3</v>
      </c>
      <c r="N1312">
        <v>31346.080000000002</v>
      </c>
      <c r="O1312">
        <v>4639440.78</v>
      </c>
      <c r="P1312">
        <v>568708.29</v>
      </c>
      <c r="Q1312" s="1" t="s">
        <v>4281</v>
      </c>
      <c r="R1312">
        <v>70</v>
      </c>
      <c r="S1312" s="1" t="s">
        <v>4282</v>
      </c>
      <c r="T1312" t="b">
        <v>1</v>
      </c>
    </row>
    <row r="1313" spans="1:20" x14ac:dyDescent="0.25">
      <c r="A1313" s="1" t="s">
        <v>4283</v>
      </c>
      <c r="B1313" s="1" t="s">
        <v>93</v>
      </c>
      <c r="C1313" s="1" t="s">
        <v>1827</v>
      </c>
      <c r="D1313" s="1" t="s">
        <v>192</v>
      </c>
      <c r="E1313" s="1" t="s">
        <v>57</v>
      </c>
      <c r="F1313" s="1" t="s">
        <v>34</v>
      </c>
      <c r="G1313" s="2">
        <v>45139</v>
      </c>
      <c r="H1313" s="2"/>
      <c r="I1313">
        <v>40</v>
      </c>
      <c r="J1313">
        <v>27</v>
      </c>
      <c r="K1313">
        <v>0</v>
      </c>
      <c r="L1313" s="1" t="s">
        <v>26</v>
      </c>
      <c r="M1313">
        <v>308.89999999999998</v>
      </c>
      <c r="N1313">
        <v>1278041.8799999999</v>
      </c>
      <c r="O1313">
        <v>2893657.65</v>
      </c>
      <c r="P1313">
        <v>537547.85</v>
      </c>
      <c r="Q1313" s="1" t="s">
        <v>4284</v>
      </c>
      <c r="R1313">
        <v>39</v>
      </c>
      <c r="S1313" s="1" t="s">
        <v>4285</v>
      </c>
      <c r="T1313" t="b">
        <v>1</v>
      </c>
    </row>
    <row r="1314" spans="1:20" x14ac:dyDescent="0.25">
      <c r="A1314" s="1" t="s">
        <v>4286</v>
      </c>
      <c r="B1314" s="1" t="s">
        <v>451</v>
      </c>
      <c r="C1314" s="1" t="s">
        <v>540</v>
      </c>
      <c r="D1314" s="1" t="s">
        <v>40</v>
      </c>
      <c r="E1314" s="1" t="s">
        <v>49</v>
      </c>
      <c r="F1314" s="1" t="s">
        <v>50</v>
      </c>
      <c r="G1314" s="2">
        <v>45432</v>
      </c>
      <c r="H1314" s="2"/>
      <c r="I1314">
        <v>25</v>
      </c>
      <c r="J1314">
        <v>35</v>
      </c>
      <c r="K1314">
        <v>10</v>
      </c>
      <c r="L1314" s="1" t="s">
        <v>26</v>
      </c>
      <c r="M1314">
        <v>171.3</v>
      </c>
      <c r="N1314">
        <v>315495.15999999997</v>
      </c>
      <c r="O1314">
        <v>4292176.75</v>
      </c>
      <c r="P1314">
        <v>482354.47</v>
      </c>
      <c r="Q1314" s="1" t="s">
        <v>4287</v>
      </c>
      <c r="R1314">
        <v>71</v>
      </c>
      <c r="S1314" s="1" t="s">
        <v>4288</v>
      </c>
      <c r="T1314" t="b">
        <v>0</v>
      </c>
    </row>
    <row r="1315" spans="1:20" x14ac:dyDescent="0.25">
      <c r="A1315" s="1" t="s">
        <v>4289</v>
      </c>
      <c r="B1315" s="1" t="s">
        <v>272</v>
      </c>
      <c r="C1315" s="1" t="s">
        <v>753</v>
      </c>
      <c r="D1315" s="1" t="s">
        <v>505</v>
      </c>
      <c r="E1315" s="1" t="s">
        <v>65</v>
      </c>
      <c r="F1315" s="1" t="s">
        <v>34</v>
      </c>
      <c r="G1315" s="2">
        <v>45157</v>
      </c>
      <c r="H1315" s="2"/>
      <c r="I1315">
        <v>4</v>
      </c>
      <c r="J1315">
        <v>4</v>
      </c>
      <c r="K1315">
        <v>0</v>
      </c>
      <c r="L1315" s="1" t="s">
        <v>26</v>
      </c>
      <c r="M1315">
        <v>27.1</v>
      </c>
      <c r="N1315">
        <v>112272.24</v>
      </c>
      <c r="O1315">
        <v>3076177.81</v>
      </c>
      <c r="P1315">
        <v>424062.21</v>
      </c>
      <c r="Q1315" s="1" t="s">
        <v>4290</v>
      </c>
      <c r="R1315">
        <v>72</v>
      </c>
      <c r="S1315" s="1" t="s">
        <v>4291</v>
      </c>
      <c r="T1315" t="b">
        <v>1</v>
      </c>
    </row>
    <row r="1316" spans="1:20" x14ac:dyDescent="0.25">
      <c r="A1316" s="1" t="s">
        <v>4292</v>
      </c>
      <c r="B1316" s="1" t="s">
        <v>105</v>
      </c>
      <c r="C1316" s="1" t="s">
        <v>88</v>
      </c>
      <c r="D1316" s="1" t="s">
        <v>350</v>
      </c>
      <c r="E1316" s="1" t="s">
        <v>65</v>
      </c>
      <c r="F1316" s="1" t="s">
        <v>25</v>
      </c>
      <c r="G1316" s="2">
        <v>45127</v>
      </c>
      <c r="H1316" s="2">
        <v>45132</v>
      </c>
      <c r="I1316">
        <v>4</v>
      </c>
      <c r="J1316">
        <v>5</v>
      </c>
      <c r="K1316">
        <v>0.5</v>
      </c>
      <c r="L1316" s="1" t="s">
        <v>26</v>
      </c>
      <c r="M1316">
        <v>66.099999999999994</v>
      </c>
      <c r="N1316">
        <v>146726.39000000001</v>
      </c>
      <c r="O1316">
        <v>2532766.08</v>
      </c>
      <c r="P1316">
        <v>484555.35</v>
      </c>
      <c r="Q1316" s="1" t="s">
        <v>4293</v>
      </c>
      <c r="R1316">
        <v>35</v>
      </c>
      <c r="S1316" s="1" t="s">
        <v>4294</v>
      </c>
      <c r="T1316" t="b">
        <v>0</v>
      </c>
    </row>
    <row r="1317" spans="1:20" x14ac:dyDescent="0.25">
      <c r="A1317" s="1" t="s">
        <v>4295</v>
      </c>
      <c r="B1317" s="1" t="s">
        <v>93</v>
      </c>
      <c r="C1317" s="1" t="s">
        <v>966</v>
      </c>
      <c r="D1317" s="1" t="s">
        <v>40</v>
      </c>
      <c r="E1317" s="1" t="s">
        <v>41</v>
      </c>
      <c r="F1317" s="1" t="s">
        <v>50</v>
      </c>
      <c r="G1317" s="2">
        <v>45219</v>
      </c>
      <c r="H1317" s="2"/>
      <c r="I1317">
        <v>9</v>
      </c>
      <c r="J1317">
        <v>4</v>
      </c>
      <c r="K1317">
        <v>0</v>
      </c>
      <c r="L1317" s="1" t="s">
        <v>26</v>
      </c>
      <c r="M1317">
        <v>22.6</v>
      </c>
      <c r="N1317">
        <v>87691.54</v>
      </c>
      <c r="O1317">
        <v>4530105.8600000003</v>
      </c>
      <c r="P1317">
        <v>880894.44</v>
      </c>
      <c r="Q1317" s="1" t="s">
        <v>4296</v>
      </c>
      <c r="R1317">
        <v>56</v>
      </c>
      <c r="S1317" s="1" t="s">
        <v>4297</v>
      </c>
      <c r="T1317" t="b">
        <v>0</v>
      </c>
    </row>
    <row r="1318" spans="1:20" x14ac:dyDescent="0.25">
      <c r="A1318" s="1" t="s">
        <v>4298</v>
      </c>
      <c r="B1318" s="1" t="s">
        <v>174</v>
      </c>
      <c r="C1318" s="1" t="s">
        <v>2334</v>
      </c>
      <c r="D1318" s="1" t="s">
        <v>124</v>
      </c>
      <c r="E1318" s="1" t="s">
        <v>33</v>
      </c>
      <c r="F1318" s="1" t="s">
        <v>25</v>
      </c>
      <c r="G1318" s="2">
        <v>45599</v>
      </c>
      <c r="H1318" s="2">
        <v>45610</v>
      </c>
      <c r="I1318">
        <v>12</v>
      </c>
      <c r="J1318">
        <v>11</v>
      </c>
      <c r="K1318">
        <v>0</v>
      </c>
      <c r="L1318" s="1" t="s">
        <v>26</v>
      </c>
      <c r="M1318">
        <v>78.3</v>
      </c>
      <c r="N1318">
        <v>220510.61</v>
      </c>
      <c r="O1318">
        <v>4695052.47</v>
      </c>
      <c r="P1318">
        <v>513978.38</v>
      </c>
      <c r="Q1318" s="1" t="s">
        <v>2530</v>
      </c>
      <c r="R1318">
        <v>44</v>
      </c>
      <c r="S1318" s="1" t="s">
        <v>4299</v>
      </c>
      <c r="T1318" t="b">
        <v>1</v>
      </c>
    </row>
    <row r="1319" spans="1:20" x14ac:dyDescent="0.25">
      <c r="A1319" s="1" t="s">
        <v>4300</v>
      </c>
      <c r="B1319" s="1" t="s">
        <v>471</v>
      </c>
      <c r="C1319" s="1" t="s">
        <v>201</v>
      </c>
      <c r="D1319" s="1" t="s">
        <v>622</v>
      </c>
      <c r="E1319" s="1" t="s">
        <v>24</v>
      </c>
      <c r="F1319" s="1" t="s">
        <v>50</v>
      </c>
      <c r="G1319" s="2">
        <v>44876</v>
      </c>
      <c r="H1319" s="2"/>
      <c r="I1319">
        <v>3</v>
      </c>
      <c r="J1319">
        <v>3</v>
      </c>
      <c r="K1319">
        <v>0</v>
      </c>
      <c r="L1319" s="1" t="s">
        <v>26</v>
      </c>
      <c r="M1319">
        <v>27.7</v>
      </c>
      <c r="N1319">
        <v>105065.92</v>
      </c>
      <c r="O1319">
        <v>4953968.55</v>
      </c>
      <c r="P1319">
        <v>896310.09</v>
      </c>
      <c r="Q1319" s="1" t="s">
        <v>1127</v>
      </c>
      <c r="R1319">
        <v>24</v>
      </c>
      <c r="S1319" s="1" t="s">
        <v>4301</v>
      </c>
      <c r="T1319" t="b">
        <v>0</v>
      </c>
    </row>
    <row r="1320" spans="1:20" x14ac:dyDescent="0.25">
      <c r="A1320" s="1" t="s">
        <v>4302</v>
      </c>
      <c r="B1320" s="1" t="s">
        <v>122</v>
      </c>
      <c r="C1320" s="1" t="s">
        <v>363</v>
      </c>
      <c r="D1320" s="1" t="s">
        <v>350</v>
      </c>
      <c r="E1320" s="1" t="s">
        <v>33</v>
      </c>
      <c r="F1320" s="1" t="s">
        <v>25</v>
      </c>
      <c r="G1320" s="2">
        <v>44770</v>
      </c>
      <c r="H1320" s="2">
        <v>44779</v>
      </c>
      <c r="I1320">
        <v>12</v>
      </c>
      <c r="J1320">
        <v>9</v>
      </c>
      <c r="K1320">
        <v>0</v>
      </c>
      <c r="L1320" s="1" t="s">
        <v>26</v>
      </c>
      <c r="M1320">
        <v>42.6</v>
      </c>
      <c r="N1320">
        <v>134194.63</v>
      </c>
      <c r="O1320">
        <v>621290.18999999994</v>
      </c>
      <c r="P1320">
        <v>104579.81</v>
      </c>
      <c r="Q1320" s="1" t="s">
        <v>4303</v>
      </c>
      <c r="R1320">
        <v>62</v>
      </c>
      <c r="S1320" s="1" t="s">
        <v>4304</v>
      </c>
      <c r="T1320" t="b">
        <v>1</v>
      </c>
    </row>
    <row r="1321" spans="1:20" x14ac:dyDescent="0.25">
      <c r="A1321" s="1" t="s">
        <v>4305</v>
      </c>
      <c r="B1321" s="1" t="s">
        <v>328</v>
      </c>
      <c r="C1321" s="1" t="s">
        <v>129</v>
      </c>
      <c r="D1321" s="1" t="s">
        <v>64</v>
      </c>
      <c r="E1321" s="1" t="s">
        <v>33</v>
      </c>
      <c r="F1321" s="1" t="s">
        <v>25</v>
      </c>
      <c r="G1321" s="2">
        <v>45005</v>
      </c>
      <c r="H1321" s="2">
        <v>45016</v>
      </c>
      <c r="I1321">
        <v>12</v>
      </c>
      <c r="J1321">
        <v>11</v>
      </c>
      <c r="K1321">
        <v>0</v>
      </c>
      <c r="L1321" s="1" t="s">
        <v>26</v>
      </c>
      <c r="M1321">
        <v>84.5</v>
      </c>
      <c r="N1321">
        <v>204180.01</v>
      </c>
      <c r="O1321">
        <v>89569.27</v>
      </c>
      <c r="P1321">
        <v>34830.22</v>
      </c>
      <c r="Q1321" s="1" t="s">
        <v>3468</v>
      </c>
      <c r="R1321">
        <v>40</v>
      </c>
      <c r="S1321" s="1" t="s">
        <v>4306</v>
      </c>
      <c r="T1321" t="b">
        <v>0</v>
      </c>
    </row>
    <row r="1322" spans="1:20" x14ac:dyDescent="0.25">
      <c r="A1322" s="1" t="s">
        <v>4307</v>
      </c>
      <c r="B1322" s="1" t="s">
        <v>169</v>
      </c>
      <c r="C1322" s="1" t="s">
        <v>1501</v>
      </c>
      <c r="D1322" s="1" t="s">
        <v>202</v>
      </c>
      <c r="E1322" s="1" t="s">
        <v>65</v>
      </c>
      <c r="F1322" s="1" t="s">
        <v>25</v>
      </c>
      <c r="G1322" s="2">
        <v>44932</v>
      </c>
      <c r="H1322" s="2">
        <v>44935</v>
      </c>
      <c r="I1322">
        <v>4</v>
      </c>
      <c r="J1322">
        <v>3</v>
      </c>
      <c r="K1322">
        <v>0</v>
      </c>
      <c r="L1322" s="1" t="s">
        <v>26</v>
      </c>
      <c r="M1322">
        <v>32.299999999999997</v>
      </c>
      <c r="N1322">
        <v>87122.57</v>
      </c>
      <c r="O1322">
        <v>3855183.3</v>
      </c>
      <c r="P1322">
        <v>549725.87</v>
      </c>
      <c r="Q1322" s="1" t="s">
        <v>4308</v>
      </c>
      <c r="R1322">
        <v>53</v>
      </c>
      <c r="S1322" s="1" t="s">
        <v>4309</v>
      </c>
      <c r="T1322" t="b">
        <v>0</v>
      </c>
    </row>
    <row r="1323" spans="1:20" x14ac:dyDescent="0.25">
      <c r="A1323" s="1" t="s">
        <v>4310</v>
      </c>
      <c r="B1323" s="1" t="s">
        <v>82</v>
      </c>
      <c r="C1323" s="1" t="s">
        <v>2852</v>
      </c>
      <c r="D1323" s="1" t="s">
        <v>207</v>
      </c>
      <c r="E1323" s="1" t="s">
        <v>65</v>
      </c>
      <c r="F1323" s="1" t="s">
        <v>25</v>
      </c>
      <c r="G1323" s="2">
        <v>44655</v>
      </c>
      <c r="H1323" s="2">
        <v>44662</v>
      </c>
      <c r="I1323">
        <v>4</v>
      </c>
      <c r="J1323">
        <v>7</v>
      </c>
      <c r="K1323">
        <v>2.5</v>
      </c>
      <c r="L1323" s="1" t="s">
        <v>26</v>
      </c>
      <c r="M1323">
        <v>49.1</v>
      </c>
      <c r="N1323">
        <v>89743.56</v>
      </c>
      <c r="O1323">
        <v>3266986.23</v>
      </c>
      <c r="P1323">
        <v>462304.59</v>
      </c>
      <c r="Q1323" s="1" t="s">
        <v>4311</v>
      </c>
      <c r="R1323">
        <v>33</v>
      </c>
      <c r="S1323" s="1" t="s">
        <v>4312</v>
      </c>
      <c r="T1323" t="b">
        <v>0</v>
      </c>
    </row>
    <row r="1324" spans="1:20" x14ac:dyDescent="0.25">
      <c r="A1324" s="1" t="s">
        <v>4313</v>
      </c>
      <c r="B1324" s="1" t="s">
        <v>62</v>
      </c>
      <c r="C1324" s="1" t="s">
        <v>292</v>
      </c>
      <c r="D1324" s="1" t="s">
        <v>713</v>
      </c>
      <c r="E1324" s="1" t="s">
        <v>65</v>
      </c>
      <c r="F1324" s="1" t="s">
        <v>34</v>
      </c>
      <c r="G1324" s="2">
        <v>45536</v>
      </c>
      <c r="H1324" s="2"/>
      <c r="I1324">
        <v>4</v>
      </c>
      <c r="J1324">
        <v>3</v>
      </c>
      <c r="K1324">
        <v>0</v>
      </c>
      <c r="L1324" s="1" t="s">
        <v>26</v>
      </c>
      <c r="M1324">
        <v>24.9</v>
      </c>
      <c r="N1324">
        <v>53249.32</v>
      </c>
      <c r="O1324">
        <v>4466651.26</v>
      </c>
      <c r="P1324">
        <v>646905.06000000006</v>
      </c>
      <c r="Q1324" s="1" t="s">
        <v>316</v>
      </c>
      <c r="R1324">
        <v>62</v>
      </c>
      <c r="S1324" s="1" t="s">
        <v>4314</v>
      </c>
      <c r="T1324" t="b">
        <v>1</v>
      </c>
    </row>
    <row r="1325" spans="1:20" x14ac:dyDescent="0.25">
      <c r="A1325" s="1" t="s">
        <v>4315</v>
      </c>
      <c r="B1325" s="1" t="s">
        <v>272</v>
      </c>
      <c r="C1325" s="1" t="s">
        <v>1664</v>
      </c>
      <c r="D1325" s="1" t="s">
        <v>359</v>
      </c>
      <c r="E1325" s="1" t="s">
        <v>49</v>
      </c>
      <c r="F1325" s="1" t="s">
        <v>66</v>
      </c>
      <c r="G1325" s="2">
        <v>45101</v>
      </c>
      <c r="H1325" s="2"/>
      <c r="I1325">
        <v>25</v>
      </c>
      <c r="J1325">
        <v>22</v>
      </c>
      <c r="K1325">
        <v>0</v>
      </c>
      <c r="L1325" s="1" t="s">
        <v>26</v>
      </c>
      <c r="M1325">
        <v>244.1</v>
      </c>
      <c r="N1325">
        <v>593441.53</v>
      </c>
      <c r="O1325">
        <v>297096.55</v>
      </c>
      <c r="P1325">
        <v>118852</v>
      </c>
      <c r="Q1325" s="1" t="s">
        <v>4316</v>
      </c>
      <c r="R1325">
        <v>21</v>
      </c>
      <c r="S1325" s="1" t="s">
        <v>4317</v>
      </c>
      <c r="T1325" t="b">
        <v>1</v>
      </c>
    </row>
    <row r="1326" spans="1:20" x14ac:dyDescent="0.25">
      <c r="A1326" s="1" t="s">
        <v>4318</v>
      </c>
      <c r="B1326" s="1" t="s">
        <v>545</v>
      </c>
      <c r="C1326" s="1" t="s">
        <v>47</v>
      </c>
      <c r="D1326" s="1" t="s">
        <v>89</v>
      </c>
      <c r="E1326" s="1" t="s">
        <v>57</v>
      </c>
      <c r="F1326" s="1" t="s">
        <v>66</v>
      </c>
      <c r="G1326" s="2">
        <v>45533</v>
      </c>
      <c r="H1326" s="2"/>
      <c r="I1326">
        <v>40</v>
      </c>
      <c r="J1326">
        <v>46</v>
      </c>
      <c r="K1326">
        <v>6</v>
      </c>
      <c r="L1326" s="1" t="s">
        <v>58</v>
      </c>
      <c r="M1326">
        <v>593.70000000000005</v>
      </c>
      <c r="N1326">
        <v>2602710.36</v>
      </c>
      <c r="O1326">
        <v>1643585.71</v>
      </c>
      <c r="P1326">
        <v>787159.01</v>
      </c>
      <c r="Q1326" s="1" t="s">
        <v>4319</v>
      </c>
      <c r="R1326">
        <v>61</v>
      </c>
      <c r="S1326" s="1" t="s">
        <v>4320</v>
      </c>
      <c r="T1326" t="b">
        <v>0</v>
      </c>
    </row>
    <row r="1327" spans="1:20" x14ac:dyDescent="0.25">
      <c r="A1327" s="1" t="s">
        <v>4321</v>
      </c>
      <c r="B1327" s="1" t="s">
        <v>220</v>
      </c>
      <c r="C1327" s="1" t="s">
        <v>999</v>
      </c>
      <c r="D1327" s="1" t="s">
        <v>249</v>
      </c>
      <c r="E1327" s="1" t="s">
        <v>65</v>
      </c>
      <c r="F1327" s="1" t="s">
        <v>25</v>
      </c>
      <c r="G1327" s="2">
        <v>45404</v>
      </c>
      <c r="H1327" s="2">
        <v>45412</v>
      </c>
      <c r="I1327">
        <v>4</v>
      </c>
      <c r="J1327">
        <v>8</v>
      </c>
      <c r="K1327">
        <v>3.5</v>
      </c>
      <c r="L1327" s="1" t="s">
        <v>58</v>
      </c>
      <c r="M1327">
        <v>80</v>
      </c>
      <c r="N1327">
        <v>334476.55</v>
      </c>
      <c r="O1327">
        <v>2504059.15</v>
      </c>
      <c r="P1327">
        <v>380080.19</v>
      </c>
      <c r="Q1327" s="1" t="s">
        <v>4322</v>
      </c>
      <c r="R1327">
        <v>73</v>
      </c>
      <c r="S1327" s="1" t="s">
        <v>4323</v>
      </c>
      <c r="T1327" t="b">
        <v>0</v>
      </c>
    </row>
    <row r="1328" spans="1:20" x14ac:dyDescent="0.25">
      <c r="A1328" s="1" t="s">
        <v>4324</v>
      </c>
      <c r="B1328" s="1" t="s">
        <v>46</v>
      </c>
      <c r="C1328" s="1" t="s">
        <v>946</v>
      </c>
      <c r="D1328" s="1" t="s">
        <v>350</v>
      </c>
      <c r="E1328" s="1" t="s">
        <v>57</v>
      </c>
      <c r="F1328" s="1" t="s">
        <v>25</v>
      </c>
      <c r="G1328" s="2">
        <v>44863</v>
      </c>
      <c r="H1328" s="2">
        <v>44896</v>
      </c>
      <c r="I1328">
        <v>40</v>
      </c>
      <c r="J1328">
        <v>33</v>
      </c>
      <c r="K1328">
        <v>0</v>
      </c>
      <c r="L1328" s="1" t="s">
        <v>26</v>
      </c>
      <c r="M1328">
        <v>472.7</v>
      </c>
      <c r="N1328">
        <v>1807540.41</v>
      </c>
      <c r="O1328">
        <v>659887.21</v>
      </c>
      <c r="P1328">
        <v>426530.08</v>
      </c>
      <c r="Q1328" s="1" t="s">
        <v>4325</v>
      </c>
      <c r="R1328">
        <v>26</v>
      </c>
      <c r="S1328" s="1" t="s">
        <v>4326</v>
      </c>
      <c r="T1328" t="b">
        <v>1</v>
      </c>
    </row>
    <row r="1329" spans="1:20" x14ac:dyDescent="0.25">
      <c r="A1329" s="1" t="s">
        <v>4327</v>
      </c>
      <c r="B1329" s="1" t="s">
        <v>163</v>
      </c>
      <c r="C1329" s="1" t="s">
        <v>873</v>
      </c>
      <c r="D1329" s="1" t="s">
        <v>320</v>
      </c>
      <c r="E1329" s="1" t="s">
        <v>65</v>
      </c>
      <c r="F1329" s="1" t="s">
        <v>50</v>
      </c>
      <c r="G1329" s="2">
        <v>44715</v>
      </c>
      <c r="H1329" s="2"/>
      <c r="I1329">
        <v>4</v>
      </c>
      <c r="J1329">
        <v>6</v>
      </c>
      <c r="K1329">
        <v>1.5</v>
      </c>
      <c r="L1329" s="1" t="s">
        <v>26</v>
      </c>
      <c r="M1329">
        <v>70.900000000000006</v>
      </c>
      <c r="N1329">
        <v>221439.03</v>
      </c>
      <c r="O1329">
        <v>3037668.95</v>
      </c>
      <c r="P1329">
        <v>641624.5</v>
      </c>
      <c r="Q1329" s="1" t="s">
        <v>4328</v>
      </c>
      <c r="R1329">
        <v>76</v>
      </c>
      <c r="S1329" s="1" t="s">
        <v>4329</v>
      </c>
      <c r="T1329" t="b">
        <v>0</v>
      </c>
    </row>
    <row r="1330" spans="1:20" x14ac:dyDescent="0.25">
      <c r="A1330" s="1" t="s">
        <v>4330</v>
      </c>
      <c r="B1330" s="1" t="s">
        <v>220</v>
      </c>
      <c r="C1330" s="1" t="s">
        <v>1556</v>
      </c>
      <c r="D1330" s="1" t="s">
        <v>372</v>
      </c>
      <c r="E1330" s="1" t="s">
        <v>24</v>
      </c>
      <c r="F1330" s="1" t="s">
        <v>25</v>
      </c>
      <c r="G1330" s="2">
        <v>44795</v>
      </c>
      <c r="H1330" s="2">
        <v>44800</v>
      </c>
      <c r="I1330">
        <v>3</v>
      </c>
      <c r="J1330">
        <v>5</v>
      </c>
      <c r="K1330">
        <v>2</v>
      </c>
      <c r="L1330" s="1" t="s">
        <v>26</v>
      </c>
      <c r="M1330">
        <v>44.2</v>
      </c>
      <c r="N1330">
        <v>145609.79</v>
      </c>
      <c r="O1330">
        <v>171585.88</v>
      </c>
      <c r="P1330">
        <v>37293.370000000003</v>
      </c>
      <c r="Q1330" s="1" t="s">
        <v>4331</v>
      </c>
      <c r="R1330">
        <v>57</v>
      </c>
      <c r="S1330" s="1" t="s">
        <v>4332</v>
      </c>
      <c r="T1330" t="b">
        <v>1</v>
      </c>
    </row>
    <row r="1331" spans="1:20" x14ac:dyDescent="0.25">
      <c r="A1331" s="1" t="s">
        <v>4333</v>
      </c>
      <c r="B1331" s="1" t="s">
        <v>46</v>
      </c>
      <c r="C1331" s="1" t="s">
        <v>1776</v>
      </c>
      <c r="D1331" s="1" t="s">
        <v>84</v>
      </c>
      <c r="E1331" s="1" t="s">
        <v>33</v>
      </c>
      <c r="F1331" s="1" t="s">
        <v>25</v>
      </c>
      <c r="G1331" s="2">
        <v>44945</v>
      </c>
      <c r="H1331" s="2">
        <v>44962</v>
      </c>
      <c r="I1331">
        <v>12</v>
      </c>
      <c r="J1331">
        <v>17</v>
      </c>
      <c r="K1331">
        <v>5</v>
      </c>
      <c r="L1331" s="1" t="s">
        <v>330</v>
      </c>
      <c r="M1331">
        <v>152.30000000000001</v>
      </c>
      <c r="N1331">
        <v>669346.16</v>
      </c>
      <c r="O1331">
        <v>2847508.1</v>
      </c>
      <c r="P1331">
        <v>544969.29</v>
      </c>
      <c r="Q1331" s="1" t="s">
        <v>4334</v>
      </c>
      <c r="R1331">
        <v>51</v>
      </c>
      <c r="S1331" s="1" t="s">
        <v>4335</v>
      </c>
      <c r="T1331" t="b">
        <v>1</v>
      </c>
    </row>
    <row r="1332" spans="1:20" x14ac:dyDescent="0.25">
      <c r="A1332" s="1" t="s">
        <v>4336</v>
      </c>
      <c r="B1332" s="1" t="s">
        <v>158</v>
      </c>
      <c r="C1332" s="1" t="s">
        <v>2266</v>
      </c>
      <c r="D1332" s="1" t="s">
        <v>297</v>
      </c>
      <c r="E1332" s="1" t="s">
        <v>65</v>
      </c>
      <c r="F1332" s="1" t="s">
        <v>66</v>
      </c>
      <c r="G1332" s="2">
        <v>44686</v>
      </c>
      <c r="H1332" s="2"/>
      <c r="I1332">
        <v>4</v>
      </c>
      <c r="J1332">
        <v>1</v>
      </c>
      <c r="K1332">
        <v>0</v>
      </c>
      <c r="L1332" s="1" t="s">
        <v>26</v>
      </c>
      <c r="M1332">
        <v>14.4</v>
      </c>
      <c r="N1332">
        <v>43438.43</v>
      </c>
      <c r="O1332">
        <v>4418854.99</v>
      </c>
      <c r="P1332">
        <v>785128.57</v>
      </c>
      <c r="Q1332" s="1" t="s">
        <v>4337</v>
      </c>
      <c r="R1332">
        <v>32</v>
      </c>
      <c r="S1332" s="1" t="s">
        <v>4338</v>
      </c>
      <c r="T1332" t="b">
        <v>0</v>
      </c>
    </row>
    <row r="1333" spans="1:20" x14ac:dyDescent="0.25">
      <c r="A1333" s="1" t="s">
        <v>4339</v>
      </c>
      <c r="B1333" s="1" t="s">
        <v>117</v>
      </c>
      <c r="C1333" s="1" t="s">
        <v>139</v>
      </c>
      <c r="D1333" s="1" t="s">
        <v>420</v>
      </c>
      <c r="E1333" s="1" t="s">
        <v>24</v>
      </c>
      <c r="F1333" s="1" t="s">
        <v>34</v>
      </c>
      <c r="G1333" s="2">
        <v>44642</v>
      </c>
      <c r="H1333" s="2"/>
      <c r="I1333">
        <v>3</v>
      </c>
      <c r="J1333">
        <v>1</v>
      </c>
      <c r="K1333">
        <v>0</v>
      </c>
      <c r="L1333" s="1" t="s">
        <v>26</v>
      </c>
      <c r="M1333">
        <v>15.3</v>
      </c>
      <c r="N1333">
        <v>39569.69</v>
      </c>
      <c r="O1333">
        <v>999439.7</v>
      </c>
      <c r="P1333">
        <v>123096.6</v>
      </c>
      <c r="Q1333" s="1" t="s">
        <v>4340</v>
      </c>
      <c r="R1333">
        <v>34</v>
      </c>
      <c r="S1333" s="1" t="s">
        <v>4341</v>
      </c>
      <c r="T1333" t="b">
        <v>1</v>
      </c>
    </row>
    <row r="1334" spans="1:20" x14ac:dyDescent="0.25">
      <c r="A1334" s="1" t="s">
        <v>4342</v>
      </c>
      <c r="B1334" s="1" t="s">
        <v>138</v>
      </c>
      <c r="C1334" s="1" t="s">
        <v>1776</v>
      </c>
      <c r="D1334" s="1" t="s">
        <v>40</v>
      </c>
      <c r="E1334" s="1" t="s">
        <v>57</v>
      </c>
      <c r="F1334" s="1" t="s">
        <v>66</v>
      </c>
      <c r="G1334" s="2">
        <v>45464</v>
      </c>
      <c r="H1334" s="2"/>
      <c r="I1334">
        <v>40</v>
      </c>
      <c r="J1334">
        <v>37</v>
      </c>
      <c r="K1334">
        <v>0</v>
      </c>
      <c r="L1334" s="1" t="s">
        <v>26</v>
      </c>
      <c r="M1334">
        <v>495.4</v>
      </c>
      <c r="N1334">
        <v>1471201.44</v>
      </c>
      <c r="O1334">
        <v>1215913.25</v>
      </c>
      <c r="P1334">
        <v>417901.96</v>
      </c>
      <c r="Q1334" s="1" t="s">
        <v>4343</v>
      </c>
      <c r="R1334">
        <v>79</v>
      </c>
      <c r="S1334" s="1" t="s">
        <v>4344</v>
      </c>
      <c r="T1334" t="b">
        <v>0</v>
      </c>
    </row>
    <row r="1335" spans="1:20" x14ac:dyDescent="0.25">
      <c r="A1335" s="1" t="s">
        <v>4345</v>
      </c>
      <c r="B1335" s="1" t="s">
        <v>566</v>
      </c>
      <c r="C1335" s="1" t="s">
        <v>1983</v>
      </c>
      <c r="D1335" s="1" t="s">
        <v>176</v>
      </c>
      <c r="E1335" s="1" t="s">
        <v>33</v>
      </c>
      <c r="F1335" s="1" t="s">
        <v>25</v>
      </c>
      <c r="G1335" s="2">
        <v>45094</v>
      </c>
      <c r="H1335" s="2">
        <v>45105</v>
      </c>
      <c r="I1335">
        <v>12</v>
      </c>
      <c r="J1335">
        <v>11</v>
      </c>
      <c r="K1335">
        <v>0</v>
      </c>
      <c r="L1335" s="1" t="s">
        <v>26</v>
      </c>
      <c r="M1335">
        <v>125.3</v>
      </c>
      <c r="N1335">
        <v>432838.83</v>
      </c>
      <c r="O1335">
        <v>4933337</v>
      </c>
      <c r="P1335">
        <v>711045.12</v>
      </c>
      <c r="Q1335" s="1" t="s">
        <v>4346</v>
      </c>
      <c r="R1335">
        <v>49</v>
      </c>
      <c r="S1335" s="1" t="s">
        <v>4347</v>
      </c>
      <c r="T1335" t="b">
        <v>1</v>
      </c>
    </row>
    <row r="1336" spans="1:20" x14ac:dyDescent="0.25">
      <c r="A1336" s="1" t="s">
        <v>4348</v>
      </c>
      <c r="B1336" s="1" t="s">
        <v>185</v>
      </c>
      <c r="C1336" s="1" t="s">
        <v>258</v>
      </c>
      <c r="D1336" s="1" t="s">
        <v>107</v>
      </c>
      <c r="E1336" s="1" t="s">
        <v>57</v>
      </c>
      <c r="F1336" s="1" t="s">
        <v>66</v>
      </c>
      <c r="G1336" s="2">
        <v>45572</v>
      </c>
      <c r="H1336" s="2"/>
      <c r="I1336">
        <v>40</v>
      </c>
      <c r="J1336">
        <v>25</v>
      </c>
      <c r="K1336">
        <v>0</v>
      </c>
      <c r="L1336" s="1" t="s">
        <v>26</v>
      </c>
      <c r="M1336">
        <v>148</v>
      </c>
      <c r="N1336">
        <v>495207.73</v>
      </c>
      <c r="O1336">
        <v>4113009.82</v>
      </c>
      <c r="P1336">
        <v>563220.35</v>
      </c>
      <c r="Q1336" s="1" t="s">
        <v>4349</v>
      </c>
      <c r="R1336">
        <v>28</v>
      </c>
      <c r="S1336" s="1" t="s">
        <v>4350</v>
      </c>
      <c r="T1336" t="b">
        <v>0</v>
      </c>
    </row>
    <row r="1337" spans="1:20" x14ac:dyDescent="0.25">
      <c r="A1337" s="1" t="s">
        <v>4351</v>
      </c>
      <c r="B1337" s="1" t="s">
        <v>30</v>
      </c>
      <c r="C1337" s="1" t="s">
        <v>3146</v>
      </c>
      <c r="D1337" s="1" t="s">
        <v>320</v>
      </c>
      <c r="E1337" s="1" t="s">
        <v>65</v>
      </c>
      <c r="F1337" s="1" t="s">
        <v>25</v>
      </c>
      <c r="G1337" s="2">
        <v>45421</v>
      </c>
      <c r="H1337" s="2">
        <v>45427</v>
      </c>
      <c r="I1337">
        <v>4</v>
      </c>
      <c r="J1337">
        <v>6</v>
      </c>
      <c r="K1337">
        <v>1.5</v>
      </c>
      <c r="L1337" s="1" t="s">
        <v>26</v>
      </c>
      <c r="M1337">
        <v>83.3</v>
      </c>
      <c r="N1337">
        <v>251963.06</v>
      </c>
      <c r="O1337">
        <v>839360.16</v>
      </c>
      <c r="P1337">
        <v>179470.43</v>
      </c>
      <c r="Q1337" s="1" t="s">
        <v>4352</v>
      </c>
      <c r="R1337">
        <v>67</v>
      </c>
      <c r="S1337" s="1" t="s">
        <v>4353</v>
      </c>
      <c r="T1337" t="b">
        <v>0</v>
      </c>
    </row>
    <row r="1338" spans="1:20" x14ac:dyDescent="0.25">
      <c r="A1338" s="1" t="s">
        <v>4354</v>
      </c>
      <c r="B1338" s="1" t="s">
        <v>38</v>
      </c>
      <c r="C1338" s="1" t="s">
        <v>573</v>
      </c>
      <c r="D1338" s="1" t="s">
        <v>154</v>
      </c>
      <c r="E1338" s="1" t="s">
        <v>65</v>
      </c>
      <c r="F1338" s="1" t="s">
        <v>34</v>
      </c>
      <c r="G1338" s="2">
        <v>44609</v>
      </c>
      <c r="H1338" s="2"/>
      <c r="I1338">
        <v>4</v>
      </c>
      <c r="J1338">
        <v>1</v>
      </c>
      <c r="K1338">
        <v>0</v>
      </c>
      <c r="L1338" s="1" t="s">
        <v>26</v>
      </c>
      <c r="M1338">
        <v>10.1</v>
      </c>
      <c r="N1338">
        <v>33073.01</v>
      </c>
      <c r="O1338">
        <v>1513749.6</v>
      </c>
      <c r="P1338">
        <v>155113.70000000001</v>
      </c>
      <c r="Q1338" s="1" t="s">
        <v>4355</v>
      </c>
      <c r="R1338">
        <v>22</v>
      </c>
      <c r="S1338" s="1" t="s">
        <v>4356</v>
      </c>
      <c r="T1338" t="b">
        <v>1</v>
      </c>
    </row>
    <row r="1339" spans="1:20" x14ac:dyDescent="0.25">
      <c r="A1339" s="1" t="s">
        <v>4357</v>
      </c>
      <c r="B1339" s="1" t="s">
        <v>629</v>
      </c>
      <c r="C1339" s="1" t="s">
        <v>721</v>
      </c>
      <c r="D1339" s="1" t="s">
        <v>84</v>
      </c>
      <c r="E1339" s="1" t="s">
        <v>49</v>
      </c>
      <c r="F1339" s="1" t="s">
        <v>50</v>
      </c>
      <c r="G1339" s="2">
        <v>44773</v>
      </c>
      <c r="H1339" s="2"/>
      <c r="I1339">
        <v>25</v>
      </c>
      <c r="J1339">
        <v>37</v>
      </c>
      <c r="K1339">
        <v>12</v>
      </c>
      <c r="L1339" s="1" t="s">
        <v>330</v>
      </c>
      <c r="M1339">
        <v>224.3</v>
      </c>
      <c r="N1339">
        <v>431875.1</v>
      </c>
      <c r="O1339">
        <v>938992.14</v>
      </c>
      <c r="P1339">
        <v>147745.81</v>
      </c>
      <c r="Q1339" s="1" t="s">
        <v>4358</v>
      </c>
      <c r="R1339">
        <v>36</v>
      </c>
      <c r="S1339" s="1" t="s">
        <v>4359</v>
      </c>
      <c r="T1339" t="b">
        <v>1</v>
      </c>
    </row>
    <row r="1340" spans="1:20" x14ac:dyDescent="0.25">
      <c r="A1340" s="1" t="s">
        <v>4360</v>
      </c>
      <c r="B1340" s="1" t="s">
        <v>471</v>
      </c>
      <c r="C1340" s="1" t="s">
        <v>982</v>
      </c>
      <c r="D1340" s="1" t="s">
        <v>713</v>
      </c>
      <c r="E1340" s="1" t="s">
        <v>57</v>
      </c>
      <c r="F1340" s="1" t="s">
        <v>25</v>
      </c>
      <c r="G1340" s="2">
        <v>45023</v>
      </c>
      <c r="H1340" s="2">
        <v>45065</v>
      </c>
      <c r="I1340">
        <v>40</v>
      </c>
      <c r="J1340">
        <v>42</v>
      </c>
      <c r="K1340">
        <v>2</v>
      </c>
      <c r="L1340" s="1" t="s">
        <v>26</v>
      </c>
      <c r="M1340">
        <v>650.4</v>
      </c>
      <c r="N1340">
        <v>1604939.21</v>
      </c>
      <c r="O1340">
        <v>874832.65</v>
      </c>
      <c r="P1340">
        <v>485391.66</v>
      </c>
      <c r="Q1340" s="1" t="s">
        <v>4361</v>
      </c>
      <c r="R1340">
        <v>61</v>
      </c>
      <c r="S1340" s="1" t="s">
        <v>4362</v>
      </c>
      <c r="T1340" t="b">
        <v>0</v>
      </c>
    </row>
    <row r="1341" spans="1:20" x14ac:dyDescent="0.25">
      <c r="A1341" s="1" t="s">
        <v>4363</v>
      </c>
      <c r="B1341" s="1" t="s">
        <v>93</v>
      </c>
      <c r="C1341" s="1" t="s">
        <v>1079</v>
      </c>
      <c r="D1341" s="1" t="s">
        <v>130</v>
      </c>
      <c r="E1341" s="1" t="s">
        <v>33</v>
      </c>
      <c r="F1341" s="1" t="s">
        <v>25</v>
      </c>
      <c r="G1341" s="2">
        <v>45266</v>
      </c>
      <c r="H1341" s="2">
        <v>45281</v>
      </c>
      <c r="I1341">
        <v>12</v>
      </c>
      <c r="J1341">
        <v>15</v>
      </c>
      <c r="K1341">
        <v>3</v>
      </c>
      <c r="L1341" s="1" t="s">
        <v>26</v>
      </c>
      <c r="M1341">
        <v>219.3</v>
      </c>
      <c r="N1341">
        <v>528700.19999999995</v>
      </c>
      <c r="O1341">
        <v>1694846.67</v>
      </c>
      <c r="P1341">
        <v>295411.71999999997</v>
      </c>
      <c r="Q1341" s="1" t="s">
        <v>2280</v>
      </c>
      <c r="R1341">
        <v>52</v>
      </c>
      <c r="S1341" s="1" t="s">
        <v>4364</v>
      </c>
      <c r="T1341" t="b">
        <v>0</v>
      </c>
    </row>
    <row r="1342" spans="1:20" x14ac:dyDescent="0.25">
      <c r="A1342" s="1" t="s">
        <v>4365</v>
      </c>
      <c r="B1342" s="1" t="s">
        <v>70</v>
      </c>
      <c r="C1342" s="1" t="s">
        <v>440</v>
      </c>
      <c r="D1342" s="1" t="s">
        <v>165</v>
      </c>
      <c r="E1342" s="1" t="s">
        <v>49</v>
      </c>
      <c r="F1342" s="1" t="s">
        <v>25</v>
      </c>
      <c r="G1342" s="2">
        <v>44988</v>
      </c>
      <c r="H1342" s="2">
        <v>45022</v>
      </c>
      <c r="I1342">
        <v>25</v>
      </c>
      <c r="J1342">
        <v>34</v>
      </c>
      <c r="K1342">
        <v>9</v>
      </c>
      <c r="L1342" s="1" t="s">
        <v>26</v>
      </c>
      <c r="M1342">
        <v>452.5</v>
      </c>
      <c r="N1342">
        <v>1049990</v>
      </c>
      <c r="O1342">
        <v>819384.02</v>
      </c>
      <c r="P1342">
        <v>345797.16</v>
      </c>
      <c r="Q1342" s="1" t="s">
        <v>4366</v>
      </c>
      <c r="R1342">
        <v>54</v>
      </c>
      <c r="S1342" s="1" t="s">
        <v>4367</v>
      </c>
      <c r="T1342" t="b">
        <v>1</v>
      </c>
    </row>
    <row r="1343" spans="1:20" x14ac:dyDescent="0.25">
      <c r="A1343" s="1" t="s">
        <v>4368</v>
      </c>
      <c r="B1343" s="1" t="s">
        <v>174</v>
      </c>
      <c r="C1343" s="1" t="s">
        <v>892</v>
      </c>
      <c r="D1343" s="1" t="s">
        <v>107</v>
      </c>
      <c r="E1343" s="1" t="s">
        <v>49</v>
      </c>
      <c r="F1343" s="1" t="s">
        <v>34</v>
      </c>
      <c r="G1343" s="2">
        <v>45272</v>
      </c>
      <c r="H1343" s="2"/>
      <c r="I1343">
        <v>25</v>
      </c>
      <c r="J1343">
        <v>33</v>
      </c>
      <c r="K1343">
        <v>8</v>
      </c>
      <c r="L1343" s="1" t="s">
        <v>58</v>
      </c>
      <c r="M1343">
        <v>345.2</v>
      </c>
      <c r="N1343">
        <v>1222627.8400000001</v>
      </c>
      <c r="O1343">
        <v>621019.75</v>
      </c>
      <c r="P1343">
        <v>337692.32</v>
      </c>
      <c r="Q1343" s="1" t="s">
        <v>4369</v>
      </c>
      <c r="R1343">
        <v>48</v>
      </c>
      <c r="S1343" s="1" t="s">
        <v>4370</v>
      </c>
      <c r="T1343" t="b">
        <v>0</v>
      </c>
    </row>
    <row r="1344" spans="1:20" x14ac:dyDescent="0.25">
      <c r="A1344" s="1" t="s">
        <v>4371</v>
      </c>
      <c r="B1344" s="1" t="s">
        <v>82</v>
      </c>
      <c r="C1344" s="1" t="s">
        <v>1452</v>
      </c>
      <c r="D1344" s="1" t="s">
        <v>216</v>
      </c>
      <c r="E1344" s="1" t="s">
        <v>24</v>
      </c>
      <c r="F1344" s="1" t="s">
        <v>50</v>
      </c>
      <c r="G1344" s="2">
        <v>45366</v>
      </c>
      <c r="H1344" s="2"/>
      <c r="I1344">
        <v>3</v>
      </c>
      <c r="J1344">
        <v>5</v>
      </c>
      <c r="K1344">
        <v>2</v>
      </c>
      <c r="L1344" s="1" t="s">
        <v>26</v>
      </c>
      <c r="M1344">
        <v>56.1</v>
      </c>
      <c r="N1344">
        <v>121261.42</v>
      </c>
      <c r="O1344">
        <v>291644.73</v>
      </c>
      <c r="P1344">
        <v>47180.43</v>
      </c>
      <c r="Q1344" s="1" t="s">
        <v>4372</v>
      </c>
      <c r="R1344">
        <v>39</v>
      </c>
      <c r="S1344" s="1" t="s">
        <v>4373</v>
      </c>
      <c r="T1344" t="b">
        <v>0</v>
      </c>
    </row>
    <row r="1345" spans="1:20" x14ac:dyDescent="0.25">
      <c r="A1345" s="1" t="s">
        <v>4374</v>
      </c>
      <c r="B1345" s="1" t="s">
        <v>228</v>
      </c>
      <c r="C1345" s="1" t="s">
        <v>31</v>
      </c>
      <c r="D1345" s="1" t="s">
        <v>130</v>
      </c>
      <c r="E1345" s="1" t="s">
        <v>57</v>
      </c>
      <c r="F1345" s="1" t="s">
        <v>25</v>
      </c>
      <c r="G1345" s="2">
        <v>45131</v>
      </c>
      <c r="H1345" s="2">
        <v>45151</v>
      </c>
      <c r="I1345">
        <v>40</v>
      </c>
      <c r="J1345">
        <v>20</v>
      </c>
      <c r="K1345">
        <v>0</v>
      </c>
      <c r="L1345" s="1" t="s">
        <v>26</v>
      </c>
      <c r="M1345">
        <v>172.1</v>
      </c>
      <c r="N1345">
        <v>586396.92000000004</v>
      </c>
      <c r="O1345">
        <v>4336151.47</v>
      </c>
      <c r="P1345">
        <v>807749.45</v>
      </c>
      <c r="Q1345" s="1" t="s">
        <v>3450</v>
      </c>
      <c r="R1345">
        <v>28</v>
      </c>
      <c r="S1345" s="1" t="s">
        <v>4375</v>
      </c>
      <c r="T1345" t="b">
        <v>1</v>
      </c>
    </row>
    <row r="1346" spans="1:20" x14ac:dyDescent="0.25">
      <c r="A1346" s="1" t="s">
        <v>4376</v>
      </c>
      <c r="B1346" s="1" t="s">
        <v>451</v>
      </c>
      <c r="C1346" s="1" t="s">
        <v>88</v>
      </c>
      <c r="D1346" s="1" t="s">
        <v>306</v>
      </c>
      <c r="E1346" s="1" t="s">
        <v>65</v>
      </c>
      <c r="F1346" s="1" t="s">
        <v>25</v>
      </c>
      <c r="G1346" s="2">
        <v>45372</v>
      </c>
      <c r="H1346" s="2">
        <v>45376</v>
      </c>
      <c r="I1346">
        <v>4</v>
      </c>
      <c r="J1346">
        <v>4</v>
      </c>
      <c r="K1346">
        <v>0</v>
      </c>
      <c r="L1346" s="1" t="s">
        <v>26</v>
      </c>
      <c r="M1346">
        <v>20.8</v>
      </c>
      <c r="N1346">
        <v>58352.69</v>
      </c>
      <c r="O1346">
        <v>3615510.15</v>
      </c>
      <c r="P1346">
        <v>414451.71</v>
      </c>
      <c r="Q1346" s="1" t="s">
        <v>4377</v>
      </c>
      <c r="R1346">
        <v>62</v>
      </c>
      <c r="S1346" s="1" t="s">
        <v>4378</v>
      </c>
      <c r="T1346" t="b">
        <v>0</v>
      </c>
    </row>
    <row r="1347" spans="1:20" x14ac:dyDescent="0.25">
      <c r="A1347" s="1" t="s">
        <v>4379</v>
      </c>
      <c r="B1347" s="1" t="s">
        <v>185</v>
      </c>
      <c r="C1347" s="1" t="s">
        <v>343</v>
      </c>
      <c r="D1347" s="1" t="s">
        <v>187</v>
      </c>
      <c r="E1347" s="1" t="s">
        <v>65</v>
      </c>
      <c r="F1347" s="1" t="s">
        <v>25</v>
      </c>
      <c r="G1347" s="2">
        <v>45077</v>
      </c>
      <c r="H1347" s="2">
        <v>45080</v>
      </c>
      <c r="I1347">
        <v>4</v>
      </c>
      <c r="J1347">
        <v>3</v>
      </c>
      <c r="K1347">
        <v>0</v>
      </c>
      <c r="L1347" s="1" t="s">
        <v>26</v>
      </c>
      <c r="M1347">
        <v>37.200000000000003</v>
      </c>
      <c r="N1347">
        <v>156387.38</v>
      </c>
      <c r="O1347">
        <v>2134359.9700000002</v>
      </c>
      <c r="P1347">
        <v>331830.53000000003</v>
      </c>
      <c r="Q1347" s="1" t="s">
        <v>3996</v>
      </c>
      <c r="R1347">
        <v>67</v>
      </c>
      <c r="S1347" s="1" t="s">
        <v>4380</v>
      </c>
      <c r="T1347" t="b">
        <v>0</v>
      </c>
    </row>
    <row r="1348" spans="1:20" x14ac:dyDescent="0.25">
      <c r="A1348" s="1" t="s">
        <v>4381</v>
      </c>
      <c r="B1348" s="1" t="s">
        <v>545</v>
      </c>
      <c r="C1348" s="1" t="s">
        <v>1066</v>
      </c>
      <c r="D1348" s="1" t="s">
        <v>84</v>
      </c>
      <c r="E1348" s="1" t="s">
        <v>57</v>
      </c>
      <c r="F1348" s="1" t="s">
        <v>25</v>
      </c>
      <c r="G1348" s="2">
        <v>45207</v>
      </c>
      <c r="H1348" s="2">
        <v>45230</v>
      </c>
      <c r="I1348">
        <v>40</v>
      </c>
      <c r="J1348">
        <v>23</v>
      </c>
      <c r="K1348">
        <v>0</v>
      </c>
      <c r="L1348" s="1" t="s">
        <v>26</v>
      </c>
      <c r="M1348">
        <v>144.69999999999999</v>
      </c>
      <c r="N1348">
        <v>535955.26</v>
      </c>
      <c r="O1348">
        <v>323345.05</v>
      </c>
      <c r="P1348">
        <v>145314.84</v>
      </c>
      <c r="Q1348" s="1" t="s">
        <v>570</v>
      </c>
      <c r="R1348">
        <v>33</v>
      </c>
      <c r="S1348" s="1" t="s">
        <v>4382</v>
      </c>
      <c r="T1348" t="b">
        <v>1</v>
      </c>
    </row>
    <row r="1349" spans="1:20" x14ac:dyDescent="0.25">
      <c r="A1349" s="1" t="s">
        <v>4383</v>
      </c>
      <c r="B1349" s="1" t="s">
        <v>70</v>
      </c>
      <c r="C1349" s="1" t="s">
        <v>1486</v>
      </c>
      <c r="D1349" s="1" t="s">
        <v>216</v>
      </c>
      <c r="E1349" s="1" t="s">
        <v>49</v>
      </c>
      <c r="F1349" s="1" t="s">
        <v>34</v>
      </c>
      <c r="G1349" s="2">
        <v>44767</v>
      </c>
      <c r="H1349" s="2"/>
      <c r="I1349">
        <v>25</v>
      </c>
      <c r="J1349">
        <v>13</v>
      </c>
      <c r="K1349">
        <v>0</v>
      </c>
      <c r="L1349" s="1" t="s">
        <v>26</v>
      </c>
      <c r="M1349">
        <v>98.7</v>
      </c>
      <c r="N1349">
        <v>355193.08</v>
      </c>
      <c r="O1349">
        <v>256353.15</v>
      </c>
      <c r="P1349">
        <v>113218.76</v>
      </c>
      <c r="Q1349" s="1" t="s">
        <v>4384</v>
      </c>
      <c r="R1349">
        <v>58</v>
      </c>
      <c r="S1349" s="1" t="s">
        <v>4385</v>
      </c>
      <c r="T1349" t="b">
        <v>1</v>
      </c>
    </row>
    <row r="1350" spans="1:20" x14ac:dyDescent="0.25">
      <c r="A1350" s="1" t="s">
        <v>4386</v>
      </c>
      <c r="B1350" s="1" t="s">
        <v>545</v>
      </c>
      <c r="C1350" s="1" t="s">
        <v>277</v>
      </c>
      <c r="D1350" s="1" t="s">
        <v>359</v>
      </c>
      <c r="E1350" s="1" t="s">
        <v>41</v>
      </c>
      <c r="F1350" s="1" t="s">
        <v>34</v>
      </c>
      <c r="G1350" s="2">
        <v>45328</v>
      </c>
      <c r="H1350" s="2"/>
      <c r="I1350">
        <v>9</v>
      </c>
      <c r="J1350">
        <v>7</v>
      </c>
      <c r="K1350">
        <v>0</v>
      </c>
      <c r="L1350" s="1" t="s">
        <v>26</v>
      </c>
      <c r="M1350">
        <v>100.2</v>
      </c>
      <c r="N1350">
        <v>221840.66</v>
      </c>
      <c r="O1350">
        <v>476187.34</v>
      </c>
      <c r="P1350">
        <v>107863.21</v>
      </c>
      <c r="Q1350" s="1" t="s">
        <v>4387</v>
      </c>
      <c r="R1350">
        <v>27</v>
      </c>
      <c r="S1350" s="1" t="s">
        <v>4388</v>
      </c>
      <c r="T1350" t="b">
        <v>1</v>
      </c>
    </row>
    <row r="1351" spans="1:20" x14ac:dyDescent="0.25">
      <c r="A1351" s="1" t="s">
        <v>4389</v>
      </c>
      <c r="B1351" s="1" t="s">
        <v>629</v>
      </c>
      <c r="C1351" s="1" t="s">
        <v>903</v>
      </c>
      <c r="D1351" s="1" t="s">
        <v>130</v>
      </c>
      <c r="E1351" s="1" t="s">
        <v>24</v>
      </c>
      <c r="F1351" s="1" t="s">
        <v>50</v>
      </c>
      <c r="G1351" s="2">
        <v>44577</v>
      </c>
      <c r="H1351" s="2"/>
      <c r="I1351">
        <v>3</v>
      </c>
      <c r="J1351">
        <v>5</v>
      </c>
      <c r="K1351">
        <v>2</v>
      </c>
      <c r="L1351" s="1" t="s">
        <v>26</v>
      </c>
      <c r="M1351">
        <v>49</v>
      </c>
      <c r="N1351">
        <v>93683.48</v>
      </c>
      <c r="O1351">
        <v>2468619.44</v>
      </c>
      <c r="P1351">
        <v>354162.49</v>
      </c>
      <c r="Q1351" s="1" t="s">
        <v>4390</v>
      </c>
      <c r="R1351">
        <v>57</v>
      </c>
      <c r="S1351" s="1" t="s">
        <v>4391</v>
      </c>
      <c r="T1351" t="b">
        <v>0</v>
      </c>
    </row>
    <row r="1352" spans="1:20" x14ac:dyDescent="0.25">
      <c r="A1352" s="1" t="s">
        <v>4392</v>
      </c>
      <c r="B1352" s="1" t="s">
        <v>62</v>
      </c>
      <c r="C1352" s="1" t="s">
        <v>517</v>
      </c>
      <c r="D1352" s="1" t="s">
        <v>207</v>
      </c>
      <c r="E1352" s="1" t="s">
        <v>33</v>
      </c>
      <c r="F1352" s="1" t="s">
        <v>25</v>
      </c>
      <c r="G1352" s="2">
        <v>45287</v>
      </c>
      <c r="H1352" s="2">
        <v>45302</v>
      </c>
      <c r="I1352">
        <v>12</v>
      </c>
      <c r="J1352">
        <v>15</v>
      </c>
      <c r="K1352">
        <v>3</v>
      </c>
      <c r="L1352" s="1" t="s">
        <v>26</v>
      </c>
      <c r="M1352">
        <v>229.7</v>
      </c>
      <c r="N1352">
        <v>516367.6</v>
      </c>
      <c r="O1352">
        <v>2341677.04</v>
      </c>
      <c r="P1352">
        <v>440968.2</v>
      </c>
      <c r="Q1352" s="1" t="s">
        <v>4393</v>
      </c>
      <c r="R1352">
        <v>60</v>
      </c>
      <c r="S1352" s="1" t="s">
        <v>4394</v>
      </c>
      <c r="T1352" t="b">
        <v>0</v>
      </c>
    </row>
    <row r="1353" spans="1:20" x14ac:dyDescent="0.25">
      <c r="A1353" s="1" t="s">
        <v>4395</v>
      </c>
      <c r="B1353" s="1" t="s">
        <v>46</v>
      </c>
      <c r="C1353" s="1" t="s">
        <v>621</v>
      </c>
      <c r="D1353" s="1" t="s">
        <v>288</v>
      </c>
      <c r="E1353" s="1" t="s">
        <v>49</v>
      </c>
      <c r="F1353" s="1" t="s">
        <v>25</v>
      </c>
      <c r="G1353" s="2">
        <v>45641</v>
      </c>
      <c r="H1353" s="2">
        <v>45677</v>
      </c>
      <c r="I1353">
        <v>25</v>
      </c>
      <c r="J1353">
        <v>36</v>
      </c>
      <c r="K1353">
        <v>11</v>
      </c>
      <c r="L1353" s="1" t="s">
        <v>26</v>
      </c>
      <c r="M1353">
        <v>463.2</v>
      </c>
      <c r="N1353">
        <v>1048615.25</v>
      </c>
      <c r="O1353">
        <v>3876439.26</v>
      </c>
      <c r="P1353">
        <v>836998.6</v>
      </c>
      <c r="Q1353" s="1" t="s">
        <v>2164</v>
      </c>
      <c r="R1353">
        <v>52</v>
      </c>
      <c r="S1353" s="1" t="s">
        <v>4396</v>
      </c>
      <c r="T1353" t="b">
        <v>0</v>
      </c>
    </row>
    <row r="1354" spans="1:20" x14ac:dyDescent="0.25">
      <c r="A1354" s="1" t="s">
        <v>4397</v>
      </c>
      <c r="B1354" s="1" t="s">
        <v>220</v>
      </c>
      <c r="C1354" s="1" t="s">
        <v>745</v>
      </c>
      <c r="D1354" s="1" t="s">
        <v>154</v>
      </c>
      <c r="E1354" s="1" t="s">
        <v>65</v>
      </c>
      <c r="F1354" s="1" t="s">
        <v>25</v>
      </c>
      <c r="G1354" s="2">
        <v>45376</v>
      </c>
      <c r="H1354" s="2">
        <v>45379</v>
      </c>
      <c r="I1354">
        <v>4</v>
      </c>
      <c r="J1354">
        <v>3</v>
      </c>
      <c r="K1354">
        <v>0</v>
      </c>
      <c r="L1354" s="1" t="s">
        <v>26</v>
      </c>
      <c r="M1354">
        <v>25</v>
      </c>
      <c r="N1354">
        <v>107368.5</v>
      </c>
      <c r="O1354">
        <v>4312695.05</v>
      </c>
      <c r="P1354">
        <v>723850.8</v>
      </c>
      <c r="Q1354" s="1" t="s">
        <v>4398</v>
      </c>
      <c r="R1354">
        <v>55</v>
      </c>
      <c r="S1354" s="1" t="s">
        <v>4399</v>
      </c>
      <c r="T1354" t="b">
        <v>1</v>
      </c>
    </row>
    <row r="1355" spans="1:20" x14ac:dyDescent="0.25">
      <c r="A1355" s="1" t="s">
        <v>4400</v>
      </c>
      <c r="B1355" s="1" t="s">
        <v>174</v>
      </c>
      <c r="C1355" s="1" t="s">
        <v>581</v>
      </c>
      <c r="D1355" s="1" t="s">
        <v>230</v>
      </c>
      <c r="E1355" s="1" t="s">
        <v>57</v>
      </c>
      <c r="F1355" s="1" t="s">
        <v>50</v>
      </c>
      <c r="G1355" s="2">
        <v>44915</v>
      </c>
      <c r="H1355" s="2"/>
      <c r="I1355">
        <v>40</v>
      </c>
      <c r="J1355">
        <v>42</v>
      </c>
      <c r="K1355">
        <v>2</v>
      </c>
      <c r="L1355" s="1" t="s">
        <v>26</v>
      </c>
      <c r="M1355">
        <v>172.3</v>
      </c>
      <c r="N1355">
        <v>359586.96</v>
      </c>
      <c r="O1355">
        <v>924921.66</v>
      </c>
      <c r="P1355">
        <v>222134.71</v>
      </c>
      <c r="Q1355" s="1" t="s">
        <v>4401</v>
      </c>
      <c r="R1355">
        <v>31</v>
      </c>
      <c r="S1355" s="1" t="s">
        <v>4402</v>
      </c>
      <c r="T1355" t="b">
        <v>0</v>
      </c>
    </row>
    <row r="1356" spans="1:20" x14ac:dyDescent="0.25">
      <c r="A1356" s="1" t="s">
        <v>4403</v>
      </c>
      <c r="B1356" s="1" t="s">
        <v>117</v>
      </c>
      <c r="C1356" s="1" t="s">
        <v>963</v>
      </c>
      <c r="D1356" s="1" t="s">
        <v>238</v>
      </c>
      <c r="E1356" s="1" t="s">
        <v>49</v>
      </c>
      <c r="F1356" s="1" t="s">
        <v>50</v>
      </c>
      <c r="G1356" s="2">
        <v>44948</v>
      </c>
      <c r="H1356" s="2"/>
      <c r="I1356">
        <v>25</v>
      </c>
      <c r="J1356">
        <v>18</v>
      </c>
      <c r="K1356">
        <v>0</v>
      </c>
      <c r="L1356" s="1" t="s">
        <v>26</v>
      </c>
      <c r="M1356">
        <v>262.3</v>
      </c>
      <c r="N1356">
        <v>929727.99</v>
      </c>
      <c r="O1356">
        <v>462291.96</v>
      </c>
      <c r="P1356">
        <v>270854.23</v>
      </c>
      <c r="Q1356" s="1" t="s">
        <v>4404</v>
      </c>
      <c r="R1356">
        <v>56</v>
      </c>
      <c r="S1356" s="1" t="s">
        <v>4405</v>
      </c>
      <c r="T1356" t="b">
        <v>1</v>
      </c>
    </row>
    <row r="1357" spans="1:20" x14ac:dyDescent="0.25">
      <c r="A1357" s="1" t="s">
        <v>4406</v>
      </c>
      <c r="B1357" s="1" t="s">
        <v>228</v>
      </c>
      <c r="C1357" s="1" t="s">
        <v>1639</v>
      </c>
      <c r="D1357" s="1" t="s">
        <v>130</v>
      </c>
      <c r="E1357" s="1" t="s">
        <v>33</v>
      </c>
      <c r="F1357" s="1" t="s">
        <v>66</v>
      </c>
      <c r="G1357" s="2">
        <v>44585</v>
      </c>
      <c r="H1357" s="2"/>
      <c r="I1357">
        <v>12</v>
      </c>
      <c r="J1357">
        <v>17</v>
      </c>
      <c r="K1357">
        <v>5</v>
      </c>
      <c r="L1357" s="1" t="s">
        <v>330</v>
      </c>
      <c r="M1357">
        <v>201.6</v>
      </c>
      <c r="N1357">
        <v>577570.15</v>
      </c>
      <c r="O1357">
        <v>4159061.64</v>
      </c>
      <c r="P1357">
        <v>683677.86</v>
      </c>
      <c r="Q1357" s="1" t="s">
        <v>4407</v>
      </c>
      <c r="R1357">
        <v>43</v>
      </c>
      <c r="S1357" s="1" t="s">
        <v>4408</v>
      </c>
      <c r="T1357" t="b">
        <v>0</v>
      </c>
    </row>
    <row r="1358" spans="1:20" x14ac:dyDescent="0.25">
      <c r="A1358" s="1" t="s">
        <v>4409</v>
      </c>
      <c r="B1358" s="1" t="s">
        <v>185</v>
      </c>
      <c r="C1358" s="1" t="s">
        <v>301</v>
      </c>
      <c r="D1358" s="1" t="s">
        <v>249</v>
      </c>
      <c r="E1358" s="1" t="s">
        <v>57</v>
      </c>
      <c r="F1358" s="1" t="s">
        <v>25</v>
      </c>
      <c r="G1358" s="2">
        <v>44959</v>
      </c>
      <c r="H1358" s="2">
        <v>45009</v>
      </c>
      <c r="I1358">
        <v>40</v>
      </c>
      <c r="J1358">
        <v>50</v>
      </c>
      <c r="K1358">
        <v>10</v>
      </c>
      <c r="L1358" s="1" t="s">
        <v>58</v>
      </c>
      <c r="M1358">
        <v>701.6</v>
      </c>
      <c r="N1358">
        <v>2488535.17</v>
      </c>
      <c r="O1358">
        <v>103627.65</v>
      </c>
      <c r="P1358">
        <v>319250.59999999998</v>
      </c>
      <c r="Q1358" s="1" t="s">
        <v>4410</v>
      </c>
      <c r="R1358">
        <v>43</v>
      </c>
      <c r="S1358" s="1" t="s">
        <v>4411</v>
      </c>
      <c r="T1358" t="b">
        <v>1</v>
      </c>
    </row>
    <row r="1359" spans="1:20" x14ac:dyDescent="0.25">
      <c r="A1359" s="1" t="s">
        <v>4412</v>
      </c>
      <c r="B1359" s="1" t="s">
        <v>38</v>
      </c>
      <c r="C1359" s="1" t="s">
        <v>1472</v>
      </c>
      <c r="D1359" s="1" t="s">
        <v>297</v>
      </c>
      <c r="E1359" s="1" t="s">
        <v>57</v>
      </c>
      <c r="F1359" s="1" t="s">
        <v>25</v>
      </c>
      <c r="G1359" s="2">
        <v>44925</v>
      </c>
      <c r="H1359" s="2">
        <v>44964</v>
      </c>
      <c r="I1359">
        <v>40</v>
      </c>
      <c r="J1359">
        <v>39</v>
      </c>
      <c r="K1359">
        <v>0</v>
      </c>
      <c r="L1359" s="1" t="s">
        <v>26</v>
      </c>
      <c r="M1359">
        <v>547.4</v>
      </c>
      <c r="N1359">
        <v>1123727.1299999999</v>
      </c>
      <c r="O1359">
        <v>4748692.16</v>
      </c>
      <c r="P1359">
        <v>717722.85</v>
      </c>
      <c r="Q1359" s="1" t="s">
        <v>1803</v>
      </c>
      <c r="R1359">
        <v>53</v>
      </c>
      <c r="S1359" s="1" t="s">
        <v>4413</v>
      </c>
      <c r="T1359" t="b">
        <v>1</v>
      </c>
    </row>
    <row r="1360" spans="1:20" x14ac:dyDescent="0.25">
      <c r="A1360" s="1" t="s">
        <v>4414</v>
      </c>
      <c r="B1360" s="1" t="s">
        <v>451</v>
      </c>
      <c r="C1360" s="1" t="s">
        <v>497</v>
      </c>
      <c r="D1360" s="1" t="s">
        <v>32</v>
      </c>
      <c r="E1360" s="1" t="s">
        <v>65</v>
      </c>
      <c r="F1360" s="1" t="s">
        <v>34</v>
      </c>
      <c r="G1360" s="2">
        <v>45506</v>
      </c>
      <c r="H1360" s="2"/>
      <c r="I1360">
        <v>4</v>
      </c>
      <c r="J1360">
        <v>1</v>
      </c>
      <c r="K1360">
        <v>0</v>
      </c>
      <c r="L1360" s="1" t="s">
        <v>26</v>
      </c>
      <c r="M1360">
        <v>7.8</v>
      </c>
      <c r="N1360">
        <v>19957.580000000002</v>
      </c>
      <c r="O1360">
        <v>563377.43000000005</v>
      </c>
      <c r="P1360">
        <v>98297.04</v>
      </c>
      <c r="Q1360" s="1" t="s">
        <v>4415</v>
      </c>
      <c r="R1360">
        <v>28</v>
      </c>
      <c r="S1360" s="1" t="s">
        <v>4416</v>
      </c>
      <c r="T1360" t="b">
        <v>0</v>
      </c>
    </row>
    <row r="1361" spans="1:20" x14ac:dyDescent="0.25">
      <c r="A1361" s="1" t="s">
        <v>4417</v>
      </c>
      <c r="B1361" s="1" t="s">
        <v>158</v>
      </c>
      <c r="C1361" s="1" t="s">
        <v>725</v>
      </c>
      <c r="D1361" s="1" t="s">
        <v>336</v>
      </c>
      <c r="E1361" s="1" t="s">
        <v>57</v>
      </c>
      <c r="F1361" s="1" t="s">
        <v>34</v>
      </c>
      <c r="G1361" s="2">
        <v>45138</v>
      </c>
      <c r="H1361" s="2"/>
      <c r="I1361">
        <v>40</v>
      </c>
      <c r="J1361">
        <v>53</v>
      </c>
      <c r="K1361">
        <v>13</v>
      </c>
      <c r="L1361" s="1" t="s">
        <v>26</v>
      </c>
      <c r="M1361">
        <v>665.6</v>
      </c>
      <c r="N1361">
        <v>1834239.96</v>
      </c>
      <c r="O1361">
        <v>83479.59</v>
      </c>
      <c r="P1361">
        <v>254206.07999999999</v>
      </c>
      <c r="Q1361" s="1" t="s">
        <v>4418</v>
      </c>
      <c r="R1361">
        <v>47</v>
      </c>
      <c r="S1361" s="1" t="s">
        <v>4419</v>
      </c>
      <c r="T1361" t="b">
        <v>1</v>
      </c>
    </row>
    <row r="1362" spans="1:20" x14ac:dyDescent="0.25">
      <c r="A1362" s="1" t="s">
        <v>4420</v>
      </c>
      <c r="B1362" s="1" t="s">
        <v>242</v>
      </c>
      <c r="C1362" s="1" t="s">
        <v>1141</v>
      </c>
      <c r="D1362" s="1" t="s">
        <v>405</v>
      </c>
      <c r="E1362" s="1" t="s">
        <v>41</v>
      </c>
      <c r="F1362" s="1" t="s">
        <v>25</v>
      </c>
      <c r="G1362" s="2">
        <v>45018</v>
      </c>
      <c r="H1362" s="2">
        <v>45024</v>
      </c>
      <c r="I1362">
        <v>9</v>
      </c>
      <c r="J1362">
        <v>6</v>
      </c>
      <c r="K1362">
        <v>0</v>
      </c>
      <c r="L1362" s="1" t="s">
        <v>26</v>
      </c>
      <c r="M1362">
        <v>94.8</v>
      </c>
      <c r="N1362">
        <v>397435.68</v>
      </c>
      <c r="O1362">
        <v>3934638.54</v>
      </c>
      <c r="P1362">
        <v>482881.67</v>
      </c>
      <c r="Q1362" s="1" t="s">
        <v>4421</v>
      </c>
      <c r="R1362">
        <v>25</v>
      </c>
      <c r="S1362" s="1" t="s">
        <v>4422</v>
      </c>
      <c r="T1362" t="b">
        <v>0</v>
      </c>
    </row>
    <row r="1363" spans="1:20" x14ac:dyDescent="0.25">
      <c r="A1363" s="1" t="s">
        <v>4423</v>
      </c>
      <c r="B1363" s="1" t="s">
        <v>418</v>
      </c>
      <c r="C1363" s="1" t="s">
        <v>106</v>
      </c>
      <c r="D1363" s="1" t="s">
        <v>187</v>
      </c>
      <c r="E1363" s="1" t="s">
        <v>57</v>
      </c>
      <c r="F1363" s="1" t="s">
        <v>25</v>
      </c>
      <c r="G1363" s="2">
        <v>45175</v>
      </c>
      <c r="H1363" s="2">
        <v>45201</v>
      </c>
      <c r="I1363">
        <v>40</v>
      </c>
      <c r="J1363">
        <v>26</v>
      </c>
      <c r="K1363">
        <v>0</v>
      </c>
      <c r="L1363" s="1" t="s">
        <v>26</v>
      </c>
      <c r="M1363">
        <v>225.4</v>
      </c>
      <c r="N1363">
        <v>573701.34</v>
      </c>
      <c r="O1363">
        <v>4087465.51</v>
      </c>
      <c r="P1363">
        <v>520328.01</v>
      </c>
      <c r="Q1363" s="1" t="s">
        <v>4424</v>
      </c>
      <c r="R1363">
        <v>77</v>
      </c>
      <c r="S1363" s="1" t="s">
        <v>4425</v>
      </c>
      <c r="T1363" t="b">
        <v>0</v>
      </c>
    </row>
    <row r="1364" spans="1:20" x14ac:dyDescent="0.25">
      <c r="A1364" s="1" t="s">
        <v>4426</v>
      </c>
      <c r="B1364" s="1" t="s">
        <v>46</v>
      </c>
      <c r="C1364" s="1" t="s">
        <v>1134</v>
      </c>
      <c r="D1364" s="1" t="s">
        <v>336</v>
      </c>
      <c r="E1364" s="1" t="s">
        <v>24</v>
      </c>
      <c r="F1364" s="1" t="s">
        <v>25</v>
      </c>
      <c r="G1364" s="2">
        <v>45633</v>
      </c>
      <c r="H1364" s="2">
        <v>45637</v>
      </c>
      <c r="I1364">
        <v>3</v>
      </c>
      <c r="J1364">
        <v>4</v>
      </c>
      <c r="K1364">
        <v>1</v>
      </c>
      <c r="L1364" s="1" t="s">
        <v>26</v>
      </c>
      <c r="M1364">
        <v>58.9</v>
      </c>
      <c r="N1364">
        <v>225618.81</v>
      </c>
      <c r="O1364">
        <v>2115729.31</v>
      </c>
      <c r="P1364">
        <v>396284.06</v>
      </c>
      <c r="Q1364" s="1" t="s">
        <v>3553</v>
      </c>
      <c r="R1364">
        <v>37</v>
      </c>
      <c r="S1364" s="1" t="s">
        <v>4427</v>
      </c>
      <c r="T1364" t="b">
        <v>0</v>
      </c>
    </row>
    <row r="1365" spans="1:20" x14ac:dyDescent="0.25">
      <c r="A1365" s="1" t="s">
        <v>4428</v>
      </c>
      <c r="B1365" s="1" t="s">
        <v>185</v>
      </c>
      <c r="C1365" s="1" t="s">
        <v>2583</v>
      </c>
      <c r="D1365" s="1" t="s">
        <v>344</v>
      </c>
      <c r="E1365" s="1" t="s">
        <v>65</v>
      </c>
      <c r="F1365" s="1" t="s">
        <v>25</v>
      </c>
      <c r="G1365" s="2">
        <v>44704</v>
      </c>
      <c r="H1365" s="2">
        <v>44710</v>
      </c>
      <c r="I1365">
        <v>4</v>
      </c>
      <c r="J1365">
        <v>6</v>
      </c>
      <c r="K1365">
        <v>1.5</v>
      </c>
      <c r="L1365" s="1" t="s">
        <v>26</v>
      </c>
      <c r="M1365">
        <v>31.2</v>
      </c>
      <c r="N1365">
        <v>102532.35</v>
      </c>
      <c r="O1365">
        <v>108666.37</v>
      </c>
      <c r="P1365">
        <v>22947.64</v>
      </c>
      <c r="Q1365" s="1" t="s">
        <v>1803</v>
      </c>
      <c r="R1365">
        <v>39</v>
      </c>
      <c r="S1365" s="1" t="s">
        <v>4429</v>
      </c>
      <c r="T1365" t="b">
        <v>1</v>
      </c>
    </row>
    <row r="1366" spans="1:20" x14ac:dyDescent="0.25">
      <c r="A1366" s="1" t="s">
        <v>4430</v>
      </c>
      <c r="B1366" s="1" t="s">
        <v>286</v>
      </c>
      <c r="C1366" s="1" t="s">
        <v>888</v>
      </c>
      <c r="D1366" s="1" t="s">
        <v>359</v>
      </c>
      <c r="E1366" s="1" t="s">
        <v>57</v>
      </c>
      <c r="F1366" s="1" t="s">
        <v>25</v>
      </c>
      <c r="G1366" s="2">
        <v>44646</v>
      </c>
      <c r="H1366" s="2">
        <v>44701</v>
      </c>
      <c r="I1366">
        <v>40</v>
      </c>
      <c r="J1366">
        <v>55</v>
      </c>
      <c r="K1366">
        <v>15</v>
      </c>
      <c r="L1366" s="1" t="s">
        <v>330</v>
      </c>
      <c r="M1366">
        <v>364.7</v>
      </c>
      <c r="N1366">
        <v>959402.29</v>
      </c>
      <c r="O1366">
        <v>3859763.18</v>
      </c>
      <c r="P1366">
        <v>519394.91</v>
      </c>
      <c r="Q1366" s="1" t="s">
        <v>4431</v>
      </c>
      <c r="R1366">
        <v>32</v>
      </c>
      <c r="S1366" s="1" t="s">
        <v>4432</v>
      </c>
      <c r="T1366" t="b">
        <v>0</v>
      </c>
    </row>
    <row r="1367" spans="1:20" x14ac:dyDescent="0.25">
      <c r="A1367" s="1" t="s">
        <v>4433</v>
      </c>
      <c r="B1367" s="1" t="s">
        <v>70</v>
      </c>
      <c r="C1367" s="1" t="s">
        <v>1126</v>
      </c>
      <c r="D1367" s="1" t="s">
        <v>202</v>
      </c>
      <c r="E1367" s="1" t="s">
        <v>65</v>
      </c>
      <c r="F1367" s="1" t="s">
        <v>66</v>
      </c>
      <c r="G1367" s="2">
        <v>45085</v>
      </c>
      <c r="H1367" s="2"/>
      <c r="I1367">
        <v>4</v>
      </c>
      <c r="J1367">
        <v>1</v>
      </c>
      <c r="K1367">
        <v>0</v>
      </c>
      <c r="L1367" s="1" t="s">
        <v>26</v>
      </c>
      <c r="M1367">
        <v>6</v>
      </c>
      <c r="N1367">
        <v>24961.17</v>
      </c>
      <c r="O1367">
        <v>3865827.25</v>
      </c>
      <c r="P1367">
        <v>532930.29</v>
      </c>
      <c r="Q1367" s="1" t="s">
        <v>4434</v>
      </c>
      <c r="R1367">
        <v>56</v>
      </c>
      <c r="S1367" s="1" t="s">
        <v>4435</v>
      </c>
      <c r="T1367" t="b">
        <v>1</v>
      </c>
    </row>
    <row r="1368" spans="1:20" x14ac:dyDescent="0.25">
      <c r="A1368" s="1" t="s">
        <v>4436</v>
      </c>
      <c r="B1368" s="1" t="s">
        <v>566</v>
      </c>
      <c r="C1368" s="1" t="s">
        <v>1241</v>
      </c>
      <c r="D1368" s="1" t="s">
        <v>268</v>
      </c>
      <c r="E1368" s="1" t="s">
        <v>41</v>
      </c>
      <c r="F1368" s="1" t="s">
        <v>25</v>
      </c>
      <c r="G1368" s="2">
        <v>45137</v>
      </c>
      <c r="H1368" s="2">
        <v>45142</v>
      </c>
      <c r="I1368">
        <v>9</v>
      </c>
      <c r="J1368">
        <v>5</v>
      </c>
      <c r="K1368">
        <v>0</v>
      </c>
      <c r="L1368" s="1" t="s">
        <v>26</v>
      </c>
      <c r="M1368">
        <v>31.9</v>
      </c>
      <c r="N1368">
        <v>94789.52</v>
      </c>
      <c r="O1368">
        <v>3533428.09</v>
      </c>
      <c r="P1368">
        <v>385759.09</v>
      </c>
      <c r="Q1368" s="1" t="s">
        <v>4437</v>
      </c>
      <c r="R1368">
        <v>52</v>
      </c>
      <c r="S1368" s="1" t="s">
        <v>4438</v>
      </c>
      <c r="T1368" t="b">
        <v>0</v>
      </c>
    </row>
    <row r="1369" spans="1:20" x14ac:dyDescent="0.25">
      <c r="A1369" s="1" t="s">
        <v>4439</v>
      </c>
      <c r="B1369" s="1" t="s">
        <v>138</v>
      </c>
      <c r="C1369" s="1" t="s">
        <v>769</v>
      </c>
      <c r="D1369" s="1" t="s">
        <v>541</v>
      </c>
      <c r="E1369" s="1" t="s">
        <v>65</v>
      </c>
      <c r="F1369" s="1" t="s">
        <v>34</v>
      </c>
      <c r="G1369" s="2">
        <v>45202</v>
      </c>
      <c r="H1369" s="2"/>
      <c r="I1369">
        <v>4</v>
      </c>
      <c r="J1369">
        <v>5</v>
      </c>
      <c r="K1369">
        <v>0.5</v>
      </c>
      <c r="L1369" s="1" t="s">
        <v>26</v>
      </c>
      <c r="M1369">
        <v>30.5</v>
      </c>
      <c r="N1369">
        <v>87083.6</v>
      </c>
      <c r="O1369">
        <v>1399850.37</v>
      </c>
      <c r="P1369">
        <v>196466.67</v>
      </c>
      <c r="Q1369" s="1" t="s">
        <v>4440</v>
      </c>
      <c r="R1369">
        <v>34</v>
      </c>
      <c r="S1369" s="1" t="s">
        <v>4441</v>
      </c>
      <c r="T1369" t="b">
        <v>0</v>
      </c>
    </row>
    <row r="1370" spans="1:20" x14ac:dyDescent="0.25">
      <c r="A1370" s="1" t="s">
        <v>4442</v>
      </c>
      <c r="B1370" s="1" t="s">
        <v>334</v>
      </c>
      <c r="C1370" s="1" t="s">
        <v>211</v>
      </c>
      <c r="D1370" s="1" t="s">
        <v>144</v>
      </c>
      <c r="E1370" s="1" t="s">
        <v>33</v>
      </c>
      <c r="F1370" s="1" t="s">
        <v>25</v>
      </c>
      <c r="G1370" s="2">
        <v>45654</v>
      </c>
      <c r="H1370" s="2">
        <v>45670</v>
      </c>
      <c r="I1370">
        <v>12</v>
      </c>
      <c r="J1370">
        <v>16</v>
      </c>
      <c r="K1370">
        <v>4</v>
      </c>
      <c r="L1370" s="1" t="s">
        <v>26</v>
      </c>
      <c r="M1370">
        <v>146</v>
      </c>
      <c r="N1370">
        <v>382922.48</v>
      </c>
      <c r="O1370">
        <v>4233685.5599999996</v>
      </c>
      <c r="P1370">
        <v>754857.43</v>
      </c>
      <c r="Q1370" s="1" t="s">
        <v>4443</v>
      </c>
      <c r="R1370">
        <v>37</v>
      </c>
      <c r="S1370" s="1" t="s">
        <v>4444</v>
      </c>
      <c r="T1370" t="b">
        <v>1</v>
      </c>
    </row>
    <row r="1371" spans="1:20" x14ac:dyDescent="0.25">
      <c r="A1371" s="1" t="s">
        <v>4445</v>
      </c>
      <c r="B1371" s="1" t="s">
        <v>38</v>
      </c>
      <c r="C1371" s="1" t="s">
        <v>486</v>
      </c>
      <c r="D1371" s="1" t="s">
        <v>176</v>
      </c>
      <c r="E1371" s="1" t="s">
        <v>33</v>
      </c>
      <c r="F1371" s="1" t="s">
        <v>25</v>
      </c>
      <c r="G1371" s="2">
        <v>45498</v>
      </c>
      <c r="H1371" s="2">
        <v>45515</v>
      </c>
      <c r="I1371">
        <v>12</v>
      </c>
      <c r="J1371">
        <v>17</v>
      </c>
      <c r="K1371">
        <v>5</v>
      </c>
      <c r="L1371" s="1" t="s">
        <v>330</v>
      </c>
      <c r="M1371">
        <v>144.5</v>
      </c>
      <c r="N1371">
        <v>471651.9</v>
      </c>
      <c r="O1371">
        <v>2262347.6</v>
      </c>
      <c r="P1371">
        <v>451608.93</v>
      </c>
      <c r="Q1371" s="1" t="s">
        <v>4446</v>
      </c>
      <c r="R1371">
        <v>63</v>
      </c>
      <c r="S1371" s="1" t="s">
        <v>4447</v>
      </c>
      <c r="T1371" t="b">
        <v>0</v>
      </c>
    </row>
    <row r="1372" spans="1:20" x14ac:dyDescent="0.25">
      <c r="A1372" s="1" t="s">
        <v>4448</v>
      </c>
      <c r="B1372" s="1" t="s">
        <v>185</v>
      </c>
      <c r="C1372" s="1" t="s">
        <v>1542</v>
      </c>
      <c r="D1372" s="1" t="s">
        <v>107</v>
      </c>
      <c r="E1372" s="1" t="s">
        <v>65</v>
      </c>
      <c r="F1372" s="1" t="s">
        <v>66</v>
      </c>
      <c r="G1372" s="2">
        <v>45040</v>
      </c>
      <c r="H1372" s="2"/>
      <c r="I1372">
        <v>4</v>
      </c>
      <c r="J1372">
        <v>2</v>
      </c>
      <c r="K1372">
        <v>0</v>
      </c>
      <c r="L1372" s="1" t="s">
        <v>26</v>
      </c>
      <c r="M1372">
        <v>16.8</v>
      </c>
      <c r="N1372">
        <v>43708.95</v>
      </c>
      <c r="O1372">
        <v>3473094.05</v>
      </c>
      <c r="P1372">
        <v>534366.68999999994</v>
      </c>
      <c r="Q1372" s="1" t="s">
        <v>4449</v>
      </c>
      <c r="R1372">
        <v>29</v>
      </c>
      <c r="S1372" s="1" t="s">
        <v>4450</v>
      </c>
      <c r="T1372" t="b">
        <v>0</v>
      </c>
    </row>
    <row r="1373" spans="1:20" x14ac:dyDescent="0.25">
      <c r="A1373" s="1" t="s">
        <v>4451</v>
      </c>
      <c r="B1373" s="1" t="s">
        <v>99</v>
      </c>
      <c r="C1373" s="1" t="s">
        <v>2849</v>
      </c>
      <c r="D1373" s="1" t="s">
        <v>505</v>
      </c>
      <c r="E1373" s="1" t="s">
        <v>41</v>
      </c>
      <c r="F1373" s="1" t="s">
        <v>25</v>
      </c>
      <c r="G1373" s="2">
        <v>45535</v>
      </c>
      <c r="H1373" s="2">
        <v>45547</v>
      </c>
      <c r="I1373">
        <v>9</v>
      </c>
      <c r="J1373">
        <v>12</v>
      </c>
      <c r="K1373">
        <v>3</v>
      </c>
      <c r="L1373" s="1" t="s">
        <v>26</v>
      </c>
      <c r="M1373">
        <v>169.4</v>
      </c>
      <c r="N1373">
        <v>309993.7</v>
      </c>
      <c r="O1373">
        <v>2589945.73</v>
      </c>
      <c r="P1373">
        <v>387003.15</v>
      </c>
      <c r="Q1373" s="1" t="s">
        <v>4452</v>
      </c>
      <c r="R1373">
        <v>38</v>
      </c>
      <c r="S1373" s="1" t="s">
        <v>4453</v>
      </c>
      <c r="T1373" t="b">
        <v>1</v>
      </c>
    </row>
    <row r="1374" spans="1:20" x14ac:dyDescent="0.25">
      <c r="A1374" s="1" t="s">
        <v>4454</v>
      </c>
      <c r="B1374" s="1" t="s">
        <v>334</v>
      </c>
      <c r="C1374" s="1" t="s">
        <v>2304</v>
      </c>
      <c r="D1374" s="1" t="s">
        <v>372</v>
      </c>
      <c r="E1374" s="1" t="s">
        <v>65</v>
      </c>
      <c r="F1374" s="1" t="s">
        <v>50</v>
      </c>
      <c r="G1374" s="2">
        <v>45306</v>
      </c>
      <c r="H1374" s="2"/>
      <c r="I1374">
        <v>4</v>
      </c>
      <c r="J1374">
        <v>7</v>
      </c>
      <c r="K1374">
        <v>2.5</v>
      </c>
      <c r="L1374" s="1" t="s">
        <v>26</v>
      </c>
      <c r="M1374">
        <v>30.8</v>
      </c>
      <c r="N1374">
        <v>130236.21</v>
      </c>
      <c r="O1374">
        <v>1147189.1599999999</v>
      </c>
      <c r="P1374">
        <v>159419.96</v>
      </c>
      <c r="Q1374" s="1" t="s">
        <v>4455</v>
      </c>
      <c r="R1374">
        <v>21</v>
      </c>
      <c r="S1374" s="1" t="s">
        <v>4456</v>
      </c>
      <c r="T1374" t="b">
        <v>0</v>
      </c>
    </row>
    <row r="1375" spans="1:20" x14ac:dyDescent="0.25">
      <c r="A1375" s="1" t="s">
        <v>4457</v>
      </c>
      <c r="B1375" s="1" t="s">
        <v>46</v>
      </c>
      <c r="C1375" s="1" t="s">
        <v>100</v>
      </c>
      <c r="D1375" s="1" t="s">
        <v>113</v>
      </c>
      <c r="E1375" s="1" t="s">
        <v>41</v>
      </c>
      <c r="F1375" s="1" t="s">
        <v>25</v>
      </c>
      <c r="G1375" s="2">
        <v>45551</v>
      </c>
      <c r="H1375" s="2">
        <v>45564</v>
      </c>
      <c r="I1375">
        <v>9</v>
      </c>
      <c r="J1375">
        <v>13</v>
      </c>
      <c r="K1375">
        <v>4</v>
      </c>
      <c r="L1375" s="1" t="s">
        <v>193</v>
      </c>
      <c r="M1375">
        <v>84.9</v>
      </c>
      <c r="N1375">
        <v>340197.96</v>
      </c>
      <c r="O1375">
        <v>2360305.98</v>
      </c>
      <c r="P1375">
        <v>483784.06</v>
      </c>
      <c r="Q1375" s="1" t="s">
        <v>4458</v>
      </c>
      <c r="R1375">
        <v>46</v>
      </c>
      <c r="S1375" s="1" t="s">
        <v>4459</v>
      </c>
      <c r="T1375" t="b">
        <v>0</v>
      </c>
    </row>
    <row r="1376" spans="1:20" x14ac:dyDescent="0.25">
      <c r="A1376" s="1" t="s">
        <v>4460</v>
      </c>
      <c r="B1376" s="1" t="s">
        <v>566</v>
      </c>
      <c r="C1376" s="1" t="s">
        <v>1134</v>
      </c>
      <c r="D1376" s="1" t="s">
        <v>293</v>
      </c>
      <c r="E1376" s="1" t="s">
        <v>33</v>
      </c>
      <c r="F1376" s="1" t="s">
        <v>66</v>
      </c>
      <c r="G1376" s="2">
        <v>45137</v>
      </c>
      <c r="H1376" s="2"/>
      <c r="I1376">
        <v>12</v>
      </c>
      <c r="J1376">
        <v>6</v>
      </c>
      <c r="K1376">
        <v>0</v>
      </c>
      <c r="L1376" s="1" t="s">
        <v>26</v>
      </c>
      <c r="M1376">
        <v>79.5</v>
      </c>
      <c r="N1376">
        <v>240147.98</v>
      </c>
      <c r="O1376">
        <v>3238743.2</v>
      </c>
      <c r="P1376">
        <v>497797.29</v>
      </c>
      <c r="Q1376" s="1" t="s">
        <v>4461</v>
      </c>
      <c r="R1376">
        <v>50</v>
      </c>
      <c r="S1376" s="1" t="s">
        <v>4462</v>
      </c>
      <c r="T1376" t="b">
        <v>1</v>
      </c>
    </row>
    <row r="1377" spans="1:20" x14ac:dyDescent="0.25">
      <c r="A1377" s="1" t="s">
        <v>4463</v>
      </c>
      <c r="B1377" s="1" t="s">
        <v>545</v>
      </c>
      <c r="C1377" s="1" t="s">
        <v>1130</v>
      </c>
      <c r="D1377" s="1" t="s">
        <v>64</v>
      </c>
      <c r="E1377" s="1" t="s">
        <v>57</v>
      </c>
      <c r="F1377" s="1" t="s">
        <v>25</v>
      </c>
      <c r="G1377" s="2">
        <v>45411</v>
      </c>
      <c r="H1377" s="2">
        <v>45441</v>
      </c>
      <c r="I1377">
        <v>40</v>
      </c>
      <c r="J1377">
        <v>30</v>
      </c>
      <c r="K1377">
        <v>0</v>
      </c>
      <c r="L1377" s="1" t="s">
        <v>26</v>
      </c>
      <c r="M1377">
        <v>370.7</v>
      </c>
      <c r="N1377">
        <v>1361476.82</v>
      </c>
      <c r="O1377">
        <v>4343605.24</v>
      </c>
      <c r="P1377">
        <v>857881.76</v>
      </c>
      <c r="Q1377" s="1" t="s">
        <v>4464</v>
      </c>
      <c r="R1377">
        <v>21</v>
      </c>
      <c r="S1377" s="1" t="s">
        <v>4465</v>
      </c>
      <c r="T1377" t="b">
        <v>0</v>
      </c>
    </row>
    <row r="1378" spans="1:20" x14ac:dyDescent="0.25">
      <c r="A1378" s="1" t="s">
        <v>4466</v>
      </c>
      <c r="B1378" s="1" t="s">
        <v>122</v>
      </c>
      <c r="C1378" s="1" t="s">
        <v>4467</v>
      </c>
      <c r="D1378" s="1" t="s">
        <v>89</v>
      </c>
      <c r="E1378" s="1" t="s">
        <v>57</v>
      </c>
      <c r="F1378" s="1" t="s">
        <v>50</v>
      </c>
      <c r="G1378" s="2">
        <v>44844</v>
      </c>
      <c r="H1378" s="2"/>
      <c r="I1378">
        <v>40</v>
      </c>
      <c r="J1378">
        <v>27</v>
      </c>
      <c r="K1378">
        <v>0</v>
      </c>
      <c r="L1378" s="1" t="s">
        <v>26</v>
      </c>
      <c r="M1378">
        <v>333</v>
      </c>
      <c r="N1378">
        <v>652161.62</v>
      </c>
      <c r="O1378">
        <v>3243079.37</v>
      </c>
      <c r="P1378">
        <v>608060.53</v>
      </c>
      <c r="Q1378" s="1" t="s">
        <v>4468</v>
      </c>
      <c r="R1378">
        <v>66</v>
      </c>
      <c r="S1378" s="1" t="s">
        <v>4469</v>
      </c>
      <c r="T1378" t="b">
        <v>0</v>
      </c>
    </row>
    <row r="1379" spans="1:20" x14ac:dyDescent="0.25">
      <c r="A1379" s="1" t="s">
        <v>4470</v>
      </c>
      <c r="B1379" s="1" t="s">
        <v>272</v>
      </c>
      <c r="C1379" s="1" t="s">
        <v>800</v>
      </c>
      <c r="D1379" s="1" t="s">
        <v>513</v>
      </c>
      <c r="E1379" s="1" t="s">
        <v>65</v>
      </c>
      <c r="F1379" s="1" t="s">
        <v>25</v>
      </c>
      <c r="G1379" s="2">
        <v>44622</v>
      </c>
      <c r="H1379" s="2">
        <v>44626</v>
      </c>
      <c r="I1379">
        <v>4</v>
      </c>
      <c r="J1379">
        <v>4</v>
      </c>
      <c r="K1379">
        <v>0</v>
      </c>
      <c r="L1379" s="1" t="s">
        <v>26</v>
      </c>
      <c r="M1379">
        <v>25</v>
      </c>
      <c r="N1379">
        <v>49130.48</v>
      </c>
      <c r="O1379">
        <v>357943.41</v>
      </c>
      <c r="P1379">
        <v>71767.37</v>
      </c>
      <c r="Q1379" s="1" t="s">
        <v>4471</v>
      </c>
      <c r="R1379">
        <v>80</v>
      </c>
      <c r="S1379" s="1" t="s">
        <v>4472</v>
      </c>
      <c r="T1379" t="b">
        <v>1</v>
      </c>
    </row>
    <row r="1380" spans="1:20" x14ac:dyDescent="0.25">
      <c r="A1380" s="1" t="s">
        <v>4473</v>
      </c>
      <c r="B1380" s="1" t="s">
        <v>76</v>
      </c>
      <c r="C1380" s="1" t="s">
        <v>701</v>
      </c>
      <c r="D1380" s="1" t="s">
        <v>216</v>
      </c>
      <c r="E1380" s="1" t="s">
        <v>49</v>
      </c>
      <c r="F1380" s="1" t="s">
        <v>25</v>
      </c>
      <c r="G1380" s="2">
        <v>45604</v>
      </c>
      <c r="H1380" s="2">
        <v>45635</v>
      </c>
      <c r="I1380">
        <v>25</v>
      </c>
      <c r="J1380">
        <v>31</v>
      </c>
      <c r="K1380">
        <v>6</v>
      </c>
      <c r="L1380" s="1" t="s">
        <v>330</v>
      </c>
      <c r="M1380">
        <v>494.2</v>
      </c>
      <c r="N1380">
        <v>1978916.63</v>
      </c>
      <c r="O1380">
        <v>4653138.76</v>
      </c>
      <c r="P1380">
        <v>988533.1</v>
      </c>
      <c r="Q1380" s="1" t="s">
        <v>4474</v>
      </c>
      <c r="R1380">
        <v>25</v>
      </c>
      <c r="S1380" s="1" t="s">
        <v>4475</v>
      </c>
      <c r="T1380" t="b">
        <v>0</v>
      </c>
    </row>
    <row r="1381" spans="1:20" x14ac:dyDescent="0.25">
      <c r="A1381" s="1" t="s">
        <v>4476</v>
      </c>
      <c r="B1381" s="1" t="s">
        <v>220</v>
      </c>
      <c r="C1381" s="1" t="s">
        <v>654</v>
      </c>
      <c r="D1381" s="1" t="s">
        <v>89</v>
      </c>
      <c r="E1381" s="1" t="s">
        <v>49</v>
      </c>
      <c r="F1381" s="1" t="s">
        <v>25</v>
      </c>
      <c r="G1381" s="2">
        <v>44574</v>
      </c>
      <c r="H1381" s="2">
        <v>44610</v>
      </c>
      <c r="I1381">
        <v>25</v>
      </c>
      <c r="J1381">
        <v>36</v>
      </c>
      <c r="K1381">
        <v>11</v>
      </c>
      <c r="L1381" s="1" t="s">
        <v>101</v>
      </c>
      <c r="M1381">
        <v>502.8</v>
      </c>
      <c r="N1381">
        <v>1734164.29</v>
      </c>
      <c r="O1381">
        <v>866362.2</v>
      </c>
      <c r="P1381">
        <v>412784.76</v>
      </c>
      <c r="Q1381" s="1" t="s">
        <v>4477</v>
      </c>
      <c r="R1381">
        <v>62</v>
      </c>
      <c r="S1381" s="1" t="s">
        <v>4478</v>
      </c>
      <c r="T1381" t="b">
        <v>1</v>
      </c>
    </row>
    <row r="1382" spans="1:20" x14ac:dyDescent="0.25">
      <c r="A1382" s="1" t="s">
        <v>4479</v>
      </c>
      <c r="B1382" s="1" t="s">
        <v>185</v>
      </c>
      <c r="C1382" s="1" t="s">
        <v>1126</v>
      </c>
      <c r="D1382" s="1" t="s">
        <v>230</v>
      </c>
      <c r="E1382" s="1" t="s">
        <v>41</v>
      </c>
      <c r="F1382" s="1" t="s">
        <v>50</v>
      </c>
      <c r="G1382" s="2">
        <v>44740</v>
      </c>
      <c r="H1382" s="2"/>
      <c r="I1382">
        <v>9</v>
      </c>
      <c r="J1382">
        <v>6</v>
      </c>
      <c r="K1382">
        <v>0</v>
      </c>
      <c r="L1382" s="1" t="s">
        <v>26</v>
      </c>
      <c r="M1382">
        <v>93</v>
      </c>
      <c r="N1382">
        <v>243354.46</v>
      </c>
      <c r="O1382">
        <v>4947939.82</v>
      </c>
      <c r="P1382">
        <v>831387.88</v>
      </c>
      <c r="Q1382" s="1" t="s">
        <v>4480</v>
      </c>
      <c r="R1382">
        <v>21</v>
      </c>
      <c r="S1382" s="1" t="s">
        <v>4481</v>
      </c>
      <c r="T1382" t="b">
        <v>0</v>
      </c>
    </row>
    <row r="1383" spans="1:20" x14ac:dyDescent="0.25">
      <c r="A1383" s="1" t="s">
        <v>4482</v>
      </c>
      <c r="B1383" s="1" t="s">
        <v>117</v>
      </c>
      <c r="C1383" s="1" t="s">
        <v>642</v>
      </c>
      <c r="D1383" s="1" t="s">
        <v>202</v>
      </c>
      <c r="E1383" s="1" t="s">
        <v>33</v>
      </c>
      <c r="F1383" s="1" t="s">
        <v>66</v>
      </c>
      <c r="G1383" s="2">
        <v>44929</v>
      </c>
      <c r="H1383" s="2"/>
      <c r="I1383">
        <v>12</v>
      </c>
      <c r="J1383">
        <v>11</v>
      </c>
      <c r="K1383">
        <v>0</v>
      </c>
      <c r="L1383" s="1" t="s">
        <v>26</v>
      </c>
      <c r="M1383">
        <v>152.19999999999999</v>
      </c>
      <c r="N1383">
        <v>454440.41</v>
      </c>
      <c r="O1383">
        <v>19938.88</v>
      </c>
      <c r="P1383">
        <v>59698.9</v>
      </c>
      <c r="Q1383" s="1" t="s">
        <v>4483</v>
      </c>
      <c r="R1383">
        <v>78</v>
      </c>
      <c r="S1383" s="1" t="s">
        <v>4484</v>
      </c>
      <c r="T1383" t="b">
        <v>0</v>
      </c>
    </row>
    <row r="1384" spans="1:20" x14ac:dyDescent="0.25">
      <c r="A1384" s="1" t="s">
        <v>4485</v>
      </c>
      <c r="B1384" s="1" t="s">
        <v>451</v>
      </c>
      <c r="C1384" s="1" t="s">
        <v>129</v>
      </c>
      <c r="D1384" s="1" t="s">
        <v>32</v>
      </c>
      <c r="E1384" s="1" t="s">
        <v>33</v>
      </c>
      <c r="F1384" s="1" t="s">
        <v>34</v>
      </c>
      <c r="G1384" s="2">
        <v>45064</v>
      </c>
      <c r="H1384" s="2"/>
      <c r="I1384">
        <v>12</v>
      </c>
      <c r="J1384">
        <v>8</v>
      </c>
      <c r="K1384">
        <v>0</v>
      </c>
      <c r="L1384" s="1" t="s">
        <v>26</v>
      </c>
      <c r="M1384">
        <v>107.1</v>
      </c>
      <c r="N1384">
        <v>393388.17</v>
      </c>
      <c r="O1384">
        <v>4111909.95</v>
      </c>
      <c r="P1384">
        <v>484474.84</v>
      </c>
      <c r="Q1384" s="1" t="s">
        <v>4486</v>
      </c>
      <c r="R1384">
        <v>79</v>
      </c>
      <c r="S1384" s="1" t="s">
        <v>4487</v>
      </c>
      <c r="T1384" t="b">
        <v>1</v>
      </c>
    </row>
    <row r="1385" spans="1:20" x14ac:dyDescent="0.25">
      <c r="A1385" s="1" t="s">
        <v>4488</v>
      </c>
      <c r="B1385" s="1" t="s">
        <v>62</v>
      </c>
      <c r="C1385" s="1" t="s">
        <v>734</v>
      </c>
      <c r="D1385" s="1" t="s">
        <v>293</v>
      </c>
      <c r="E1385" s="1" t="s">
        <v>41</v>
      </c>
      <c r="F1385" s="1" t="s">
        <v>25</v>
      </c>
      <c r="G1385" s="2">
        <v>45353</v>
      </c>
      <c r="H1385" s="2">
        <v>45366</v>
      </c>
      <c r="I1385">
        <v>9</v>
      </c>
      <c r="J1385">
        <v>13</v>
      </c>
      <c r="K1385">
        <v>4</v>
      </c>
      <c r="L1385" s="1" t="s">
        <v>42</v>
      </c>
      <c r="M1385">
        <v>94.3</v>
      </c>
      <c r="N1385">
        <v>226210.97</v>
      </c>
      <c r="O1385">
        <v>578349.93000000005</v>
      </c>
      <c r="P1385">
        <v>151501.09</v>
      </c>
      <c r="Q1385" s="1" t="s">
        <v>4489</v>
      </c>
      <c r="R1385">
        <v>61</v>
      </c>
      <c r="S1385" s="1" t="s">
        <v>4490</v>
      </c>
      <c r="T1385" t="b">
        <v>0</v>
      </c>
    </row>
    <row r="1386" spans="1:20" x14ac:dyDescent="0.25">
      <c r="A1386" s="1" t="s">
        <v>4491</v>
      </c>
      <c r="B1386" s="1" t="s">
        <v>471</v>
      </c>
      <c r="C1386" s="1" t="s">
        <v>638</v>
      </c>
      <c r="D1386" s="1" t="s">
        <v>95</v>
      </c>
      <c r="E1386" s="1" t="s">
        <v>41</v>
      </c>
      <c r="F1386" s="1" t="s">
        <v>66</v>
      </c>
      <c r="G1386" s="2">
        <v>44852</v>
      </c>
      <c r="H1386" s="2"/>
      <c r="I1386">
        <v>9</v>
      </c>
      <c r="J1386">
        <v>4</v>
      </c>
      <c r="K1386">
        <v>0</v>
      </c>
      <c r="L1386" s="1" t="s">
        <v>26</v>
      </c>
      <c r="M1386">
        <v>31.8</v>
      </c>
      <c r="N1386">
        <v>74387.37</v>
      </c>
      <c r="O1386">
        <v>2249353.8199999998</v>
      </c>
      <c r="P1386">
        <v>243151.94</v>
      </c>
      <c r="Q1386" s="1" t="s">
        <v>4492</v>
      </c>
      <c r="R1386">
        <v>39</v>
      </c>
      <c r="S1386" s="1" t="s">
        <v>4493</v>
      </c>
      <c r="T1386" t="b">
        <v>1</v>
      </c>
    </row>
    <row r="1387" spans="1:20" x14ac:dyDescent="0.25">
      <c r="A1387" s="1" t="s">
        <v>4494</v>
      </c>
      <c r="B1387" s="1" t="s">
        <v>174</v>
      </c>
      <c r="C1387" s="1" t="s">
        <v>4467</v>
      </c>
      <c r="D1387" s="1" t="s">
        <v>306</v>
      </c>
      <c r="E1387" s="1" t="s">
        <v>33</v>
      </c>
      <c r="F1387" s="1" t="s">
        <v>25</v>
      </c>
      <c r="G1387" s="2">
        <v>45475</v>
      </c>
      <c r="H1387" s="2">
        <v>45481</v>
      </c>
      <c r="I1387">
        <v>12</v>
      </c>
      <c r="J1387">
        <v>6</v>
      </c>
      <c r="K1387">
        <v>0</v>
      </c>
      <c r="L1387" s="1" t="s">
        <v>26</v>
      </c>
      <c r="M1387">
        <v>60.9</v>
      </c>
      <c r="N1387">
        <v>198317.03</v>
      </c>
      <c r="O1387">
        <v>2592731.11</v>
      </c>
      <c r="P1387">
        <v>529811.89</v>
      </c>
      <c r="Q1387" s="1" t="s">
        <v>1264</v>
      </c>
      <c r="R1387">
        <v>53</v>
      </c>
      <c r="S1387" s="1" t="s">
        <v>4495</v>
      </c>
      <c r="T1387" t="b">
        <v>1</v>
      </c>
    </row>
    <row r="1388" spans="1:20" x14ac:dyDescent="0.25">
      <c r="A1388" s="1" t="s">
        <v>4496</v>
      </c>
      <c r="B1388" s="1" t="s">
        <v>54</v>
      </c>
      <c r="C1388" s="1" t="s">
        <v>677</v>
      </c>
      <c r="D1388" s="1" t="s">
        <v>306</v>
      </c>
      <c r="E1388" s="1" t="s">
        <v>49</v>
      </c>
      <c r="F1388" s="1" t="s">
        <v>25</v>
      </c>
      <c r="G1388" s="2">
        <v>45411</v>
      </c>
      <c r="H1388" s="2">
        <v>45441</v>
      </c>
      <c r="I1388">
        <v>25</v>
      </c>
      <c r="J1388">
        <v>30</v>
      </c>
      <c r="K1388">
        <v>5</v>
      </c>
      <c r="L1388" s="1" t="s">
        <v>42</v>
      </c>
      <c r="M1388">
        <v>433.2</v>
      </c>
      <c r="N1388">
        <v>1125952.8899999999</v>
      </c>
      <c r="O1388">
        <v>1502745.47</v>
      </c>
      <c r="P1388">
        <v>401291.13</v>
      </c>
      <c r="Q1388" s="1" t="s">
        <v>4497</v>
      </c>
      <c r="R1388">
        <v>53</v>
      </c>
      <c r="S1388" s="1" t="s">
        <v>4498</v>
      </c>
      <c r="T1388" t="b">
        <v>0</v>
      </c>
    </row>
    <row r="1389" spans="1:20" x14ac:dyDescent="0.25">
      <c r="A1389" s="1" t="s">
        <v>4499</v>
      </c>
      <c r="B1389" s="1" t="s">
        <v>566</v>
      </c>
      <c r="C1389" s="1" t="s">
        <v>2849</v>
      </c>
      <c r="D1389" s="1" t="s">
        <v>64</v>
      </c>
      <c r="E1389" s="1" t="s">
        <v>41</v>
      </c>
      <c r="F1389" s="1" t="s">
        <v>34</v>
      </c>
      <c r="G1389" s="2">
        <v>44938</v>
      </c>
      <c r="H1389" s="2"/>
      <c r="I1389">
        <v>9</v>
      </c>
      <c r="J1389">
        <v>10</v>
      </c>
      <c r="K1389">
        <v>1</v>
      </c>
      <c r="L1389" s="1" t="s">
        <v>26</v>
      </c>
      <c r="M1389">
        <v>115.8</v>
      </c>
      <c r="N1389">
        <v>236209.62</v>
      </c>
      <c r="O1389">
        <v>2100552.37</v>
      </c>
      <c r="P1389">
        <v>234186.14</v>
      </c>
      <c r="Q1389" s="1" t="s">
        <v>4500</v>
      </c>
      <c r="R1389">
        <v>27</v>
      </c>
      <c r="S1389" s="1" t="s">
        <v>4501</v>
      </c>
      <c r="T1389" t="b">
        <v>1</v>
      </c>
    </row>
    <row r="1390" spans="1:20" x14ac:dyDescent="0.25">
      <c r="A1390" s="1" t="s">
        <v>4502</v>
      </c>
      <c r="B1390" s="1" t="s">
        <v>46</v>
      </c>
      <c r="C1390" s="1" t="s">
        <v>2485</v>
      </c>
      <c r="D1390" s="1" t="s">
        <v>513</v>
      </c>
      <c r="E1390" s="1" t="s">
        <v>65</v>
      </c>
      <c r="F1390" s="1" t="s">
        <v>25</v>
      </c>
      <c r="G1390" s="2">
        <v>45529</v>
      </c>
      <c r="H1390" s="2">
        <v>45532</v>
      </c>
      <c r="I1390">
        <v>4</v>
      </c>
      <c r="J1390">
        <v>3</v>
      </c>
      <c r="K1390">
        <v>0</v>
      </c>
      <c r="L1390" s="1" t="s">
        <v>26</v>
      </c>
      <c r="M1390">
        <v>12.6</v>
      </c>
      <c r="N1390">
        <v>23805.84</v>
      </c>
      <c r="O1390">
        <v>676009.71</v>
      </c>
      <c r="P1390">
        <v>71153.259999999995</v>
      </c>
      <c r="Q1390" s="1" t="s">
        <v>456</v>
      </c>
      <c r="R1390">
        <v>63</v>
      </c>
      <c r="S1390" s="1" t="s">
        <v>4503</v>
      </c>
      <c r="T1390" t="b">
        <v>0</v>
      </c>
    </row>
    <row r="1391" spans="1:20" x14ac:dyDescent="0.25">
      <c r="A1391" s="1" t="s">
        <v>4504</v>
      </c>
      <c r="B1391" s="1" t="s">
        <v>30</v>
      </c>
      <c r="C1391" s="1" t="s">
        <v>440</v>
      </c>
      <c r="D1391" s="1" t="s">
        <v>670</v>
      </c>
      <c r="E1391" s="1" t="s">
        <v>24</v>
      </c>
      <c r="F1391" s="1" t="s">
        <v>25</v>
      </c>
      <c r="G1391" s="2">
        <v>45136</v>
      </c>
      <c r="H1391" s="2">
        <v>45139</v>
      </c>
      <c r="I1391">
        <v>3</v>
      </c>
      <c r="J1391">
        <v>3</v>
      </c>
      <c r="K1391">
        <v>0</v>
      </c>
      <c r="L1391" s="1" t="s">
        <v>26</v>
      </c>
      <c r="M1391">
        <v>40.9</v>
      </c>
      <c r="N1391">
        <v>115747.41</v>
      </c>
      <c r="O1391">
        <v>3258294.08</v>
      </c>
      <c r="P1391">
        <v>553992.31999999995</v>
      </c>
      <c r="Q1391" s="1" t="s">
        <v>4505</v>
      </c>
      <c r="R1391">
        <v>31</v>
      </c>
      <c r="S1391" s="1" t="s">
        <v>4506</v>
      </c>
      <c r="T1391" t="b">
        <v>1</v>
      </c>
    </row>
    <row r="1392" spans="1:20" x14ac:dyDescent="0.25">
      <c r="A1392" s="1" t="s">
        <v>4507</v>
      </c>
      <c r="B1392" s="1" t="s">
        <v>471</v>
      </c>
      <c r="C1392" s="1" t="s">
        <v>186</v>
      </c>
      <c r="D1392" s="1" t="s">
        <v>216</v>
      </c>
      <c r="E1392" s="1" t="s">
        <v>41</v>
      </c>
      <c r="F1392" s="1" t="s">
        <v>34</v>
      </c>
      <c r="G1392" s="2">
        <v>45166</v>
      </c>
      <c r="H1392" s="2"/>
      <c r="I1392">
        <v>9</v>
      </c>
      <c r="J1392">
        <v>5</v>
      </c>
      <c r="K1392">
        <v>0</v>
      </c>
      <c r="L1392" s="1" t="s">
        <v>26</v>
      </c>
      <c r="M1392">
        <v>37.9</v>
      </c>
      <c r="N1392">
        <v>135515.22</v>
      </c>
      <c r="O1392">
        <v>1875935.62</v>
      </c>
      <c r="P1392">
        <v>283176.44</v>
      </c>
      <c r="Q1392" s="1" t="s">
        <v>4508</v>
      </c>
      <c r="R1392">
        <v>43</v>
      </c>
      <c r="S1392" s="1" t="s">
        <v>4509</v>
      </c>
      <c r="T1392" t="b">
        <v>1</v>
      </c>
    </row>
    <row r="1393" spans="1:20" x14ac:dyDescent="0.25">
      <c r="A1393" s="1" t="s">
        <v>4510</v>
      </c>
      <c r="B1393" s="1" t="s">
        <v>169</v>
      </c>
      <c r="C1393" s="1" t="s">
        <v>776</v>
      </c>
      <c r="D1393" s="1" t="s">
        <v>176</v>
      </c>
      <c r="E1393" s="1" t="s">
        <v>57</v>
      </c>
      <c r="F1393" s="1" t="s">
        <v>66</v>
      </c>
      <c r="G1393" s="2">
        <v>44580</v>
      </c>
      <c r="H1393" s="2"/>
      <c r="I1393">
        <v>40</v>
      </c>
      <c r="J1393">
        <v>37</v>
      </c>
      <c r="K1393">
        <v>0</v>
      </c>
      <c r="L1393" s="1" t="s">
        <v>26</v>
      </c>
      <c r="M1393">
        <v>401</v>
      </c>
      <c r="N1393">
        <v>1160368.26</v>
      </c>
      <c r="O1393">
        <v>4083648.35</v>
      </c>
      <c r="P1393">
        <v>893693.68</v>
      </c>
      <c r="Q1393" s="1" t="s">
        <v>4511</v>
      </c>
      <c r="R1393">
        <v>78</v>
      </c>
      <c r="S1393" s="1" t="s">
        <v>4512</v>
      </c>
      <c r="T1393" t="b">
        <v>0</v>
      </c>
    </row>
    <row r="1394" spans="1:20" x14ac:dyDescent="0.25">
      <c r="A1394" s="1" t="s">
        <v>4513</v>
      </c>
      <c r="B1394" s="1" t="s">
        <v>242</v>
      </c>
      <c r="C1394" s="1" t="s">
        <v>594</v>
      </c>
      <c r="D1394" s="1" t="s">
        <v>40</v>
      </c>
      <c r="E1394" s="1" t="s">
        <v>65</v>
      </c>
      <c r="F1394" s="1" t="s">
        <v>25</v>
      </c>
      <c r="G1394" s="2">
        <v>45058</v>
      </c>
      <c r="H1394" s="2">
        <v>45061</v>
      </c>
      <c r="I1394">
        <v>4</v>
      </c>
      <c r="J1394">
        <v>3</v>
      </c>
      <c r="K1394">
        <v>0</v>
      </c>
      <c r="L1394" s="1" t="s">
        <v>26</v>
      </c>
      <c r="M1394">
        <v>42.4</v>
      </c>
      <c r="N1394">
        <v>178367.16</v>
      </c>
      <c r="O1394">
        <v>1548610.05</v>
      </c>
      <c r="P1394">
        <v>233475.33</v>
      </c>
      <c r="Q1394" s="1" t="s">
        <v>4514</v>
      </c>
      <c r="R1394">
        <v>25</v>
      </c>
      <c r="S1394" s="1" t="s">
        <v>4515</v>
      </c>
      <c r="T1394" t="b">
        <v>0</v>
      </c>
    </row>
    <row r="1395" spans="1:20" x14ac:dyDescent="0.25">
      <c r="A1395" s="1" t="s">
        <v>4516</v>
      </c>
      <c r="B1395" s="1" t="s">
        <v>471</v>
      </c>
      <c r="C1395" s="1" t="s">
        <v>1706</v>
      </c>
      <c r="D1395" s="1" t="s">
        <v>622</v>
      </c>
      <c r="E1395" s="1" t="s">
        <v>24</v>
      </c>
      <c r="F1395" s="1" t="s">
        <v>34</v>
      </c>
      <c r="G1395" s="2">
        <v>45314</v>
      </c>
      <c r="H1395" s="2"/>
      <c r="I1395">
        <v>3</v>
      </c>
      <c r="J1395">
        <v>1</v>
      </c>
      <c r="K1395">
        <v>0</v>
      </c>
      <c r="L1395" s="1" t="s">
        <v>26</v>
      </c>
      <c r="M1395">
        <v>15.7</v>
      </c>
      <c r="N1395">
        <v>65296.31</v>
      </c>
      <c r="O1395">
        <v>4137074.56</v>
      </c>
      <c r="P1395">
        <v>534532.02</v>
      </c>
      <c r="Q1395" s="1" t="s">
        <v>4517</v>
      </c>
      <c r="R1395">
        <v>75</v>
      </c>
      <c r="S1395" s="1" t="s">
        <v>4518</v>
      </c>
      <c r="T1395" t="b">
        <v>0</v>
      </c>
    </row>
    <row r="1396" spans="1:20" x14ac:dyDescent="0.25">
      <c r="A1396" s="1" t="s">
        <v>4519</v>
      </c>
      <c r="B1396" s="1" t="s">
        <v>138</v>
      </c>
      <c r="C1396" s="1" t="s">
        <v>1381</v>
      </c>
      <c r="D1396" s="1" t="s">
        <v>23</v>
      </c>
      <c r="E1396" s="1" t="s">
        <v>57</v>
      </c>
      <c r="F1396" s="1" t="s">
        <v>66</v>
      </c>
      <c r="G1396" s="2">
        <v>45582</v>
      </c>
      <c r="H1396" s="2"/>
      <c r="I1396">
        <v>40</v>
      </c>
      <c r="J1396">
        <v>43</v>
      </c>
      <c r="K1396">
        <v>3</v>
      </c>
      <c r="L1396" s="1" t="s">
        <v>26</v>
      </c>
      <c r="M1396">
        <v>314.60000000000002</v>
      </c>
      <c r="N1396">
        <v>1171322.03</v>
      </c>
      <c r="O1396">
        <v>2061458.23</v>
      </c>
      <c r="P1396">
        <v>646253.05000000005</v>
      </c>
      <c r="Q1396" s="1" t="s">
        <v>4520</v>
      </c>
      <c r="R1396">
        <v>71</v>
      </c>
      <c r="S1396" s="1" t="s">
        <v>4521</v>
      </c>
      <c r="T1396" t="b">
        <v>0</v>
      </c>
    </row>
    <row r="1397" spans="1:20" x14ac:dyDescent="0.25">
      <c r="A1397" s="1" t="s">
        <v>4522</v>
      </c>
      <c r="B1397" s="1" t="s">
        <v>46</v>
      </c>
      <c r="C1397" s="1" t="s">
        <v>634</v>
      </c>
      <c r="D1397" s="1" t="s">
        <v>288</v>
      </c>
      <c r="E1397" s="1" t="s">
        <v>65</v>
      </c>
      <c r="F1397" s="1" t="s">
        <v>25</v>
      </c>
      <c r="G1397" s="2">
        <v>45645</v>
      </c>
      <c r="H1397" s="2">
        <v>45647</v>
      </c>
      <c r="I1397">
        <v>4</v>
      </c>
      <c r="J1397">
        <v>2</v>
      </c>
      <c r="K1397">
        <v>0</v>
      </c>
      <c r="L1397" s="1" t="s">
        <v>26</v>
      </c>
      <c r="M1397">
        <v>11.1</v>
      </c>
      <c r="N1397">
        <v>37406.86</v>
      </c>
      <c r="O1397">
        <v>2839068.6</v>
      </c>
      <c r="P1397">
        <v>427042.08</v>
      </c>
      <c r="Q1397" s="1" t="s">
        <v>4523</v>
      </c>
      <c r="R1397">
        <v>23</v>
      </c>
      <c r="S1397" s="1" t="s">
        <v>4524</v>
      </c>
      <c r="T1397" t="b">
        <v>0</v>
      </c>
    </row>
    <row r="1398" spans="1:20" x14ac:dyDescent="0.25">
      <c r="A1398" s="1" t="s">
        <v>4525</v>
      </c>
      <c r="B1398" s="1" t="s">
        <v>418</v>
      </c>
      <c r="C1398" s="1" t="s">
        <v>2256</v>
      </c>
      <c r="D1398" s="1" t="s">
        <v>130</v>
      </c>
      <c r="E1398" s="1" t="s">
        <v>49</v>
      </c>
      <c r="F1398" s="1" t="s">
        <v>66</v>
      </c>
      <c r="G1398" s="2">
        <v>44942</v>
      </c>
      <c r="H1398" s="2"/>
      <c r="I1398">
        <v>25</v>
      </c>
      <c r="J1398">
        <v>22</v>
      </c>
      <c r="K1398">
        <v>0</v>
      </c>
      <c r="L1398" s="1" t="s">
        <v>26</v>
      </c>
      <c r="M1398">
        <v>136.69999999999999</v>
      </c>
      <c r="N1398">
        <v>600846.29</v>
      </c>
      <c r="O1398">
        <v>2822740.96</v>
      </c>
      <c r="P1398">
        <v>386458.25</v>
      </c>
      <c r="Q1398" s="1" t="s">
        <v>4526</v>
      </c>
      <c r="R1398">
        <v>46</v>
      </c>
      <c r="S1398" s="1" t="s">
        <v>4527</v>
      </c>
      <c r="T1398" t="b">
        <v>1</v>
      </c>
    </row>
    <row r="1399" spans="1:20" x14ac:dyDescent="0.25">
      <c r="A1399" s="1" t="s">
        <v>4528</v>
      </c>
      <c r="B1399" s="1" t="s">
        <v>566</v>
      </c>
      <c r="C1399" s="1" t="s">
        <v>143</v>
      </c>
      <c r="D1399" s="1" t="s">
        <v>249</v>
      </c>
      <c r="E1399" s="1" t="s">
        <v>24</v>
      </c>
      <c r="F1399" s="1" t="s">
        <v>25</v>
      </c>
      <c r="G1399" s="2">
        <v>44949</v>
      </c>
      <c r="H1399" s="2">
        <v>44954</v>
      </c>
      <c r="I1399">
        <v>3</v>
      </c>
      <c r="J1399">
        <v>5</v>
      </c>
      <c r="K1399">
        <v>2</v>
      </c>
      <c r="L1399" s="1" t="s">
        <v>26</v>
      </c>
      <c r="M1399">
        <v>79.099999999999994</v>
      </c>
      <c r="N1399">
        <v>336447.03</v>
      </c>
      <c r="O1399">
        <v>4740435.32</v>
      </c>
      <c r="P1399">
        <v>841393.89</v>
      </c>
      <c r="Q1399" s="1" t="s">
        <v>4529</v>
      </c>
      <c r="R1399">
        <v>33</v>
      </c>
      <c r="S1399" s="1" t="s">
        <v>4530</v>
      </c>
      <c r="T1399" t="b">
        <v>0</v>
      </c>
    </row>
    <row r="1400" spans="1:20" x14ac:dyDescent="0.25">
      <c r="A1400" s="1" t="s">
        <v>4531</v>
      </c>
      <c r="B1400" s="1" t="s">
        <v>242</v>
      </c>
      <c r="C1400" s="1" t="s">
        <v>4532</v>
      </c>
      <c r="D1400" s="1" t="s">
        <v>344</v>
      </c>
      <c r="E1400" s="1" t="s">
        <v>65</v>
      </c>
      <c r="F1400" s="1" t="s">
        <v>66</v>
      </c>
      <c r="G1400" s="2">
        <v>45539</v>
      </c>
      <c r="H1400" s="2"/>
      <c r="I1400">
        <v>4</v>
      </c>
      <c r="J1400">
        <v>8</v>
      </c>
      <c r="K1400">
        <v>3.5</v>
      </c>
      <c r="L1400" s="1" t="s">
        <v>193</v>
      </c>
      <c r="M1400">
        <v>100.2</v>
      </c>
      <c r="N1400">
        <v>302357.26</v>
      </c>
      <c r="O1400">
        <v>944582.38</v>
      </c>
      <c r="P1400">
        <v>238959.09</v>
      </c>
      <c r="Q1400" s="1" t="s">
        <v>3785</v>
      </c>
      <c r="R1400">
        <v>23</v>
      </c>
      <c r="S1400" s="1" t="s">
        <v>4533</v>
      </c>
      <c r="T1400" t="b">
        <v>0</v>
      </c>
    </row>
    <row r="1401" spans="1:20" x14ac:dyDescent="0.25">
      <c r="A1401" s="1" t="s">
        <v>4534</v>
      </c>
      <c r="B1401" s="1" t="s">
        <v>272</v>
      </c>
      <c r="C1401" s="1" t="s">
        <v>335</v>
      </c>
      <c r="D1401" s="1" t="s">
        <v>192</v>
      </c>
      <c r="E1401" s="1" t="s">
        <v>33</v>
      </c>
      <c r="F1401" s="1" t="s">
        <v>25</v>
      </c>
      <c r="G1401" s="2">
        <v>45067</v>
      </c>
      <c r="H1401" s="2">
        <v>45076</v>
      </c>
      <c r="I1401">
        <v>12</v>
      </c>
      <c r="J1401">
        <v>9</v>
      </c>
      <c r="K1401">
        <v>0</v>
      </c>
      <c r="L1401" s="1" t="s">
        <v>26</v>
      </c>
      <c r="M1401">
        <v>101.1</v>
      </c>
      <c r="N1401">
        <v>385625.36</v>
      </c>
      <c r="O1401">
        <v>4880480.78</v>
      </c>
      <c r="P1401">
        <v>842308.71</v>
      </c>
      <c r="Q1401" s="1" t="s">
        <v>4535</v>
      </c>
      <c r="R1401">
        <v>77</v>
      </c>
      <c r="S1401" s="1" t="s">
        <v>4536</v>
      </c>
      <c r="T1401" t="b">
        <v>1</v>
      </c>
    </row>
    <row r="1402" spans="1:20" x14ac:dyDescent="0.25">
      <c r="A1402" s="1" t="s">
        <v>4537</v>
      </c>
      <c r="B1402" s="1" t="s">
        <v>93</v>
      </c>
      <c r="C1402" s="1" t="s">
        <v>1542</v>
      </c>
      <c r="D1402" s="1" t="s">
        <v>32</v>
      </c>
      <c r="E1402" s="1" t="s">
        <v>24</v>
      </c>
      <c r="F1402" s="1" t="s">
        <v>25</v>
      </c>
      <c r="G1402" s="2">
        <v>45155</v>
      </c>
      <c r="H1402" s="2">
        <v>45159</v>
      </c>
      <c r="I1402">
        <v>3</v>
      </c>
      <c r="J1402">
        <v>4</v>
      </c>
      <c r="K1402">
        <v>1</v>
      </c>
      <c r="L1402" s="1" t="s">
        <v>26</v>
      </c>
      <c r="M1402">
        <v>60.6</v>
      </c>
      <c r="N1402">
        <v>133098.45000000001</v>
      </c>
      <c r="O1402">
        <v>3088529.1</v>
      </c>
      <c r="P1402">
        <v>562816.06999999995</v>
      </c>
      <c r="Q1402" s="1" t="s">
        <v>4538</v>
      </c>
      <c r="R1402">
        <v>38</v>
      </c>
      <c r="S1402" s="1" t="s">
        <v>4539</v>
      </c>
      <c r="T1402" t="b">
        <v>1</v>
      </c>
    </row>
    <row r="1403" spans="1:20" x14ac:dyDescent="0.25">
      <c r="A1403" s="1" t="s">
        <v>4540</v>
      </c>
      <c r="B1403" s="1" t="s">
        <v>70</v>
      </c>
      <c r="C1403" s="1" t="s">
        <v>721</v>
      </c>
      <c r="D1403" s="1" t="s">
        <v>130</v>
      </c>
      <c r="E1403" s="1" t="s">
        <v>24</v>
      </c>
      <c r="F1403" s="1" t="s">
        <v>25</v>
      </c>
      <c r="G1403" s="2">
        <v>45007</v>
      </c>
      <c r="H1403" s="2">
        <v>45008</v>
      </c>
      <c r="I1403">
        <v>3</v>
      </c>
      <c r="J1403">
        <v>1</v>
      </c>
      <c r="K1403">
        <v>0</v>
      </c>
      <c r="L1403" s="1" t="s">
        <v>26</v>
      </c>
      <c r="M1403">
        <v>6.4</v>
      </c>
      <c r="N1403">
        <v>25543.19</v>
      </c>
      <c r="O1403">
        <v>2483573.66</v>
      </c>
      <c r="P1403">
        <v>289126.98</v>
      </c>
      <c r="Q1403" s="1" t="s">
        <v>4541</v>
      </c>
      <c r="R1403">
        <v>59</v>
      </c>
      <c r="S1403" s="1" t="s">
        <v>4542</v>
      </c>
      <c r="T1403" t="b">
        <v>0</v>
      </c>
    </row>
    <row r="1404" spans="1:20" x14ac:dyDescent="0.25">
      <c r="A1404" s="1" t="s">
        <v>4543</v>
      </c>
      <c r="B1404" s="1" t="s">
        <v>471</v>
      </c>
      <c r="C1404" s="1" t="s">
        <v>2338</v>
      </c>
      <c r="D1404" s="1" t="s">
        <v>655</v>
      </c>
      <c r="E1404" s="1" t="s">
        <v>41</v>
      </c>
      <c r="F1404" s="1" t="s">
        <v>25</v>
      </c>
      <c r="G1404" s="2">
        <v>45232</v>
      </c>
      <c r="H1404" s="2">
        <v>45239</v>
      </c>
      <c r="I1404">
        <v>9</v>
      </c>
      <c r="J1404">
        <v>7</v>
      </c>
      <c r="K1404">
        <v>0</v>
      </c>
      <c r="L1404" s="1" t="s">
        <v>26</v>
      </c>
      <c r="M1404">
        <v>41.4</v>
      </c>
      <c r="N1404">
        <v>162368.38</v>
      </c>
      <c r="O1404">
        <v>4699710.04</v>
      </c>
      <c r="P1404">
        <v>552056.1</v>
      </c>
      <c r="Q1404" s="1" t="s">
        <v>4544</v>
      </c>
      <c r="R1404">
        <v>31</v>
      </c>
      <c r="S1404" s="1" t="s">
        <v>4545</v>
      </c>
      <c r="T1404" t="b">
        <v>1</v>
      </c>
    </row>
    <row r="1405" spans="1:20" x14ac:dyDescent="0.25">
      <c r="A1405" s="1" t="s">
        <v>4546</v>
      </c>
      <c r="B1405" s="1" t="s">
        <v>253</v>
      </c>
      <c r="C1405" s="1" t="s">
        <v>4467</v>
      </c>
      <c r="D1405" s="1" t="s">
        <v>176</v>
      </c>
      <c r="E1405" s="1" t="s">
        <v>57</v>
      </c>
      <c r="F1405" s="1" t="s">
        <v>25</v>
      </c>
      <c r="G1405" s="2">
        <v>45251</v>
      </c>
      <c r="H1405" s="2">
        <v>45307</v>
      </c>
      <c r="I1405">
        <v>40</v>
      </c>
      <c r="J1405">
        <v>56</v>
      </c>
      <c r="K1405">
        <v>16</v>
      </c>
      <c r="L1405" s="1" t="s">
        <v>26</v>
      </c>
      <c r="M1405">
        <v>850.6</v>
      </c>
      <c r="N1405">
        <v>3812372.8</v>
      </c>
      <c r="O1405">
        <v>2146254.66</v>
      </c>
      <c r="P1405">
        <v>1157409.3999999999</v>
      </c>
      <c r="Q1405" s="1" t="s">
        <v>4547</v>
      </c>
      <c r="R1405">
        <v>78</v>
      </c>
      <c r="S1405" s="1" t="s">
        <v>4548</v>
      </c>
      <c r="T1405" t="b">
        <v>1</v>
      </c>
    </row>
    <row r="1406" spans="1:20" x14ac:dyDescent="0.25">
      <c r="A1406" s="1" t="s">
        <v>4549</v>
      </c>
      <c r="B1406" s="1" t="s">
        <v>38</v>
      </c>
      <c r="C1406" s="1" t="s">
        <v>546</v>
      </c>
      <c r="D1406" s="1" t="s">
        <v>686</v>
      </c>
      <c r="E1406" s="1" t="s">
        <v>65</v>
      </c>
      <c r="F1406" s="1" t="s">
        <v>66</v>
      </c>
      <c r="G1406" s="2">
        <v>45319</v>
      </c>
      <c r="H1406" s="2"/>
      <c r="I1406">
        <v>4</v>
      </c>
      <c r="J1406">
        <v>3</v>
      </c>
      <c r="K1406">
        <v>0</v>
      </c>
      <c r="L1406" s="1" t="s">
        <v>26</v>
      </c>
      <c r="M1406">
        <v>43.7</v>
      </c>
      <c r="N1406">
        <v>88709.81</v>
      </c>
      <c r="O1406">
        <v>3297819.96</v>
      </c>
      <c r="P1406">
        <v>421963.27</v>
      </c>
      <c r="Q1406" s="1" t="s">
        <v>4550</v>
      </c>
      <c r="R1406">
        <v>79</v>
      </c>
      <c r="S1406" s="1" t="s">
        <v>4551</v>
      </c>
      <c r="T1406" t="b">
        <v>0</v>
      </c>
    </row>
    <row r="1407" spans="1:20" x14ac:dyDescent="0.25">
      <c r="A1407" s="1" t="s">
        <v>4552</v>
      </c>
      <c r="B1407" s="1" t="s">
        <v>174</v>
      </c>
      <c r="C1407" s="1" t="s">
        <v>3623</v>
      </c>
      <c r="D1407" s="1" t="s">
        <v>268</v>
      </c>
      <c r="E1407" s="1" t="s">
        <v>65</v>
      </c>
      <c r="F1407" s="1" t="s">
        <v>25</v>
      </c>
      <c r="G1407" s="2">
        <v>45244</v>
      </c>
      <c r="H1407" s="2">
        <v>45249</v>
      </c>
      <c r="I1407">
        <v>4</v>
      </c>
      <c r="J1407">
        <v>5</v>
      </c>
      <c r="K1407">
        <v>0.5</v>
      </c>
      <c r="L1407" s="1" t="s">
        <v>26</v>
      </c>
      <c r="M1407">
        <v>71</v>
      </c>
      <c r="N1407">
        <v>129089.67</v>
      </c>
      <c r="O1407">
        <v>1247064.98</v>
      </c>
      <c r="P1407">
        <v>266888.2</v>
      </c>
      <c r="Q1407" s="1" t="s">
        <v>4553</v>
      </c>
      <c r="R1407">
        <v>24</v>
      </c>
      <c r="S1407" s="1" t="s">
        <v>4554</v>
      </c>
      <c r="T1407" t="b">
        <v>1</v>
      </c>
    </row>
    <row r="1408" spans="1:20" x14ac:dyDescent="0.25">
      <c r="A1408" s="1" t="s">
        <v>4555</v>
      </c>
      <c r="B1408" s="1" t="s">
        <v>30</v>
      </c>
      <c r="C1408" s="1" t="s">
        <v>705</v>
      </c>
      <c r="D1408" s="1" t="s">
        <v>107</v>
      </c>
      <c r="E1408" s="1" t="s">
        <v>41</v>
      </c>
      <c r="F1408" s="1" t="s">
        <v>66</v>
      </c>
      <c r="G1408" s="2">
        <v>45549</v>
      </c>
      <c r="H1408" s="2"/>
      <c r="I1408">
        <v>9</v>
      </c>
      <c r="J1408">
        <v>8</v>
      </c>
      <c r="K1408">
        <v>0</v>
      </c>
      <c r="L1408" s="1" t="s">
        <v>26</v>
      </c>
      <c r="M1408">
        <v>113.6</v>
      </c>
      <c r="N1408">
        <v>234211.33</v>
      </c>
      <c r="O1408">
        <v>268630.71999999997</v>
      </c>
      <c r="P1408">
        <v>74933.119999999995</v>
      </c>
      <c r="Q1408" s="1" t="s">
        <v>4556</v>
      </c>
      <c r="R1408">
        <v>34</v>
      </c>
      <c r="S1408" s="1" t="s">
        <v>4557</v>
      </c>
      <c r="T1408" t="b">
        <v>0</v>
      </c>
    </row>
    <row r="1409" spans="1:20" x14ac:dyDescent="0.25">
      <c r="A1409" s="1" t="s">
        <v>4558</v>
      </c>
      <c r="B1409" s="1" t="s">
        <v>82</v>
      </c>
      <c r="C1409" s="1" t="s">
        <v>521</v>
      </c>
      <c r="D1409" s="1" t="s">
        <v>655</v>
      </c>
      <c r="E1409" s="1" t="s">
        <v>49</v>
      </c>
      <c r="F1409" s="1" t="s">
        <v>50</v>
      </c>
      <c r="G1409" s="2">
        <v>44738</v>
      </c>
      <c r="H1409" s="2"/>
      <c r="I1409">
        <v>25</v>
      </c>
      <c r="J1409">
        <v>31</v>
      </c>
      <c r="K1409">
        <v>6</v>
      </c>
      <c r="L1409" s="1" t="s">
        <v>101</v>
      </c>
      <c r="M1409">
        <v>190.7</v>
      </c>
      <c r="N1409">
        <v>366424.13</v>
      </c>
      <c r="O1409">
        <v>3478098.87</v>
      </c>
      <c r="P1409">
        <v>704826.39</v>
      </c>
      <c r="Q1409" s="1" t="s">
        <v>4559</v>
      </c>
      <c r="R1409">
        <v>50</v>
      </c>
      <c r="S1409" s="1" t="s">
        <v>4560</v>
      </c>
      <c r="T1409" t="b">
        <v>1</v>
      </c>
    </row>
    <row r="1410" spans="1:20" x14ac:dyDescent="0.25">
      <c r="A1410" s="1" t="s">
        <v>4561</v>
      </c>
      <c r="B1410" s="1" t="s">
        <v>99</v>
      </c>
      <c r="C1410" s="1" t="s">
        <v>776</v>
      </c>
      <c r="D1410" s="1" t="s">
        <v>541</v>
      </c>
      <c r="E1410" s="1" t="s">
        <v>65</v>
      </c>
      <c r="F1410" s="1" t="s">
        <v>25</v>
      </c>
      <c r="G1410" s="2">
        <v>44992</v>
      </c>
      <c r="H1410" s="2">
        <v>44996</v>
      </c>
      <c r="I1410">
        <v>4</v>
      </c>
      <c r="J1410">
        <v>4</v>
      </c>
      <c r="K1410">
        <v>0</v>
      </c>
      <c r="L1410" s="1" t="s">
        <v>26</v>
      </c>
      <c r="M1410">
        <v>30.3</v>
      </c>
      <c r="N1410">
        <v>69580.649999999994</v>
      </c>
      <c r="O1410">
        <v>1476676.83</v>
      </c>
      <c r="P1410">
        <v>308680.38</v>
      </c>
      <c r="Q1410" s="1" t="s">
        <v>4562</v>
      </c>
      <c r="R1410">
        <v>37</v>
      </c>
      <c r="S1410" s="1" t="s">
        <v>4563</v>
      </c>
      <c r="T1410" t="b">
        <v>0</v>
      </c>
    </row>
    <row r="1411" spans="1:20" x14ac:dyDescent="0.25">
      <c r="A1411" s="1" t="s">
        <v>4564</v>
      </c>
      <c r="B1411" s="1" t="s">
        <v>451</v>
      </c>
      <c r="C1411" s="1" t="s">
        <v>638</v>
      </c>
      <c r="D1411" s="1" t="s">
        <v>758</v>
      </c>
      <c r="E1411" s="1" t="s">
        <v>33</v>
      </c>
      <c r="F1411" s="1" t="s">
        <v>25</v>
      </c>
      <c r="G1411" s="2">
        <v>45445</v>
      </c>
      <c r="H1411" s="2">
        <v>45462</v>
      </c>
      <c r="I1411">
        <v>12</v>
      </c>
      <c r="J1411">
        <v>17</v>
      </c>
      <c r="K1411">
        <v>5</v>
      </c>
      <c r="L1411" s="1" t="s">
        <v>58</v>
      </c>
      <c r="M1411">
        <v>263.60000000000002</v>
      </c>
      <c r="N1411">
        <v>770543.28</v>
      </c>
      <c r="O1411">
        <v>652067.27</v>
      </c>
      <c r="P1411">
        <v>174339.88</v>
      </c>
      <c r="Q1411" s="1" t="s">
        <v>4565</v>
      </c>
      <c r="R1411">
        <v>24</v>
      </c>
      <c r="S1411" s="1" t="s">
        <v>4566</v>
      </c>
      <c r="T1411" t="b">
        <v>1</v>
      </c>
    </row>
    <row r="1412" spans="1:20" x14ac:dyDescent="0.25">
      <c r="A1412" s="1" t="s">
        <v>4567</v>
      </c>
      <c r="B1412" s="1" t="s">
        <v>122</v>
      </c>
      <c r="C1412" s="1" t="s">
        <v>1664</v>
      </c>
      <c r="D1412" s="1" t="s">
        <v>670</v>
      </c>
      <c r="E1412" s="1" t="s">
        <v>41</v>
      </c>
      <c r="F1412" s="1" t="s">
        <v>25</v>
      </c>
      <c r="G1412" s="2">
        <v>45527</v>
      </c>
      <c r="H1412" s="2">
        <v>45541</v>
      </c>
      <c r="I1412">
        <v>9</v>
      </c>
      <c r="J1412">
        <v>14</v>
      </c>
      <c r="K1412">
        <v>5</v>
      </c>
      <c r="L1412" s="1" t="s">
        <v>42</v>
      </c>
      <c r="M1412">
        <v>149.6</v>
      </c>
      <c r="N1412">
        <v>584842</v>
      </c>
      <c r="O1412">
        <v>1792826.84</v>
      </c>
      <c r="P1412">
        <v>352684.67</v>
      </c>
      <c r="Q1412" s="1" t="s">
        <v>4568</v>
      </c>
      <c r="R1412">
        <v>37</v>
      </c>
      <c r="S1412" s="1" t="s">
        <v>4569</v>
      </c>
      <c r="T1412" t="b">
        <v>0</v>
      </c>
    </row>
    <row r="1413" spans="1:20" x14ac:dyDescent="0.25">
      <c r="A1413" s="1" t="s">
        <v>4570</v>
      </c>
      <c r="B1413" s="1" t="s">
        <v>158</v>
      </c>
      <c r="C1413" s="1" t="s">
        <v>1066</v>
      </c>
      <c r="D1413" s="1" t="s">
        <v>758</v>
      </c>
      <c r="E1413" s="1" t="s">
        <v>57</v>
      </c>
      <c r="F1413" s="1" t="s">
        <v>25</v>
      </c>
      <c r="G1413" s="2">
        <v>45347</v>
      </c>
      <c r="H1413" s="2">
        <v>45369</v>
      </c>
      <c r="I1413">
        <v>40</v>
      </c>
      <c r="J1413">
        <v>22</v>
      </c>
      <c r="K1413">
        <v>0</v>
      </c>
      <c r="L1413" s="1" t="s">
        <v>26</v>
      </c>
      <c r="M1413">
        <v>247.7</v>
      </c>
      <c r="N1413">
        <v>494932.17</v>
      </c>
      <c r="O1413">
        <v>3975981.44</v>
      </c>
      <c r="P1413">
        <v>674608.77</v>
      </c>
      <c r="Q1413" s="1" t="s">
        <v>4571</v>
      </c>
      <c r="R1413">
        <v>77</v>
      </c>
      <c r="S1413" s="1" t="s">
        <v>4572</v>
      </c>
      <c r="T1413" t="b">
        <v>0</v>
      </c>
    </row>
    <row r="1414" spans="1:20" x14ac:dyDescent="0.25">
      <c r="A1414" s="1" t="s">
        <v>4573</v>
      </c>
      <c r="B1414" s="1" t="s">
        <v>451</v>
      </c>
      <c r="C1414" s="1" t="s">
        <v>1671</v>
      </c>
      <c r="D1414" s="1" t="s">
        <v>107</v>
      </c>
      <c r="E1414" s="1" t="s">
        <v>24</v>
      </c>
      <c r="F1414" s="1" t="s">
        <v>34</v>
      </c>
      <c r="G1414" s="2">
        <v>45095</v>
      </c>
      <c r="H1414" s="2"/>
      <c r="I1414">
        <v>3</v>
      </c>
      <c r="J1414">
        <v>5</v>
      </c>
      <c r="K1414">
        <v>2</v>
      </c>
      <c r="L1414" s="1" t="s">
        <v>26</v>
      </c>
      <c r="M1414">
        <v>43.5</v>
      </c>
      <c r="N1414">
        <v>121256.8</v>
      </c>
      <c r="O1414">
        <v>3015363.94</v>
      </c>
      <c r="P1414">
        <v>350352.12</v>
      </c>
      <c r="Q1414" s="1" t="s">
        <v>4574</v>
      </c>
      <c r="R1414">
        <v>38</v>
      </c>
      <c r="S1414" s="1" t="s">
        <v>4575</v>
      </c>
      <c r="T1414" t="b">
        <v>1</v>
      </c>
    </row>
    <row r="1415" spans="1:20" x14ac:dyDescent="0.25">
      <c r="A1415" s="1" t="s">
        <v>4576</v>
      </c>
      <c r="B1415" s="1" t="s">
        <v>122</v>
      </c>
      <c r="C1415" s="1" t="s">
        <v>858</v>
      </c>
      <c r="D1415" s="1" t="s">
        <v>344</v>
      </c>
      <c r="E1415" s="1" t="s">
        <v>33</v>
      </c>
      <c r="F1415" s="1" t="s">
        <v>34</v>
      </c>
      <c r="G1415" s="2">
        <v>45065</v>
      </c>
      <c r="H1415" s="2"/>
      <c r="I1415">
        <v>12</v>
      </c>
      <c r="J1415">
        <v>10</v>
      </c>
      <c r="K1415">
        <v>0</v>
      </c>
      <c r="L1415" s="1" t="s">
        <v>26</v>
      </c>
      <c r="M1415">
        <v>78.3</v>
      </c>
      <c r="N1415">
        <v>206848.81</v>
      </c>
      <c r="O1415">
        <v>2702485.45</v>
      </c>
      <c r="P1415">
        <v>577419.06999999995</v>
      </c>
      <c r="Q1415" s="1" t="s">
        <v>4577</v>
      </c>
      <c r="R1415">
        <v>25</v>
      </c>
      <c r="S1415" s="1" t="s">
        <v>4578</v>
      </c>
      <c r="T1415" t="b">
        <v>1</v>
      </c>
    </row>
    <row r="1416" spans="1:20" x14ac:dyDescent="0.25">
      <c r="A1416" s="1" t="s">
        <v>4579</v>
      </c>
      <c r="B1416" s="1" t="s">
        <v>122</v>
      </c>
      <c r="C1416" s="1" t="s">
        <v>536</v>
      </c>
      <c r="D1416" s="1" t="s">
        <v>23</v>
      </c>
      <c r="E1416" s="1" t="s">
        <v>49</v>
      </c>
      <c r="F1416" s="1" t="s">
        <v>25</v>
      </c>
      <c r="G1416" s="2">
        <v>44990</v>
      </c>
      <c r="H1416" s="2">
        <v>45012</v>
      </c>
      <c r="I1416">
        <v>25</v>
      </c>
      <c r="J1416">
        <v>22</v>
      </c>
      <c r="K1416">
        <v>0</v>
      </c>
      <c r="L1416" s="1" t="s">
        <v>26</v>
      </c>
      <c r="M1416">
        <v>291</v>
      </c>
      <c r="N1416">
        <v>1126573.46</v>
      </c>
      <c r="O1416">
        <v>3694693.94</v>
      </c>
      <c r="P1416">
        <v>501366.29</v>
      </c>
      <c r="Q1416" s="1" t="s">
        <v>4580</v>
      </c>
      <c r="R1416">
        <v>63</v>
      </c>
      <c r="S1416" s="1" t="s">
        <v>4581</v>
      </c>
      <c r="T1416" t="b">
        <v>0</v>
      </c>
    </row>
    <row r="1417" spans="1:20" x14ac:dyDescent="0.25">
      <c r="A1417" s="1" t="s">
        <v>4582</v>
      </c>
      <c r="B1417" s="1" t="s">
        <v>128</v>
      </c>
      <c r="C1417" s="1" t="s">
        <v>1141</v>
      </c>
      <c r="D1417" s="1" t="s">
        <v>410</v>
      </c>
      <c r="E1417" s="1" t="s">
        <v>41</v>
      </c>
      <c r="F1417" s="1" t="s">
        <v>25</v>
      </c>
      <c r="G1417" s="2">
        <v>44605</v>
      </c>
      <c r="H1417" s="2">
        <v>44616</v>
      </c>
      <c r="I1417">
        <v>9</v>
      </c>
      <c r="J1417">
        <v>11</v>
      </c>
      <c r="K1417">
        <v>2</v>
      </c>
      <c r="L1417" s="1" t="s">
        <v>26</v>
      </c>
      <c r="M1417">
        <v>115.3</v>
      </c>
      <c r="N1417">
        <v>254719.58</v>
      </c>
      <c r="O1417">
        <v>1615262.78</v>
      </c>
      <c r="P1417">
        <v>300708.21999999997</v>
      </c>
      <c r="Q1417" s="1" t="s">
        <v>2006</v>
      </c>
      <c r="R1417">
        <v>47</v>
      </c>
      <c r="S1417" s="1" t="s">
        <v>4583</v>
      </c>
      <c r="T1417" t="b">
        <v>1</v>
      </c>
    </row>
    <row r="1418" spans="1:20" x14ac:dyDescent="0.25">
      <c r="A1418" s="1" t="s">
        <v>4584</v>
      </c>
      <c r="B1418" s="1" t="s">
        <v>54</v>
      </c>
      <c r="C1418" s="1" t="s">
        <v>129</v>
      </c>
      <c r="D1418" s="1" t="s">
        <v>181</v>
      </c>
      <c r="E1418" s="1" t="s">
        <v>41</v>
      </c>
      <c r="F1418" s="1" t="s">
        <v>25</v>
      </c>
      <c r="G1418" s="2">
        <v>44979</v>
      </c>
      <c r="H1418" s="2">
        <v>44987</v>
      </c>
      <c r="I1418">
        <v>9</v>
      </c>
      <c r="J1418">
        <v>8</v>
      </c>
      <c r="K1418">
        <v>0</v>
      </c>
      <c r="L1418" s="1" t="s">
        <v>26</v>
      </c>
      <c r="M1418">
        <v>101.2</v>
      </c>
      <c r="N1418">
        <v>218268.98</v>
      </c>
      <c r="O1418">
        <v>286913.91999999998</v>
      </c>
      <c r="P1418">
        <v>60110.37</v>
      </c>
      <c r="Q1418" s="1" t="s">
        <v>4585</v>
      </c>
      <c r="R1418">
        <v>52</v>
      </c>
      <c r="S1418" s="1" t="s">
        <v>4586</v>
      </c>
      <c r="T1418" t="b">
        <v>1</v>
      </c>
    </row>
    <row r="1419" spans="1:20" x14ac:dyDescent="0.25">
      <c r="A1419" s="1" t="s">
        <v>4587</v>
      </c>
      <c r="B1419" s="1" t="s">
        <v>158</v>
      </c>
      <c r="C1419" s="1" t="s">
        <v>277</v>
      </c>
      <c r="D1419" s="1" t="s">
        <v>244</v>
      </c>
      <c r="E1419" s="1" t="s">
        <v>65</v>
      </c>
      <c r="F1419" s="1" t="s">
        <v>25</v>
      </c>
      <c r="G1419" s="2">
        <v>45446</v>
      </c>
      <c r="H1419" s="2">
        <v>45454</v>
      </c>
      <c r="I1419">
        <v>4</v>
      </c>
      <c r="J1419">
        <v>8</v>
      </c>
      <c r="K1419">
        <v>3.5</v>
      </c>
      <c r="L1419" s="1" t="s">
        <v>26</v>
      </c>
      <c r="M1419">
        <v>127.3</v>
      </c>
      <c r="N1419">
        <v>243768.34</v>
      </c>
      <c r="O1419">
        <v>849256.11</v>
      </c>
      <c r="P1419">
        <v>216314.78</v>
      </c>
      <c r="Q1419" s="1" t="s">
        <v>4190</v>
      </c>
      <c r="R1419">
        <v>66</v>
      </c>
      <c r="S1419" s="1" t="s">
        <v>4588</v>
      </c>
      <c r="T1419" t="b">
        <v>0</v>
      </c>
    </row>
    <row r="1420" spans="1:20" x14ac:dyDescent="0.25">
      <c r="A1420" s="1" t="s">
        <v>4589</v>
      </c>
      <c r="B1420" s="1" t="s">
        <v>99</v>
      </c>
      <c r="C1420" s="1" t="s">
        <v>1241</v>
      </c>
      <c r="D1420" s="1" t="s">
        <v>202</v>
      </c>
      <c r="E1420" s="1" t="s">
        <v>33</v>
      </c>
      <c r="F1420" s="1" t="s">
        <v>25</v>
      </c>
      <c r="G1420" s="2">
        <v>45017</v>
      </c>
      <c r="H1420" s="2">
        <v>45026</v>
      </c>
      <c r="I1420">
        <v>12</v>
      </c>
      <c r="J1420">
        <v>9</v>
      </c>
      <c r="K1420">
        <v>0</v>
      </c>
      <c r="L1420" s="1" t="s">
        <v>26</v>
      </c>
      <c r="M1420">
        <v>109.5</v>
      </c>
      <c r="N1420">
        <v>466280.02</v>
      </c>
      <c r="O1420">
        <v>4055676.79</v>
      </c>
      <c r="P1420">
        <v>623384.44999999995</v>
      </c>
      <c r="Q1420" s="1" t="s">
        <v>4590</v>
      </c>
      <c r="R1420">
        <v>23</v>
      </c>
      <c r="S1420" s="1" t="s">
        <v>4591</v>
      </c>
      <c r="T1420" t="b">
        <v>0</v>
      </c>
    </row>
    <row r="1421" spans="1:20" x14ac:dyDescent="0.25">
      <c r="A1421" s="1" t="s">
        <v>4592</v>
      </c>
      <c r="B1421" s="1" t="s">
        <v>174</v>
      </c>
      <c r="C1421" s="1" t="s">
        <v>946</v>
      </c>
      <c r="D1421" s="1" t="s">
        <v>505</v>
      </c>
      <c r="E1421" s="1" t="s">
        <v>65</v>
      </c>
      <c r="F1421" s="1" t="s">
        <v>25</v>
      </c>
      <c r="G1421" s="2">
        <v>44895</v>
      </c>
      <c r="H1421" s="2">
        <v>44898</v>
      </c>
      <c r="I1421">
        <v>4</v>
      </c>
      <c r="J1421">
        <v>3</v>
      </c>
      <c r="K1421">
        <v>0</v>
      </c>
      <c r="L1421" s="1" t="s">
        <v>26</v>
      </c>
      <c r="M1421">
        <v>35.700000000000003</v>
      </c>
      <c r="N1421">
        <v>75001.55</v>
      </c>
      <c r="O1421">
        <v>3284426.89</v>
      </c>
      <c r="P1421">
        <v>346810.11</v>
      </c>
      <c r="Q1421" s="1" t="s">
        <v>4593</v>
      </c>
      <c r="R1421">
        <v>40</v>
      </c>
      <c r="S1421" s="1" t="s">
        <v>4594</v>
      </c>
      <c r="T1421" t="b">
        <v>1</v>
      </c>
    </row>
    <row r="1422" spans="1:20" x14ac:dyDescent="0.25">
      <c r="A1422" s="1" t="s">
        <v>4595</v>
      </c>
      <c r="B1422" s="1" t="s">
        <v>62</v>
      </c>
      <c r="C1422" s="1" t="s">
        <v>932</v>
      </c>
      <c r="D1422" s="1" t="s">
        <v>89</v>
      </c>
      <c r="E1422" s="1" t="s">
        <v>41</v>
      </c>
      <c r="F1422" s="1" t="s">
        <v>25</v>
      </c>
      <c r="G1422" s="2">
        <v>45525</v>
      </c>
      <c r="H1422" s="2">
        <v>45535</v>
      </c>
      <c r="I1422">
        <v>9</v>
      </c>
      <c r="J1422">
        <v>10</v>
      </c>
      <c r="K1422">
        <v>1</v>
      </c>
      <c r="L1422" s="1" t="s">
        <v>26</v>
      </c>
      <c r="M1422">
        <v>97.3</v>
      </c>
      <c r="N1422">
        <v>246764.42</v>
      </c>
      <c r="O1422">
        <v>3558728.99</v>
      </c>
      <c r="P1422">
        <v>493293.13</v>
      </c>
      <c r="Q1422" s="1" t="s">
        <v>4596</v>
      </c>
      <c r="R1422">
        <v>77</v>
      </c>
      <c r="S1422" s="1" t="s">
        <v>4597</v>
      </c>
      <c r="T1422" t="b">
        <v>1</v>
      </c>
    </row>
    <row r="1423" spans="1:20" x14ac:dyDescent="0.25">
      <c r="A1423" s="1" t="s">
        <v>4598</v>
      </c>
      <c r="B1423" s="1" t="s">
        <v>38</v>
      </c>
      <c r="C1423" s="1" t="s">
        <v>39</v>
      </c>
      <c r="D1423" s="1" t="s">
        <v>165</v>
      </c>
      <c r="E1423" s="1" t="s">
        <v>33</v>
      </c>
      <c r="F1423" s="1" t="s">
        <v>25</v>
      </c>
      <c r="G1423" s="2">
        <v>44964</v>
      </c>
      <c r="H1423" s="2">
        <v>44982</v>
      </c>
      <c r="I1423">
        <v>12</v>
      </c>
      <c r="J1423">
        <v>18</v>
      </c>
      <c r="K1423">
        <v>6</v>
      </c>
      <c r="L1423" s="1" t="s">
        <v>330</v>
      </c>
      <c r="M1423">
        <v>85.7</v>
      </c>
      <c r="N1423">
        <v>244595.01</v>
      </c>
      <c r="O1423">
        <v>376409.42</v>
      </c>
      <c r="P1423">
        <v>100452.84</v>
      </c>
      <c r="Q1423" s="1" t="s">
        <v>4599</v>
      </c>
      <c r="R1423">
        <v>44</v>
      </c>
      <c r="S1423" s="1" t="s">
        <v>4600</v>
      </c>
      <c r="T1423" t="b">
        <v>0</v>
      </c>
    </row>
    <row r="1424" spans="1:20" x14ac:dyDescent="0.25">
      <c r="A1424" s="1" t="s">
        <v>4601</v>
      </c>
      <c r="B1424" s="1" t="s">
        <v>128</v>
      </c>
      <c r="C1424" s="1" t="s">
        <v>1426</v>
      </c>
      <c r="D1424" s="1" t="s">
        <v>288</v>
      </c>
      <c r="E1424" s="1" t="s">
        <v>65</v>
      </c>
      <c r="F1424" s="1" t="s">
        <v>25</v>
      </c>
      <c r="G1424" s="2">
        <v>44832</v>
      </c>
      <c r="H1424" s="2">
        <v>44836</v>
      </c>
      <c r="I1424">
        <v>4</v>
      </c>
      <c r="J1424">
        <v>4</v>
      </c>
      <c r="K1424">
        <v>0</v>
      </c>
      <c r="L1424" s="1" t="s">
        <v>26</v>
      </c>
      <c r="M1424">
        <v>31.7</v>
      </c>
      <c r="N1424">
        <v>122018.03</v>
      </c>
      <c r="O1424">
        <v>1885875.36</v>
      </c>
      <c r="P1424">
        <v>201346.74</v>
      </c>
      <c r="Q1424" s="1" t="s">
        <v>4602</v>
      </c>
      <c r="R1424">
        <v>54</v>
      </c>
      <c r="S1424" s="1" t="s">
        <v>4603</v>
      </c>
      <c r="T1424" t="b">
        <v>0</v>
      </c>
    </row>
    <row r="1425" spans="1:20" x14ac:dyDescent="0.25">
      <c r="A1425" s="1" t="s">
        <v>4604</v>
      </c>
      <c r="B1425" s="1" t="s">
        <v>62</v>
      </c>
      <c r="C1425" s="1" t="s">
        <v>837</v>
      </c>
      <c r="D1425" s="1" t="s">
        <v>249</v>
      </c>
      <c r="E1425" s="1" t="s">
        <v>57</v>
      </c>
      <c r="F1425" s="1" t="s">
        <v>25</v>
      </c>
      <c r="G1425" s="2">
        <v>44595</v>
      </c>
      <c r="H1425" s="2">
        <v>44646</v>
      </c>
      <c r="I1425">
        <v>40</v>
      </c>
      <c r="J1425">
        <v>51</v>
      </c>
      <c r="K1425">
        <v>11</v>
      </c>
      <c r="L1425" s="1" t="s">
        <v>42</v>
      </c>
      <c r="M1425">
        <v>701.5</v>
      </c>
      <c r="N1425">
        <v>2981012.4</v>
      </c>
      <c r="O1425">
        <v>39628.92</v>
      </c>
      <c r="P1425">
        <v>575990.85</v>
      </c>
      <c r="Q1425" s="1" t="s">
        <v>4605</v>
      </c>
      <c r="R1425">
        <v>22</v>
      </c>
      <c r="S1425" s="1" t="s">
        <v>4606</v>
      </c>
      <c r="T1425" t="b">
        <v>0</v>
      </c>
    </row>
    <row r="1426" spans="1:20" x14ac:dyDescent="0.25">
      <c r="A1426" s="1" t="s">
        <v>4607</v>
      </c>
      <c r="B1426" s="1" t="s">
        <v>272</v>
      </c>
      <c r="C1426" s="1" t="s">
        <v>1939</v>
      </c>
      <c r="D1426" s="1" t="s">
        <v>130</v>
      </c>
      <c r="E1426" s="1" t="s">
        <v>57</v>
      </c>
      <c r="F1426" s="1" t="s">
        <v>25</v>
      </c>
      <c r="G1426" s="2">
        <v>45372</v>
      </c>
      <c r="H1426" s="2">
        <v>45392</v>
      </c>
      <c r="I1426">
        <v>40</v>
      </c>
      <c r="J1426">
        <v>20</v>
      </c>
      <c r="K1426">
        <v>0</v>
      </c>
      <c r="L1426" s="1" t="s">
        <v>26</v>
      </c>
      <c r="M1426">
        <v>169</v>
      </c>
      <c r="N1426">
        <v>363183.94</v>
      </c>
      <c r="O1426">
        <v>2659200.15</v>
      </c>
      <c r="P1426">
        <v>495994.7</v>
      </c>
      <c r="Q1426" s="1" t="s">
        <v>4608</v>
      </c>
      <c r="R1426">
        <v>27</v>
      </c>
      <c r="S1426" s="1" t="s">
        <v>4609</v>
      </c>
      <c r="T1426" t="b">
        <v>1</v>
      </c>
    </row>
    <row r="1427" spans="1:20" x14ac:dyDescent="0.25">
      <c r="A1427" s="1" t="s">
        <v>4610</v>
      </c>
      <c r="B1427" s="1" t="s">
        <v>54</v>
      </c>
      <c r="C1427" s="1" t="s">
        <v>1834</v>
      </c>
      <c r="D1427" s="1" t="s">
        <v>207</v>
      </c>
      <c r="E1427" s="1" t="s">
        <v>49</v>
      </c>
      <c r="F1427" s="1" t="s">
        <v>25</v>
      </c>
      <c r="G1427" s="2">
        <v>45005</v>
      </c>
      <c r="H1427" s="2">
        <v>45033</v>
      </c>
      <c r="I1427">
        <v>25</v>
      </c>
      <c r="J1427">
        <v>28</v>
      </c>
      <c r="K1427">
        <v>3</v>
      </c>
      <c r="L1427" s="1" t="s">
        <v>26</v>
      </c>
      <c r="M1427">
        <v>151.69999999999999</v>
      </c>
      <c r="N1427">
        <v>340605</v>
      </c>
      <c r="O1427">
        <v>4029415.51</v>
      </c>
      <c r="P1427">
        <v>540684.11</v>
      </c>
      <c r="Q1427" s="1" t="s">
        <v>1876</v>
      </c>
      <c r="R1427">
        <v>30</v>
      </c>
      <c r="S1427" s="1" t="s">
        <v>4611</v>
      </c>
      <c r="T1427" t="b">
        <v>1</v>
      </c>
    </row>
    <row r="1428" spans="1:20" x14ac:dyDescent="0.25">
      <c r="A1428" s="1" t="s">
        <v>4612</v>
      </c>
      <c r="B1428" s="1" t="s">
        <v>138</v>
      </c>
      <c r="C1428" s="1" t="s">
        <v>685</v>
      </c>
      <c r="D1428" s="1" t="s">
        <v>320</v>
      </c>
      <c r="E1428" s="1" t="s">
        <v>24</v>
      </c>
      <c r="F1428" s="1" t="s">
        <v>66</v>
      </c>
      <c r="G1428" s="2">
        <v>45504</v>
      </c>
      <c r="H1428" s="2"/>
      <c r="I1428">
        <v>3</v>
      </c>
      <c r="J1428">
        <v>4</v>
      </c>
      <c r="K1428">
        <v>1</v>
      </c>
      <c r="L1428" s="1" t="s">
        <v>26</v>
      </c>
      <c r="M1428">
        <v>49.4</v>
      </c>
      <c r="N1428">
        <v>137826.19</v>
      </c>
      <c r="O1428">
        <v>4288765.8899999997</v>
      </c>
      <c r="P1428">
        <v>696957.23</v>
      </c>
      <c r="Q1428" s="1" t="s">
        <v>4613</v>
      </c>
      <c r="R1428">
        <v>65</v>
      </c>
      <c r="S1428" s="1" t="s">
        <v>4614</v>
      </c>
      <c r="T1428" t="b">
        <v>0</v>
      </c>
    </row>
    <row r="1429" spans="1:20" x14ac:dyDescent="0.25">
      <c r="A1429" s="1" t="s">
        <v>4615</v>
      </c>
      <c r="B1429" s="1" t="s">
        <v>220</v>
      </c>
      <c r="C1429" s="1" t="s">
        <v>646</v>
      </c>
      <c r="D1429" s="1" t="s">
        <v>582</v>
      </c>
      <c r="E1429" s="1" t="s">
        <v>57</v>
      </c>
      <c r="F1429" s="1" t="s">
        <v>50</v>
      </c>
      <c r="G1429" s="2">
        <v>44650</v>
      </c>
      <c r="H1429" s="2"/>
      <c r="I1429">
        <v>40</v>
      </c>
      <c r="J1429">
        <v>49</v>
      </c>
      <c r="K1429">
        <v>9</v>
      </c>
      <c r="L1429" s="1" t="s">
        <v>101</v>
      </c>
      <c r="M1429">
        <v>401.1</v>
      </c>
      <c r="N1429">
        <v>1604305.5</v>
      </c>
      <c r="O1429">
        <v>2470053.46</v>
      </c>
      <c r="P1429">
        <v>527741.84</v>
      </c>
      <c r="Q1429" s="1" t="s">
        <v>4616</v>
      </c>
      <c r="R1429">
        <v>40</v>
      </c>
      <c r="S1429" s="1" t="s">
        <v>4617</v>
      </c>
      <c r="T1429" t="b">
        <v>0</v>
      </c>
    </row>
    <row r="1430" spans="1:20" x14ac:dyDescent="0.25">
      <c r="A1430" s="1" t="s">
        <v>4618</v>
      </c>
      <c r="B1430" s="1" t="s">
        <v>128</v>
      </c>
      <c r="C1430" s="1" t="s">
        <v>267</v>
      </c>
      <c r="D1430" s="1" t="s">
        <v>95</v>
      </c>
      <c r="E1430" s="1" t="s">
        <v>41</v>
      </c>
      <c r="F1430" s="1" t="s">
        <v>25</v>
      </c>
      <c r="G1430" s="2">
        <v>45138</v>
      </c>
      <c r="H1430" s="2">
        <v>45146</v>
      </c>
      <c r="I1430">
        <v>9</v>
      </c>
      <c r="J1430">
        <v>8</v>
      </c>
      <c r="K1430">
        <v>0</v>
      </c>
      <c r="L1430" s="1" t="s">
        <v>26</v>
      </c>
      <c r="M1430">
        <v>53.6</v>
      </c>
      <c r="N1430">
        <v>109586.27</v>
      </c>
      <c r="O1430">
        <v>2791615.33</v>
      </c>
      <c r="P1430">
        <v>473076.23</v>
      </c>
      <c r="Q1430" s="1" t="s">
        <v>4619</v>
      </c>
      <c r="R1430">
        <v>42</v>
      </c>
      <c r="S1430" s="1" t="s">
        <v>4620</v>
      </c>
      <c r="T1430" t="b">
        <v>1</v>
      </c>
    </row>
    <row r="1431" spans="1:20" x14ac:dyDescent="0.25">
      <c r="A1431" s="1" t="s">
        <v>4621</v>
      </c>
      <c r="B1431" s="1" t="s">
        <v>30</v>
      </c>
      <c r="C1431" s="1" t="s">
        <v>1903</v>
      </c>
      <c r="D1431" s="1" t="s">
        <v>107</v>
      </c>
      <c r="E1431" s="1" t="s">
        <v>24</v>
      </c>
      <c r="F1431" s="1" t="s">
        <v>50</v>
      </c>
      <c r="G1431" s="2">
        <v>45142</v>
      </c>
      <c r="H1431" s="2"/>
      <c r="I1431">
        <v>3</v>
      </c>
      <c r="J1431">
        <v>3</v>
      </c>
      <c r="K1431">
        <v>0</v>
      </c>
      <c r="L1431" s="1" t="s">
        <v>26</v>
      </c>
      <c r="M1431">
        <v>26.3</v>
      </c>
      <c r="N1431">
        <v>76180.320000000007</v>
      </c>
      <c r="O1431">
        <v>4336109.57</v>
      </c>
      <c r="P1431">
        <v>704694.75</v>
      </c>
      <c r="Q1431" s="1" t="s">
        <v>4622</v>
      </c>
      <c r="R1431">
        <v>40</v>
      </c>
      <c r="S1431" s="1" t="s">
        <v>4623</v>
      </c>
      <c r="T1431" t="b">
        <v>0</v>
      </c>
    </row>
    <row r="1432" spans="1:20" x14ac:dyDescent="0.25">
      <c r="A1432" s="1" t="s">
        <v>4624</v>
      </c>
      <c r="B1432" s="1" t="s">
        <v>169</v>
      </c>
      <c r="C1432" s="1" t="s">
        <v>529</v>
      </c>
      <c r="D1432" s="1" t="s">
        <v>40</v>
      </c>
      <c r="E1432" s="1" t="s">
        <v>33</v>
      </c>
      <c r="F1432" s="1" t="s">
        <v>25</v>
      </c>
      <c r="G1432" s="2">
        <v>45340</v>
      </c>
      <c r="H1432" s="2">
        <v>45358</v>
      </c>
      <c r="I1432">
        <v>12</v>
      </c>
      <c r="J1432">
        <v>18</v>
      </c>
      <c r="K1432">
        <v>6</v>
      </c>
      <c r="L1432" s="1" t="s">
        <v>330</v>
      </c>
      <c r="M1432">
        <v>160.19999999999999</v>
      </c>
      <c r="N1432">
        <v>639089.41</v>
      </c>
      <c r="O1432">
        <v>4203378.71</v>
      </c>
      <c r="P1432">
        <v>634168.13</v>
      </c>
      <c r="Q1432" s="1" t="s">
        <v>4625</v>
      </c>
      <c r="R1432">
        <v>46</v>
      </c>
      <c r="S1432" s="1" t="s">
        <v>4626</v>
      </c>
      <c r="T1432" t="b">
        <v>0</v>
      </c>
    </row>
    <row r="1433" spans="1:20" x14ac:dyDescent="0.25">
      <c r="A1433" s="1" t="s">
        <v>4627</v>
      </c>
      <c r="B1433" s="1" t="s">
        <v>272</v>
      </c>
      <c r="C1433" s="1" t="s">
        <v>614</v>
      </c>
      <c r="D1433" s="1" t="s">
        <v>230</v>
      </c>
      <c r="E1433" s="1" t="s">
        <v>57</v>
      </c>
      <c r="F1433" s="1" t="s">
        <v>25</v>
      </c>
      <c r="G1433" s="2">
        <v>44594</v>
      </c>
      <c r="H1433" s="2">
        <v>44636</v>
      </c>
      <c r="I1433">
        <v>40</v>
      </c>
      <c r="J1433">
        <v>42</v>
      </c>
      <c r="K1433">
        <v>2</v>
      </c>
      <c r="L1433" s="1" t="s">
        <v>26</v>
      </c>
      <c r="M1433">
        <v>571.1</v>
      </c>
      <c r="N1433">
        <v>1124951.1399999999</v>
      </c>
      <c r="O1433">
        <v>2524799.7000000002</v>
      </c>
      <c r="P1433">
        <v>374892.6</v>
      </c>
      <c r="Q1433" s="1" t="s">
        <v>4628</v>
      </c>
      <c r="R1433">
        <v>34</v>
      </c>
      <c r="S1433" s="1" t="s">
        <v>4629</v>
      </c>
      <c r="T1433" t="b">
        <v>1</v>
      </c>
    </row>
    <row r="1434" spans="1:20" x14ac:dyDescent="0.25">
      <c r="A1434" s="1" t="s">
        <v>4630</v>
      </c>
      <c r="B1434" s="1" t="s">
        <v>328</v>
      </c>
      <c r="C1434" s="1" t="s">
        <v>432</v>
      </c>
      <c r="D1434" s="1" t="s">
        <v>372</v>
      </c>
      <c r="E1434" s="1" t="s">
        <v>65</v>
      </c>
      <c r="F1434" s="1" t="s">
        <v>50</v>
      </c>
      <c r="G1434" s="2">
        <v>45428</v>
      </c>
      <c r="H1434" s="2"/>
      <c r="I1434">
        <v>4</v>
      </c>
      <c r="J1434">
        <v>2</v>
      </c>
      <c r="K1434">
        <v>0</v>
      </c>
      <c r="L1434" s="1" t="s">
        <v>26</v>
      </c>
      <c r="M1434">
        <v>15.6</v>
      </c>
      <c r="N1434">
        <v>30353.16</v>
      </c>
      <c r="O1434">
        <v>2637530.9300000002</v>
      </c>
      <c r="P1434">
        <v>419413.15</v>
      </c>
      <c r="Q1434" s="1" t="s">
        <v>4631</v>
      </c>
      <c r="R1434">
        <v>35</v>
      </c>
      <c r="S1434" s="1" t="s">
        <v>4632</v>
      </c>
      <c r="T1434" t="b">
        <v>0</v>
      </c>
    </row>
    <row r="1435" spans="1:20" x14ac:dyDescent="0.25">
      <c r="A1435" s="1" t="s">
        <v>4633</v>
      </c>
      <c r="B1435" s="1" t="s">
        <v>545</v>
      </c>
      <c r="C1435" s="1" t="s">
        <v>486</v>
      </c>
      <c r="D1435" s="1" t="s">
        <v>130</v>
      </c>
      <c r="E1435" s="1" t="s">
        <v>65</v>
      </c>
      <c r="F1435" s="1" t="s">
        <v>66</v>
      </c>
      <c r="G1435" s="2">
        <v>45191</v>
      </c>
      <c r="H1435" s="2"/>
      <c r="I1435">
        <v>4</v>
      </c>
      <c r="J1435">
        <v>5</v>
      </c>
      <c r="K1435">
        <v>0.5</v>
      </c>
      <c r="L1435" s="1" t="s">
        <v>26</v>
      </c>
      <c r="M1435">
        <v>23.4</v>
      </c>
      <c r="N1435">
        <v>65836.27</v>
      </c>
      <c r="O1435">
        <v>1328430.01</v>
      </c>
      <c r="P1435">
        <v>243346.52</v>
      </c>
      <c r="Q1435" s="1" t="s">
        <v>4634</v>
      </c>
      <c r="R1435">
        <v>23</v>
      </c>
      <c r="S1435" s="1" t="s">
        <v>4635</v>
      </c>
      <c r="T1435" t="b">
        <v>0</v>
      </c>
    </row>
    <row r="1436" spans="1:20" x14ac:dyDescent="0.25">
      <c r="A1436" s="1" t="s">
        <v>4636</v>
      </c>
      <c r="B1436" s="1" t="s">
        <v>21</v>
      </c>
      <c r="C1436" s="1" t="s">
        <v>769</v>
      </c>
      <c r="D1436" s="1" t="s">
        <v>372</v>
      </c>
      <c r="E1436" s="1" t="s">
        <v>33</v>
      </c>
      <c r="F1436" s="1" t="s">
        <v>66</v>
      </c>
      <c r="G1436" s="2">
        <v>45504</v>
      </c>
      <c r="H1436" s="2"/>
      <c r="I1436">
        <v>12</v>
      </c>
      <c r="J1436">
        <v>17</v>
      </c>
      <c r="K1436">
        <v>5</v>
      </c>
      <c r="L1436" s="1" t="s">
        <v>330</v>
      </c>
      <c r="M1436">
        <v>84.3</v>
      </c>
      <c r="N1436">
        <v>298089.99</v>
      </c>
      <c r="O1436">
        <v>2628317.09</v>
      </c>
      <c r="P1436">
        <v>461078.49</v>
      </c>
      <c r="Q1436" s="1" t="s">
        <v>2865</v>
      </c>
      <c r="R1436">
        <v>47</v>
      </c>
      <c r="S1436" s="1" t="s">
        <v>4637</v>
      </c>
      <c r="T1436" t="b">
        <v>0</v>
      </c>
    </row>
    <row r="1437" spans="1:20" x14ac:dyDescent="0.25">
      <c r="A1437" s="1" t="s">
        <v>4638</v>
      </c>
      <c r="B1437" s="1" t="s">
        <v>99</v>
      </c>
      <c r="C1437" s="1" t="s">
        <v>440</v>
      </c>
      <c r="D1437" s="1" t="s">
        <v>56</v>
      </c>
      <c r="E1437" s="1" t="s">
        <v>33</v>
      </c>
      <c r="F1437" s="1" t="s">
        <v>66</v>
      </c>
      <c r="G1437" s="2">
        <v>45357</v>
      </c>
      <c r="H1437" s="2"/>
      <c r="I1437">
        <v>12</v>
      </c>
      <c r="J1437">
        <v>9</v>
      </c>
      <c r="K1437">
        <v>0</v>
      </c>
      <c r="L1437" s="1" t="s">
        <v>26</v>
      </c>
      <c r="M1437">
        <v>57</v>
      </c>
      <c r="N1437">
        <v>152197.22</v>
      </c>
      <c r="O1437">
        <v>3040293.35</v>
      </c>
      <c r="P1437">
        <v>403480.73</v>
      </c>
      <c r="Q1437" s="1" t="s">
        <v>4639</v>
      </c>
      <c r="R1437">
        <v>63</v>
      </c>
      <c r="S1437" s="1" t="s">
        <v>4640</v>
      </c>
      <c r="T1437" t="b">
        <v>0</v>
      </c>
    </row>
    <row r="1438" spans="1:20" x14ac:dyDescent="0.25">
      <c r="A1438" s="1" t="s">
        <v>4641</v>
      </c>
      <c r="B1438" s="1" t="s">
        <v>185</v>
      </c>
      <c r="C1438" s="1" t="s">
        <v>1501</v>
      </c>
      <c r="D1438" s="1" t="s">
        <v>154</v>
      </c>
      <c r="E1438" s="1" t="s">
        <v>57</v>
      </c>
      <c r="F1438" s="1" t="s">
        <v>25</v>
      </c>
      <c r="G1438" s="2">
        <v>44662</v>
      </c>
      <c r="H1438" s="2">
        <v>44712</v>
      </c>
      <c r="I1438">
        <v>40</v>
      </c>
      <c r="J1438">
        <v>50</v>
      </c>
      <c r="K1438">
        <v>10</v>
      </c>
      <c r="L1438" s="1" t="s">
        <v>58</v>
      </c>
      <c r="M1438">
        <v>708.5</v>
      </c>
      <c r="N1438">
        <v>2808125.53</v>
      </c>
      <c r="O1438">
        <v>452623.9</v>
      </c>
      <c r="P1438">
        <v>412601.93</v>
      </c>
      <c r="Q1438" s="1" t="s">
        <v>4642</v>
      </c>
      <c r="R1438">
        <v>21</v>
      </c>
      <c r="S1438" s="1" t="s">
        <v>4643</v>
      </c>
      <c r="T1438" t="b">
        <v>0</v>
      </c>
    </row>
    <row r="1439" spans="1:20" x14ac:dyDescent="0.25">
      <c r="A1439" s="1" t="s">
        <v>4644</v>
      </c>
      <c r="B1439" s="1" t="s">
        <v>70</v>
      </c>
      <c r="C1439" s="1" t="s">
        <v>118</v>
      </c>
      <c r="D1439" s="1" t="s">
        <v>420</v>
      </c>
      <c r="E1439" s="1" t="s">
        <v>65</v>
      </c>
      <c r="F1439" s="1" t="s">
        <v>25</v>
      </c>
      <c r="G1439" s="2">
        <v>45447</v>
      </c>
      <c r="H1439" s="2">
        <v>45451</v>
      </c>
      <c r="I1439">
        <v>4</v>
      </c>
      <c r="J1439">
        <v>4</v>
      </c>
      <c r="K1439">
        <v>0</v>
      </c>
      <c r="L1439" s="1" t="s">
        <v>26</v>
      </c>
      <c r="M1439">
        <v>25.1</v>
      </c>
      <c r="N1439">
        <v>100573.82</v>
      </c>
      <c r="O1439">
        <v>3454114.13</v>
      </c>
      <c r="P1439">
        <v>570066.87</v>
      </c>
      <c r="Q1439" s="1" t="s">
        <v>4645</v>
      </c>
      <c r="R1439">
        <v>75</v>
      </c>
      <c r="S1439" s="1" t="s">
        <v>4646</v>
      </c>
      <c r="T1439" t="b">
        <v>0</v>
      </c>
    </row>
    <row r="1440" spans="1:20" x14ac:dyDescent="0.25">
      <c r="A1440" s="1" t="s">
        <v>4647</v>
      </c>
      <c r="B1440" s="1" t="s">
        <v>418</v>
      </c>
      <c r="C1440" s="1" t="s">
        <v>139</v>
      </c>
      <c r="D1440" s="1" t="s">
        <v>320</v>
      </c>
      <c r="E1440" s="1" t="s">
        <v>24</v>
      </c>
      <c r="F1440" s="1" t="s">
        <v>25</v>
      </c>
      <c r="G1440" s="2">
        <v>45154</v>
      </c>
      <c r="H1440" s="2">
        <v>45156</v>
      </c>
      <c r="I1440">
        <v>3</v>
      </c>
      <c r="J1440">
        <v>2</v>
      </c>
      <c r="K1440">
        <v>0</v>
      </c>
      <c r="L1440" s="1" t="s">
        <v>26</v>
      </c>
      <c r="M1440">
        <v>28.8</v>
      </c>
      <c r="N1440">
        <v>123500.46</v>
      </c>
      <c r="O1440">
        <v>1617578.47</v>
      </c>
      <c r="P1440">
        <v>306967.28999999998</v>
      </c>
      <c r="Q1440" s="1" t="s">
        <v>4648</v>
      </c>
      <c r="R1440">
        <v>75</v>
      </c>
      <c r="S1440" s="1" t="s">
        <v>4649</v>
      </c>
      <c r="T1440" t="b">
        <v>1</v>
      </c>
    </row>
    <row r="1441" spans="1:20" x14ac:dyDescent="0.25">
      <c r="A1441" s="1" t="s">
        <v>4650</v>
      </c>
      <c r="B1441" s="1" t="s">
        <v>138</v>
      </c>
      <c r="C1441" s="1" t="s">
        <v>634</v>
      </c>
      <c r="D1441" s="1" t="s">
        <v>249</v>
      </c>
      <c r="E1441" s="1" t="s">
        <v>57</v>
      </c>
      <c r="F1441" s="1" t="s">
        <v>25</v>
      </c>
      <c r="G1441" s="2">
        <v>45090</v>
      </c>
      <c r="H1441" s="2">
        <v>45140</v>
      </c>
      <c r="I1441">
        <v>40</v>
      </c>
      <c r="J1441">
        <v>50</v>
      </c>
      <c r="K1441">
        <v>10</v>
      </c>
      <c r="L1441" s="1" t="s">
        <v>193</v>
      </c>
      <c r="M1441">
        <v>751.1</v>
      </c>
      <c r="N1441">
        <v>2613274.85</v>
      </c>
      <c r="O1441">
        <v>3548451.99</v>
      </c>
      <c r="P1441">
        <v>754093.31</v>
      </c>
      <c r="Q1441" s="1" t="s">
        <v>4651</v>
      </c>
      <c r="R1441">
        <v>63</v>
      </c>
      <c r="S1441" s="1" t="s">
        <v>4652</v>
      </c>
      <c r="T1441" t="b">
        <v>1</v>
      </c>
    </row>
    <row r="1442" spans="1:20" x14ac:dyDescent="0.25">
      <c r="A1442" s="1" t="s">
        <v>4653</v>
      </c>
      <c r="B1442" s="1" t="s">
        <v>117</v>
      </c>
      <c r="C1442" s="1" t="s">
        <v>229</v>
      </c>
      <c r="D1442" s="1" t="s">
        <v>176</v>
      </c>
      <c r="E1442" s="1" t="s">
        <v>49</v>
      </c>
      <c r="F1442" s="1" t="s">
        <v>25</v>
      </c>
      <c r="G1442" s="2">
        <v>44606</v>
      </c>
      <c r="H1442" s="2">
        <v>44624</v>
      </c>
      <c r="I1442">
        <v>25</v>
      </c>
      <c r="J1442">
        <v>18</v>
      </c>
      <c r="K1442">
        <v>0</v>
      </c>
      <c r="L1442" s="1" t="s">
        <v>26</v>
      </c>
      <c r="M1442">
        <v>220.8</v>
      </c>
      <c r="N1442">
        <v>397519.29</v>
      </c>
      <c r="O1442">
        <v>2122166.37</v>
      </c>
      <c r="P1442">
        <v>299565.14</v>
      </c>
      <c r="Q1442" s="1" t="s">
        <v>4654</v>
      </c>
      <c r="R1442">
        <v>33</v>
      </c>
      <c r="S1442" s="1" t="s">
        <v>4655</v>
      </c>
      <c r="T1442" t="b">
        <v>0</v>
      </c>
    </row>
    <row r="1443" spans="1:20" x14ac:dyDescent="0.25">
      <c r="A1443" s="1" t="s">
        <v>4656</v>
      </c>
      <c r="B1443" s="1" t="s">
        <v>158</v>
      </c>
      <c r="C1443" s="1" t="s">
        <v>1595</v>
      </c>
      <c r="D1443" s="1" t="s">
        <v>244</v>
      </c>
      <c r="E1443" s="1" t="s">
        <v>41</v>
      </c>
      <c r="F1443" s="1" t="s">
        <v>25</v>
      </c>
      <c r="G1443" s="2">
        <v>45575</v>
      </c>
      <c r="H1443" s="2">
        <v>45587</v>
      </c>
      <c r="I1443">
        <v>9</v>
      </c>
      <c r="J1443">
        <v>12</v>
      </c>
      <c r="K1443">
        <v>3</v>
      </c>
      <c r="L1443" s="1" t="s">
        <v>26</v>
      </c>
      <c r="M1443">
        <v>133.1</v>
      </c>
      <c r="N1443">
        <v>293252.2</v>
      </c>
      <c r="O1443">
        <v>3044458.43</v>
      </c>
      <c r="P1443">
        <v>600686.25</v>
      </c>
      <c r="Q1443" s="1" t="s">
        <v>4657</v>
      </c>
      <c r="R1443">
        <v>37</v>
      </c>
      <c r="S1443" s="1" t="s">
        <v>4658</v>
      </c>
      <c r="T1443" t="b">
        <v>0</v>
      </c>
    </row>
    <row r="1444" spans="1:20" x14ac:dyDescent="0.25">
      <c r="A1444" s="1" t="s">
        <v>4659</v>
      </c>
      <c r="B1444" s="1" t="s">
        <v>272</v>
      </c>
      <c r="C1444" s="1" t="s">
        <v>837</v>
      </c>
      <c r="D1444" s="1" t="s">
        <v>359</v>
      </c>
      <c r="E1444" s="1" t="s">
        <v>65</v>
      </c>
      <c r="F1444" s="1" t="s">
        <v>25</v>
      </c>
      <c r="G1444" s="2">
        <v>44821</v>
      </c>
      <c r="H1444" s="2">
        <v>44829</v>
      </c>
      <c r="I1444">
        <v>4</v>
      </c>
      <c r="J1444">
        <v>8</v>
      </c>
      <c r="K1444">
        <v>3.5</v>
      </c>
      <c r="L1444" s="1" t="s">
        <v>58</v>
      </c>
      <c r="M1444">
        <v>63.1</v>
      </c>
      <c r="N1444">
        <v>210417.29</v>
      </c>
      <c r="O1444">
        <v>3050665.57</v>
      </c>
      <c r="P1444">
        <v>348753.26</v>
      </c>
      <c r="Q1444" s="1" t="s">
        <v>4660</v>
      </c>
      <c r="R1444">
        <v>38</v>
      </c>
      <c r="S1444" s="1" t="s">
        <v>4661</v>
      </c>
      <c r="T1444" t="b">
        <v>1</v>
      </c>
    </row>
    <row r="1445" spans="1:20" x14ac:dyDescent="0.25">
      <c r="A1445" s="1" t="s">
        <v>4662</v>
      </c>
      <c r="B1445" s="1" t="s">
        <v>418</v>
      </c>
      <c r="C1445" s="1" t="s">
        <v>486</v>
      </c>
      <c r="D1445" s="1" t="s">
        <v>372</v>
      </c>
      <c r="E1445" s="1" t="s">
        <v>41</v>
      </c>
      <c r="F1445" s="1" t="s">
        <v>25</v>
      </c>
      <c r="G1445" s="2">
        <v>44999</v>
      </c>
      <c r="H1445" s="2">
        <v>45004</v>
      </c>
      <c r="I1445">
        <v>9</v>
      </c>
      <c r="J1445">
        <v>5</v>
      </c>
      <c r="K1445">
        <v>0</v>
      </c>
      <c r="L1445" s="1" t="s">
        <v>26</v>
      </c>
      <c r="M1445">
        <v>66.400000000000006</v>
      </c>
      <c r="N1445">
        <v>197057.88</v>
      </c>
      <c r="O1445">
        <v>3130829.9</v>
      </c>
      <c r="P1445">
        <v>592058.73</v>
      </c>
      <c r="Q1445" s="1" t="s">
        <v>4663</v>
      </c>
      <c r="R1445">
        <v>33</v>
      </c>
      <c r="S1445" s="1" t="s">
        <v>4664</v>
      </c>
      <c r="T1445" t="b">
        <v>1</v>
      </c>
    </row>
    <row r="1446" spans="1:20" x14ac:dyDescent="0.25">
      <c r="A1446" s="1" t="s">
        <v>4665</v>
      </c>
      <c r="B1446" s="1" t="s">
        <v>272</v>
      </c>
      <c r="C1446" s="1" t="s">
        <v>1574</v>
      </c>
      <c r="D1446" s="1" t="s">
        <v>202</v>
      </c>
      <c r="E1446" s="1" t="s">
        <v>41</v>
      </c>
      <c r="F1446" s="1" t="s">
        <v>66</v>
      </c>
      <c r="G1446" s="2">
        <v>45410</v>
      </c>
      <c r="H1446" s="2"/>
      <c r="I1446">
        <v>9</v>
      </c>
      <c r="J1446">
        <v>14</v>
      </c>
      <c r="K1446">
        <v>5</v>
      </c>
      <c r="L1446" s="1" t="s">
        <v>26</v>
      </c>
      <c r="M1446">
        <v>217.3</v>
      </c>
      <c r="N1446">
        <v>951413.8</v>
      </c>
      <c r="O1446">
        <v>2015027.35</v>
      </c>
      <c r="P1446">
        <v>385262.91</v>
      </c>
      <c r="Q1446" s="1" t="s">
        <v>4666</v>
      </c>
      <c r="R1446">
        <v>43</v>
      </c>
      <c r="S1446" s="1" t="s">
        <v>4667</v>
      </c>
      <c r="T1446" t="b">
        <v>1</v>
      </c>
    </row>
    <row r="1447" spans="1:20" x14ac:dyDescent="0.25">
      <c r="A1447" s="1" t="s">
        <v>4668</v>
      </c>
      <c r="B1447" s="1" t="s">
        <v>138</v>
      </c>
      <c r="C1447" s="1" t="s">
        <v>800</v>
      </c>
      <c r="D1447" s="1" t="s">
        <v>359</v>
      </c>
      <c r="E1447" s="1" t="s">
        <v>65</v>
      </c>
      <c r="F1447" s="1" t="s">
        <v>50</v>
      </c>
      <c r="G1447" s="2">
        <v>45049</v>
      </c>
      <c r="H1447" s="2"/>
      <c r="I1447">
        <v>4</v>
      </c>
      <c r="J1447">
        <v>1</v>
      </c>
      <c r="K1447">
        <v>0</v>
      </c>
      <c r="L1447" s="1" t="s">
        <v>26</v>
      </c>
      <c r="M1447">
        <v>8</v>
      </c>
      <c r="N1447">
        <v>21164.95</v>
      </c>
      <c r="O1447">
        <v>3123285.61</v>
      </c>
      <c r="P1447">
        <v>564790.14</v>
      </c>
      <c r="Q1447" s="1" t="s">
        <v>4669</v>
      </c>
      <c r="R1447">
        <v>65</v>
      </c>
      <c r="S1447" s="1" t="s">
        <v>4670</v>
      </c>
      <c r="T1447" t="b">
        <v>0</v>
      </c>
    </row>
    <row r="1448" spans="1:20" x14ac:dyDescent="0.25">
      <c r="A1448" s="1" t="s">
        <v>4671</v>
      </c>
      <c r="B1448" s="1" t="s">
        <v>418</v>
      </c>
      <c r="C1448" s="1" t="s">
        <v>2485</v>
      </c>
      <c r="D1448" s="1" t="s">
        <v>176</v>
      </c>
      <c r="E1448" s="1" t="s">
        <v>57</v>
      </c>
      <c r="F1448" s="1" t="s">
        <v>25</v>
      </c>
      <c r="G1448" s="2">
        <v>44671</v>
      </c>
      <c r="H1448" s="2">
        <v>44708</v>
      </c>
      <c r="I1448">
        <v>40</v>
      </c>
      <c r="J1448">
        <v>37</v>
      </c>
      <c r="K1448">
        <v>0</v>
      </c>
      <c r="L1448" s="1" t="s">
        <v>26</v>
      </c>
      <c r="M1448">
        <v>156.19999999999999</v>
      </c>
      <c r="N1448">
        <v>554449.11</v>
      </c>
      <c r="O1448">
        <v>2177300.89</v>
      </c>
      <c r="P1448">
        <v>486661.6</v>
      </c>
      <c r="Q1448" s="1" t="s">
        <v>4672</v>
      </c>
      <c r="R1448">
        <v>43</v>
      </c>
      <c r="S1448" s="1" t="s">
        <v>4673</v>
      </c>
      <c r="T1448" t="b">
        <v>1</v>
      </c>
    </row>
    <row r="1449" spans="1:20" x14ac:dyDescent="0.25">
      <c r="A1449" s="1" t="s">
        <v>4674</v>
      </c>
      <c r="B1449" s="1" t="s">
        <v>21</v>
      </c>
      <c r="C1449" s="1" t="s">
        <v>1834</v>
      </c>
      <c r="D1449" s="1" t="s">
        <v>113</v>
      </c>
      <c r="E1449" s="1" t="s">
        <v>57</v>
      </c>
      <c r="F1449" s="1" t="s">
        <v>25</v>
      </c>
      <c r="G1449" s="2">
        <v>45442</v>
      </c>
      <c r="H1449" s="2">
        <v>45464</v>
      </c>
      <c r="I1449">
        <v>40</v>
      </c>
      <c r="J1449">
        <v>22</v>
      </c>
      <c r="K1449">
        <v>0</v>
      </c>
      <c r="L1449" s="1" t="s">
        <v>26</v>
      </c>
      <c r="M1449">
        <v>152.69999999999999</v>
      </c>
      <c r="N1449">
        <v>441770.65</v>
      </c>
      <c r="O1449">
        <v>4026202.77</v>
      </c>
      <c r="P1449">
        <v>742737.91</v>
      </c>
      <c r="Q1449" s="1" t="s">
        <v>4675</v>
      </c>
      <c r="R1449">
        <v>66</v>
      </c>
      <c r="S1449" s="1" t="s">
        <v>4676</v>
      </c>
      <c r="T1449" t="b">
        <v>1</v>
      </c>
    </row>
    <row r="1450" spans="1:20" x14ac:dyDescent="0.25">
      <c r="A1450" s="1" t="s">
        <v>4677</v>
      </c>
      <c r="B1450" s="1" t="s">
        <v>185</v>
      </c>
      <c r="C1450" s="1" t="s">
        <v>39</v>
      </c>
      <c r="D1450" s="1" t="s">
        <v>288</v>
      </c>
      <c r="E1450" s="1" t="s">
        <v>49</v>
      </c>
      <c r="F1450" s="1" t="s">
        <v>25</v>
      </c>
      <c r="G1450" s="2">
        <v>45141</v>
      </c>
      <c r="H1450" s="2">
        <v>45159</v>
      </c>
      <c r="I1450">
        <v>25</v>
      </c>
      <c r="J1450">
        <v>18</v>
      </c>
      <c r="K1450">
        <v>0</v>
      </c>
      <c r="L1450" s="1" t="s">
        <v>26</v>
      </c>
      <c r="M1450">
        <v>140.1</v>
      </c>
      <c r="N1450">
        <v>435906.2</v>
      </c>
      <c r="O1450">
        <v>2935127.7</v>
      </c>
      <c r="P1450">
        <v>372326.38</v>
      </c>
      <c r="Q1450" s="1" t="s">
        <v>4678</v>
      </c>
      <c r="R1450">
        <v>56</v>
      </c>
      <c r="S1450" s="1" t="s">
        <v>4679</v>
      </c>
      <c r="T1450" t="b">
        <v>0</v>
      </c>
    </row>
    <row r="1451" spans="1:20" x14ac:dyDescent="0.25">
      <c r="A1451" s="1" t="s">
        <v>4680</v>
      </c>
      <c r="B1451" s="1" t="s">
        <v>566</v>
      </c>
      <c r="C1451" s="1" t="s">
        <v>1574</v>
      </c>
      <c r="D1451" s="1" t="s">
        <v>306</v>
      </c>
      <c r="E1451" s="1" t="s">
        <v>24</v>
      </c>
      <c r="F1451" s="1" t="s">
        <v>66</v>
      </c>
      <c r="G1451" s="2">
        <v>44720</v>
      </c>
      <c r="H1451" s="2"/>
      <c r="I1451">
        <v>3</v>
      </c>
      <c r="J1451">
        <v>5</v>
      </c>
      <c r="K1451">
        <v>2</v>
      </c>
      <c r="L1451" s="1" t="s">
        <v>26</v>
      </c>
      <c r="M1451">
        <v>45.6</v>
      </c>
      <c r="N1451">
        <v>154631.82</v>
      </c>
      <c r="O1451">
        <v>3104902.06</v>
      </c>
      <c r="P1451">
        <v>428626.77</v>
      </c>
      <c r="Q1451" s="1" t="s">
        <v>4681</v>
      </c>
      <c r="R1451">
        <v>72</v>
      </c>
      <c r="S1451" s="1" t="s">
        <v>4682</v>
      </c>
      <c r="T1451" t="b">
        <v>0</v>
      </c>
    </row>
    <row r="1452" spans="1:20" x14ac:dyDescent="0.25">
      <c r="A1452" s="1" t="s">
        <v>4683</v>
      </c>
      <c r="B1452" s="1" t="s">
        <v>99</v>
      </c>
      <c r="C1452" s="1" t="s">
        <v>896</v>
      </c>
      <c r="D1452" s="1" t="s">
        <v>405</v>
      </c>
      <c r="E1452" s="1" t="s">
        <v>24</v>
      </c>
      <c r="F1452" s="1" t="s">
        <v>25</v>
      </c>
      <c r="G1452" s="2">
        <v>45455</v>
      </c>
      <c r="H1452" s="2">
        <v>45457</v>
      </c>
      <c r="I1452">
        <v>3</v>
      </c>
      <c r="J1452">
        <v>2</v>
      </c>
      <c r="K1452">
        <v>0</v>
      </c>
      <c r="L1452" s="1" t="s">
        <v>26</v>
      </c>
      <c r="M1452">
        <v>11.2</v>
      </c>
      <c r="N1452">
        <v>26886.34</v>
      </c>
      <c r="O1452">
        <v>2956483.24</v>
      </c>
      <c r="P1452">
        <v>564808.04</v>
      </c>
      <c r="Q1452" s="1" t="s">
        <v>4684</v>
      </c>
      <c r="R1452">
        <v>79</v>
      </c>
      <c r="S1452" s="1" t="s">
        <v>4685</v>
      </c>
      <c r="T1452" t="b">
        <v>1</v>
      </c>
    </row>
    <row r="1453" spans="1:20" x14ac:dyDescent="0.25">
      <c r="A1453" s="1" t="s">
        <v>4686</v>
      </c>
      <c r="B1453" s="1" t="s">
        <v>286</v>
      </c>
      <c r="C1453" s="1" t="s">
        <v>63</v>
      </c>
      <c r="D1453" s="1" t="s">
        <v>176</v>
      </c>
      <c r="E1453" s="1" t="s">
        <v>24</v>
      </c>
      <c r="F1453" s="1" t="s">
        <v>66</v>
      </c>
      <c r="G1453" s="2">
        <v>44775</v>
      </c>
      <c r="H1453" s="2"/>
      <c r="I1453">
        <v>3</v>
      </c>
      <c r="J1453">
        <v>3</v>
      </c>
      <c r="K1453">
        <v>0</v>
      </c>
      <c r="L1453" s="1" t="s">
        <v>26</v>
      </c>
      <c r="M1453">
        <v>32.200000000000003</v>
      </c>
      <c r="N1453">
        <v>87470.41</v>
      </c>
      <c r="O1453">
        <v>1264874.3700000001</v>
      </c>
      <c r="P1453">
        <v>135786.74</v>
      </c>
      <c r="Q1453" s="1" t="s">
        <v>4687</v>
      </c>
      <c r="R1453">
        <v>78</v>
      </c>
      <c r="S1453" s="1" t="s">
        <v>4688</v>
      </c>
      <c r="T1453" t="b">
        <v>1</v>
      </c>
    </row>
    <row r="1454" spans="1:20" x14ac:dyDescent="0.25">
      <c r="A1454" s="1" t="s">
        <v>4689</v>
      </c>
      <c r="B1454" s="1" t="s">
        <v>334</v>
      </c>
      <c r="C1454" s="1" t="s">
        <v>844</v>
      </c>
      <c r="D1454" s="1" t="s">
        <v>159</v>
      </c>
      <c r="E1454" s="1" t="s">
        <v>41</v>
      </c>
      <c r="F1454" s="1" t="s">
        <v>25</v>
      </c>
      <c r="G1454" s="2">
        <v>45649</v>
      </c>
      <c r="H1454" s="2">
        <v>45659</v>
      </c>
      <c r="I1454">
        <v>9</v>
      </c>
      <c r="J1454">
        <v>10</v>
      </c>
      <c r="K1454">
        <v>1</v>
      </c>
      <c r="L1454" s="1" t="s">
        <v>26</v>
      </c>
      <c r="M1454">
        <v>76</v>
      </c>
      <c r="N1454">
        <v>306441.08</v>
      </c>
      <c r="O1454">
        <v>4646428.34</v>
      </c>
      <c r="P1454">
        <v>575332.93999999994</v>
      </c>
      <c r="Q1454" s="1" t="s">
        <v>4690</v>
      </c>
      <c r="R1454">
        <v>74</v>
      </c>
      <c r="S1454" s="1" t="s">
        <v>4691</v>
      </c>
      <c r="T1454" t="b">
        <v>1</v>
      </c>
    </row>
    <row r="1455" spans="1:20" x14ac:dyDescent="0.25">
      <c r="A1455" s="1" t="s">
        <v>4692</v>
      </c>
      <c r="B1455" s="1" t="s">
        <v>403</v>
      </c>
      <c r="C1455" s="1" t="s">
        <v>685</v>
      </c>
      <c r="D1455" s="1" t="s">
        <v>293</v>
      </c>
      <c r="E1455" s="1" t="s">
        <v>57</v>
      </c>
      <c r="F1455" s="1" t="s">
        <v>25</v>
      </c>
      <c r="G1455" s="2">
        <v>44825</v>
      </c>
      <c r="H1455" s="2">
        <v>44878</v>
      </c>
      <c r="I1455">
        <v>40</v>
      </c>
      <c r="J1455">
        <v>53</v>
      </c>
      <c r="K1455">
        <v>13</v>
      </c>
      <c r="L1455" s="1" t="s">
        <v>26</v>
      </c>
      <c r="M1455">
        <v>620.9</v>
      </c>
      <c r="N1455">
        <v>2205508.31</v>
      </c>
      <c r="O1455">
        <v>298464.78000000003</v>
      </c>
      <c r="P1455">
        <v>414974.57</v>
      </c>
      <c r="Q1455" s="1" t="s">
        <v>4693</v>
      </c>
      <c r="R1455">
        <v>64</v>
      </c>
      <c r="S1455" s="1" t="s">
        <v>4694</v>
      </c>
      <c r="T1455" t="b">
        <v>1</v>
      </c>
    </row>
    <row r="1456" spans="1:20" x14ac:dyDescent="0.25">
      <c r="A1456" s="1" t="s">
        <v>4695</v>
      </c>
      <c r="B1456" s="1" t="s">
        <v>117</v>
      </c>
      <c r="C1456" s="1" t="s">
        <v>745</v>
      </c>
      <c r="D1456" s="1" t="s">
        <v>505</v>
      </c>
      <c r="E1456" s="1" t="s">
        <v>41</v>
      </c>
      <c r="F1456" s="1" t="s">
        <v>34</v>
      </c>
      <c r="G1456" s="2">
        <v>44971</v>
      </c>
      <c r="H1456" s="2"/>
      <c r="I1456">
        <v>9</v>
      </c>
      <c r="J1456">
        <v>7</v>
      </c>
      <c r="K1456">
        <v>0</v>
      </c>
      <c r="L1456" s="1" t="s">
        <v>26</v>
      </c>
      <c r="M1456">
        <v>76.3</v>
      </c>
      <c r="N1456">
        <v>213579.74</v>
      </c>
      <c r="O1456">
        <v>1536677.25</v>
      </c>
      <c r="P1456">
        <v>305873.76</v>
      </c>
      <c r="Q1456" s="1" t="s">
        <v>4696</v>
      </c>
      <c r="R1456">
        <v>68</v>
      </c>
      <c r="S1456" s="1" t="s">
        <v>4697</v>
      </c>
      <c r="T1456" t="b">
        <v>0</v>
      </c>
    </row>
    <row r="1457" spans="1:20" x14ac:dyDescent="0.25">
      <c r="A1457" s="1" t="s">
        <v>4698</v>
      </c>
      <c r="B1457" s="1" t="s">
        <v>253</v>
      </c>
      <c r="C1457" s="1" t="s">
        <v>725</v>
      </c>
      <c r="D1457" s="1" t="s">
        <v>306</v>
      </c>
      <c r="E1457" s="1" t="s">
        <v>65</v>
      </c>
      <c r="F1457" s="1" t="s">
        <v>34</v>
      </c>
      <c r="G1457" s="2">
        <v>45617</v>
      </c>
      <c r="H1457" s="2"/>
      <c r="I1457">
        <v>4</v>
      </c>
      <c r="J1457">
        <v>8</v>
      </c>
      <c r="K1457">
        <v>3.5</v>
      </c>
      <c r="L1457" s="1" t="s">
        <v>58</v>
      </c>
      <c r="M1457">
        <v>91.9</v>
      </c>
      <c r="N1457">
        <v>306201.27</v>
      </c>
      <c r="O1457">
        <v>3985931.01</v>
      </c>
      <c r="P1457">
        <v>511964.57</v>
      </c>
      <c r="Q1457" s="1" t="s">
        <v>4699</v>
      </c>
      <c r="R1457">
        <v>32</v>
      </c>
      <c r="S1457" s="1" t="s">
        <v>4700</v>
      </c>
      <c r="T1457" t="b">
        <v>0</v>
      </c>
    </row>
    <row r="1458" spans="1:20" x14ac:dyDescent="0.25">
      <c r="A1458" s="1" t="s">
        <v>4701</v>
      </c>
      <c r="B1458" s="1" t="s">
        <v>545</v>
      </c>
      <c r="C1458" s="1" t="s">
        <v>1032</v>
      </c>
      <c r="D1458" s="1" t="s">
        <v>713</v>
      </c>
      <c r="E1458" s="1" t="s">
        <v>33</v>
      </c>
      <c r="F1458" s="1" t="s">
        <v>50</v>
      </c>
      <c r="G1458" s="2">
        <v>44806</v>
      </c>
      <c r="H1458" s="2"/>
      <c r="I1458">
        <v>12</v>
      </c>
      <c r="J1458">
        <v>14</v>
      </c>
      <c r="K1458">
        <v>2</v>
      </c>
      <c r="L1458" s="1" t="s">
        <v>26</v>
      </c>
      <c r="M1458">
        <v>66</v>
      </c>
      <c r="N1458">
        <v>275626.15000000002</v>
      </c>
      <c r="O1458">
        <v>2091732.38</v>
      </c>
      <c r="P1458">
        <v>327687.65999999997</v>
      </c>
      <c r="Q1458" s="1" t="s">
        <v>4702</v>
      </c>
      <c r="R1458">
        <v>40</v>
      </c>
      <c r="S1458" s="1" t="s">
        <v>4703</v>
      </c>
      <c r="T1458" t="b">
        <v>0</v>
      </c>
    </row>
    <row r="1459" spans="1:20" x14ac:dyDescent="0.25">
      <c r="A1459" s="1" t="s">
        <v>4704</v>
      </c>
      <c r="B1459" s="1" t="s">
        <v>30</v>
      </c>
      <c r="C1459" s="1" t="s">
        <v>1049</v>
      </c>
      <c r="D1459" s="1" t="s">
        <v>686</v>
      </c>
      <c r="E1459" s="1" t="s">
        <v>65</v>
      </c>
      <c r="F1459" s="1" t="s">
        <v>25</v>
      </c>
      <c r="G1459" s="2">
        <v>45599</v>
      </c>
      <c r="H1459" s="2">
        <v>45605</v>
      </c>
      <c r="I1459">
        <v>4</v>
      </c>
      <c r="J1459">
        <v>6</v>
      </c>
      <c r="K1459">
        <v>1.5</v>
      </c>
      <c r="L1459" s="1" t="s">
        <v>26</v>
      </c>
      <c r="M1459">
        <v>59.9</v>
      </c>
      <c r="N1459">
        <v>257709.59</v>
      </c>
      <c r="O1459">
        <v>4735639.45</v>
      </c>
      <c r="P1459">
        <v>660357.28</v>
      </c>
      <c r="Q1459" s="1" t="s">
        <v>563</v>
      </c>
      <c r="R1459">
        <v>31</v>
      </c>
      <c r="S1459" s="1" t="s">
        <v>4705</v>
      </c>
      <c r="T1459" t="b">
        <v>0</v>
      </c>
    </row>
    <row r="1460" spans="1:20" x14ac:dyDescent="0.25">
      <c r="A1460" s="1" t="s">
        <v>4706</v>
      </c>
      <c r="B1460" s="1" t="s">
        <v>70</v>
      </c>
      <c r="C1460" s="1" t="s">
        <v>2977</v>
      </c>
      <c r="D1460" s="1" t="s">
        <v>89</v>
      </c>
      <c r="E1460" s="1" t="s">
        <v>65</v>
      </c>
      <c r="F1460" s="1" t="s">
        <v>25</v>
      </c>
      <c r="G1460" s="2">
        <v>45525</v>
      </c>
      <c r="H1460" s="2">
        <v>45526</v>
      </c>
      <c r="I1460">
        <v>4</v>
      </c>
      <c r="J1460">
        <v>1</v>
      </c>
      <c r="K1460">
        <v>0</v>
      </c>
      <c r="L1460" s="1" t="s">
        <v>26</v>
      </c>
      <c r="M1460">
        <v>4.0999999999999996</v>
      </c>
      <c r="N1460">
        <v>11657.61</v>
      </c>
      <c r="O1460">
        <v>2237590.04</v>
      </c>
      <c r="P1460">
        <v>342114.96</v>
      </c>
      <c r="Q1460" s="1" t="s">
        <v>4707</v>
      </c>
      <c r="R1460">
        <v>23</v>
      </c>
      <c r="S1460" s="1" t="s">
        <v>4708</v>
      </c>
      <c r="T1460" t="b">
        <v>0</v>
      </c>
    </row>
    <row r="1461" spans="1:20" x14ac:dyDescent="0.25">
      <c r="A1461" s="1" t="s">
        <v>4709</v>
      </c>
      <c r="B1461" s="1" t="s">
        <v>334</v>
      </c>
      <c r="C1461" s="1" t="s">
        <v>1191</v>
      </c>
      <c r="D1461" s="1" t="s">
        <v>297</v>
      </c>
      <c r="E1461" s="1" t="s">
        <v>65</v>
      </c>
      <c r="F1461" s="1" t="s">
        <v>25</v>
      </c>
      <c r="G1461" s="2">
        <v>44708</v>
      </c>
      <c r="H1461" s="2">
        <v>44714</v>
      </c>
      <c r="I1461">
        <v>4</v>
      </c>
      <c r="J1461">
        <v>6</v>
      </c>
      <c r="K1461">
        <v>1.5</v>
      </c>
      <c r="L1461" s="1" t="s">
        <v>26</v>
      </c>
      <c r="M1461">
        <v>42.4</v>
      </c>
      <c r="N1461">
        <v>88513.42</v>
      </c>
      <c r="O1461">
        <v>883874.21</v>
      </c>
      <c r="P1461">
        <v>122198.77</v>
      </c>
      <c r="Q1461" s="1" t="s">
        <v>4710</v>
      </c>
      <c r="R1461">
        <v>38</v>
      </c>
      <c r="S1461" s="1" t="s">
        <v>4711</v>
      </c>
      <c r="T1461" t="b">
        <v>1</v>
      </c>
    </row>
    <row r="1462" spans="1:20" x14ac:dyDescent="0.25">
      <c r="A1462" s="1" t="s">
        <v>4712</v>
      </c>
      <c r="B1462" s="1" t="s">
        <v>138</v>
      </c>
      <c r="C1462" s="1" t="s">
        <v>2987</v>
      </c>
      <c r="D1462" s="1" t="s">
        <v>230</v>
      </c>
      <c r="E1462" s="1" t="s">
        <v>57</v>
      </c>
      <c r="F1462" s="1" t="s">
        <v>25</v>
      </c>
      <c r="G1462" s="2">
        <v>44856</v>
      </c>
      <c r="H1462" s="2">
        <v>44909</v>
      </c>
      <c r="I1462">
        <v>40</v>
      </c>
      <c r="J1462">
        <v>53</v>
      </c>
      <c r="K1462">
        <v>13</v>
      </c>
      <c r="L1462" s="1" t="s">
        <v>26</v>
      </c>
      <c r="M1462">
        <v>470.6</v>
      </c>
      <c r="N1462">
        <v>1526112.85</v>
      </c>
      <c r="O1462">
        <v>2134745.0299999998</v>
      </c>
      <c r="P1462">
        <v>553726.24</v>
      </c>
      <c r="Q1462" s="1" t="s">
        <v>4713</v>
      </c>
      <c r="R1462">
        <v>21</v>
      </c>
      <c r="S1462" s="1" t="s">
        <v>4714</v>
      </c>
      <c r="T1462" t="b">
        <v>1</v>
      </c>
    </row>
    <row r="1463" spans="1:20" x14ac:dyDescent="0.25">
      <c r="A1463" s="1" t="s">
        <v>4715</v>
      </c>
      <c r="B1463" s="1" t="s">
        <v>228</v>
      </c>
      <c r="C1463" s="1" t="s">
        <v>986</v>
      </c>
      <c r="D1463" s="1" t="s">
        <v>282</v>
      </c>
      <c r="E1463" s="1" t="s">
        <v>57</v>
      </c>
      <c r="F1463" s="1" t="s">
        <v>25</v>
      </c>
      <c r="G1463" s="2">
        <v>45398</v>
      </c>
      <c r="H1463" s="2">
        <v>45457</v>
      </c>
      <c r="I1463">
        <v>40</v>
      </c>
      <c r="J1463">
        <v>59</v>
      </c>
      <c r="K1463">
        <v>19</v>
      </c>
      <c r="L1463" s="1" t="s">
        <v>58</v>
      </c>
      <c r="M1463">
        <v>447.2</v>
      </c>
      <c r="N1463">
        <v>1935860.13</v>
      </c>
      <c r="O1463">
        <v>777875.73</v>
      </c>
      <c r="P1463">
        <v>328948.40999999997</v>
      </c>
      <c r="Q1463" s="1" t="s">
        <v>4716</v>
      </c>
      <c r="R1463">
        <v>59</v>
      </c>
      <c r="S1463" s="1" t="s">
        <v>4717</v>
      </c>
      <c r="T1463" t="b">
        <v>1</v>
      </c>
    </row>
    <row r="1464" spans="1:20" x14ac:dyDescent="0.25">
      <c r="A1464" s="1" t="s">
        <v>4718</v>
      </c>
      <c r="B1464" s="1" t="s">
        <v>566</v>
      </c>
      <c r="C1464" s="1" t="s">
        <v>525</v>
      </c>
      <c r="D1464" s="1" t="s">
        <v>72</v>
      </c>
      <c r="E1464" s="1" t="s">
        <v>49</v>
      </c>
      <c r="F1464" s="1" t="s">
        <v>50</v>
      </c>
      <c r="G1464" s="2">
        <v>44624</v>
      </c>
      <c r="H1464" s="2"/>
      <c r="I1464">
        <v>25</v>
      </c>
      <c r="J1464">
        <v>37</v>
      </c>
      <c r="K1464">
        <v>12</v>
      </c>
      <c r="L1464" s="1" t="s">
        <v>58</v>
      </c>
      <c r="M1464">
        <v>271.39999999999998</v>
      </c>
      <c r="N1464">
        <v>539201.36</v>
      </c>
      <c r="O1464">
        <v>1352882.95</v>
      </c>
      <c r="P1464">
        <v>298644.01</v>
      </c>
      <c r="Q1464" s="1" t="s">
        <v>4719</v>
      </c>
      <c r="R1464">
        <v>51</v>
      </c>
      <c r="S1464" s="1" t="s">
        <v>4720</v>
      </c>
      <c r="T1464" t="b">
        <v>0</v>
      </c>
    </row>
    <row r="1465" spans="1:20" x14ac:dyDescent="0.25">
      <c r="A1465" s="1" t="s">
        <v>4721</v>
      </c>
      <c r="B1465" s="1" t="s">
        <v>138</v>
      </c>
      <c r="C1465" s="1" t="s">
        <v>918</v>
      </c>
      <c r="D1465" s="1" t="s">
        <v>372</v>
      </c>
      <c r="E1465" s="1" t="s">
        <v>24</v>
      </c>
      <c r="F1465" s="1" t="s">
        <v>25</v>
      </c>
      <c r="G1465" s="2">
        <v>44838</v>
      </c>
      <c r="H1465" s="2">
        <v>44840</v>
      </c>
      <c r="I1465">
        <v>3</v>
      </c>
      <c r="J1465">
        <v>2</v>
      </c>
      <c r="K1465">
        <v>0</v>
      </c>
      <c r="L1465" s="1" t="s">
        <v>26</v>
      </c>
      <c r="M1465">
        <v>21.3</v>
      </c>
      <c r="N1465">
        <v>44638.26</v>
      </c>
      <c r="O1465">
        <v>1819266.93</v>
      </c>
      <c r="P1465">
        <v>299975.58</v>
      </c>
      <c r="Q1465" s="1" t="s">
        <v>4722</v>
      </c>
      <c r="R1465">
        <v>42</v>
      </c>
      <c r="S1465" s="1" t="s">
        <v>4723</v>
      </c>
      <c r="T1465" t="b">
        <v>0</v>
      </c>
    </row>
    <row r="1466" spans="1:20" x14ac:dyDescent="0.25">
      <c r="A1466" s="1" t="s">
        <v>4724</v>
      </c>
      <c r="B1466" s="1" t="s">
        <v>228</v>
      </c>
      <c r="C1466" s="1" t="s">
        <v>896</v>
      </c>
      <c r="D1466" s="1" t="s">
        <v>244</v>
      </c>
      <c r="E1466" s="1" t="s">
        <v>24</v>
      </c>
      <c r="F1466" s="1" t="s">
        <v>66</v>
      </c>
      <c r="G1466" s="2">
        <v>45569</v>
      </c>
      <c r="H1466" s="2"/>
      <c r="I1466">
        <v>3</v>
      </c>
      <c r="J1466">
        <v>1</v>
      </c>
      <c r="K1466">
        <v>0</v>
      </c>
      <c r="L1466" s="1" t="s">
        <v>26</v>
      </c>
      <c r="M1466">
        <v>10.9</v>
      </c>
      <c r="N1466">
        <v>34283.949999999997</v>
      </c>
      <c r="O1466">
        <v>3199399.85</v>
      </c>
      <c r="P1466">
        <v>395405.81</v>
      </c>
      <c r="Q1466" s="1" t="s">
        <v>3504</v>
      </c>
      <c r="R1466">
        <v>60</v>
      </c>
      <c r="S1466" s="1" t="s">
        <v>4725</v>
      </c>
      <c r="T1466" t="b">
        <v>1</v>
      </c>
    </row>
    <row r="1467" spans="1:20" x14ac:dyDescent="0.25">
      <c r="A1467" s="1" t="s">
        <v>4726</v>
      </c>
      <c r="B1467" s="1" t="s">
        <v>93</v>
      </c>
      <c r="C1467" s="1" t="s">
        <v>399</v>
      </c>
      <c r="D1467" s="1" t="s">
        <v>622</v>
      </c>
      <c r="E1467" s="1" t="s">
        <v>41</v>
      </c>
      <c r="F1467" s="1" t="s">
        <v>25</v>
      </c>
      <c r="G1467" s="2">
        <v>44849</v>
      </c>
      <c r="H1467" s="2">
        <v>44852</v>
      </c>
      <c r="I1467">
        <v>9</v>
      </c>
      <c r="J1467">
        <v>3</v>
      </c>
      <c r="K1467">
        <v>0</v>
      </c>
      <c r="L1467" s="1" t="s">
        <v>26</v>
      </c>
      <c r="M1467">
        <v>18.100000000000001</v>
      </c>
      <c r="N1467">
        <v>62732.36</v>
      </c>
      <c r="O1467">
        <v>1358621.6</v>
      </c>
      <c r="P1467">
        <v>234619.15</v>
      </c>
      <c r="Q1467" s="1" t="s">
        <v>4727</v>
      </c>
      <c r="R1467">
        <v>78</v>
      </c>
      <c r="S1467" s="1" t="s">
        <v>4728</v>
      </c>
      <c r="T1467" t="b">
        <v>1</v>
      </c>
    </row>
    <row r="1468" spans="1:20" x14ac:dyDescent="0.25">
      <c r="A1468" s="1" t="s">
        <v>4729</v>
      </c>
      <c r="B1468" s="1" t="s">
        <v>169</v>
      </c>
      <c r="C1468" s="1" t="s">
        <v>1879</v>
      </c>
      <c r="D1468" s="1" t="s">
        <v>350</v>
      </c>
      <c r="E1468" s="1" t="s">
        <v>49</v>
      </c>
      <c r="F1468" s="1" t="s">
        <v>25</v>
      </c>
      <c r="G1468" s="2">
        <v>45242</v>
      </c>
      <c r="H1468" s="2">
        <v>45271</v>
      </c>
      <c r="I1468">
        <v>25</v>
      </c>
      <c r="J1468">
        <v>29</v>
      </c>
      <c r="K1468">
        <v>4</v>
      </c>
      <c r="L1468" s="1" t="s">
        <v>101</v>
      </c>
      <c r="M1468">
        <v>408.9</v>
      </c>
      <c r="N1468">
        <v>755409.24</v>
      </c>
      <c r="O1468">
        <v>964136.9</v>
      </c>
      <c r="P1468">
        <v>225635.22</v>
      </c>
      <c r="Q1468" s="1" t="s">
        <v>3173</v>
      </c>
      <c r="R1468">
        <v>38</v>
      </c>
      <c r="S1468" s="1" t="s">
        <v>4730</v>
      </c>
      <c r="T1468" t="b">
        <v>0</v>
      </c>
    </row>
    <row r="1469" spans="1:20" x14ac:dyDescent="0.25">
      <c r="A1469" s="1" t="s">
        <v>4731</v>
      </c>
      <c r="B1469" s="1" t="s">
        <v>403</v>
      </c>
      <c r="C1469" s="1" t="s">
        <v>343</v>
      </c>
      <c r="D1469" s="1" t="s">
        <v>513</v>
      </c>
      <c r="E1469" s="1" t="s">
        <v>24</v>
      </c>
      <c r="F1469" s="1" t="s">
        <v>66</v>
      </c>
      <c r="G1469" s="2">
        <v>45504</v>
      </c>
      <c r="H1469" s="2"/>
      <c r="I1469">
        <v>3</v>
      </c>
      <c r="J1469">
        <v>3</v>
      </c>
      <c r="K1469">
        <v>0</v>
      </c>
      <c r="L1469" s="1" t="s">
        <v>26</v>
      </c>
      <c r="M1469">
        <v>46.4</v>
      </c>
      <c r="N1469">
        <v>97761.68</v>
      </c>
      <c r="O1469">
        <v>1550725.2</v>
      </c>
      <c r="P1469">
        <v>249496.07</v>
      </c>
      <c r="Q1469" s="1" t="s">
        <v>4732</v>
      </c>
      <c r="R1469">
        <v>20</v>
      </c>
      <c r="S1469" s="1" t="s">
        <v>4733</v>
      </c>
      <c r="T1469" t="b">
        <v>1</v>
      </c>
    </row>
    <row r="1470" spans="1:20" x14ac:dyDescent="0.25">
      <c r="A1470" s="1" t="s">
        <v>4734</v>
      </c>
      <c r="B1470" s="1" t="s">
        <v>93</v>
      </c>
      <c r="C1470" s="1" t="s">
        <v>324</v>
      </c>
      <c r="D1470" s="1" t="s">
        <v>713</v>
      </c>
      <c r="E1470" s="1" t="s">
        <v>41</v>
      </c>
      <c r="F1470" s="1" t="s">
        <v>66</v>
      </c>
      <c r="G1470" s="2">
        <v>45217</v>
      </c>
      <c r="H1470" s="2"/>
      <c r="I1470">
        <v>9</v>
      </c>
      <c r="J1470">
        <v>9</v>
      </c>
      <c r="K1470">
        <v>0</v>
      </c>
      <c r="L1470" s="1" t="s">
        <v>26</v>
      </c>
      <c r="M1470">
        <v>111.2</v>
      </c>
      <c r="N1470">
        <v>442147.71</v>
      </c>
      <c r="O1470">
        <v>1389503.99</v>
      </c>
      <c r="P1470">
        <v>287670.34000000003</v>
      </c>
      <c r="Q1470" s="1" t="s">
        <v>4735</v>
      </c>
      <c r="R1470">
        <v>47</v>
      </c>
      <c r="S1470" s="1" t="s">
        <v>4736</v>
      </c>
      <c r="T1470" t="b">
        <v>1</v>
      </c>
    </row>
    <row r="1471" spans="1:20" x14ac:dyDescent="0.25">
      <c r="A1471" s="1" t="s">
        <v>4737</v>
      </c>
      <c r="B1471" s="1" t="s">
        <v>76</v>
      </c>
      <c r="C1471" s="1" t="s">
        <v>31</v>
      </c>
      <c r="D1471" s="1" t="s">
        <v>64</v>
      </c>
      <c r="E1471" s="1" t="s">
        <v>41</v>
      </c>
      <c r="F1471" s="1" t="s">
        <v>66</v>
      </c>
      <c r="G1471" s="2">
        <v>45300</v>
      </c>
      <c r="H1471" s="2"/>
      <c r="I1471">
        <v>9</v>
      </c>
      <c r="J1471">
        <v>9</v>
      </c>
      <c r="K1471">
        <v>0</v>
      </c>
      <c r="L1471" s="1" t="s">
        <v>26</v>
      </c>
      <c r="M1471">
        <v>113.4</v>
      </c>
      <c r="N1471">
        <v>435819.88</v>
      </c>
      <c r="O1471">
        <v>837074.28</v>
      </c>
      <c r="P1471">
        <v>180749.7</v>
      </c>
      <c r="Q1471" s="1" t="s">
        <v>4738</v>
      </c>
      <c r="R1471">
        <v>48</v>
      </c>
      <c r="S1471" s="1" t="s">
        <v>4739</v>
      </c>
      <c r="T1471" t="b">
        <v>1</v>
      </c>
    </row>
    <row r="1472" spans="1:20" x14ac:dyDescent="0.25">
      <c r="A1472" s="1" t="s">
        <v>4740</v>
      </c>
      <c r="B1472" s="1" t="s">
        <v>403</v>
      </c>
      <c r="C1472" s="1" t="s">
        <v>399</v>
      </c>
      <c r="D1472" s="1" t="s">
        <v>216</v>
      </c>
      <c r="E1472" s="1" t="s">
        <v>65</v>
      </c>
      <c r="F1472" s="1" t="s">
        <v>25</v>
      </c>
      <c r="G1472" s="2">
        <v>44567</v>
      </c>
      <c r="H1472" s="2">
        <v>44570</v>
      </c>
      <c r="I1472">
        <v>4</v>
      </c>
      <c r="J1472">
        <v>3</v>
      </c>
      <c r="K1472">
        <v>0</v>
      </c>
      <c r="L1472" s="1" t="s">
        <v>26</v>
      </c>
      <c r="M1472">
        <v>42.4</v>
      </c>
      <c r="N1472">
        <v>100777.1</v>
      </c>
      <c r="O1472">
        <v>4833366.08</v>
      </c>
      <c r="P1472">
        <v>944769.11</v>
      </c>
      <c r="Q1472" s="1" t="s">
        <v>4741</v>
      </c>
      <c r="R1472">
        <v>54</v>
      </c>
      <c r="S1472" s="1" t="s">
        <v>4742</v>
      </c>
      <c r="T1472" t="b">
        <v>1</v>
      </c>
    </row>
    <row r="1473" spans="1:20" x14ac:dyDescent="0.25">
      <c r="A1473" s="1" t="s">
        <v>4743</v>
      </c>
      <c r="B1473" s="1" t="s">
        <v>471</v>
      </c>
      <c r="C1473" s="1" t="s">
        <v>436</v>
      </c>
      <c r="D1473" s="1" t="s">
        <v>176</v>
      </c>
      <c r="E1473" s="1" t="s">
        <v>57</v>
      </c>
      <c r="F1473" s="1" t="s">
        <v>25</v>
      </c>
      <c r="G1473" s="2">
        <v>45165</v>
      </c>
      <c r="H1473" s="2">
        <v>45208</v>
      </c>
      <c r="I1473">
        <v>40</v>
      </c>
      <c r="J1473">
        <v>43</v>
      </c>
      <c r="K1473">
        <v>3</v>
      </c>
      <c r="L1473" s="1" t="s">
        <v>26</v>
      </c>
      <c r="M1473">
        <v>596</v>
      </c>
      <c r="N1473">
        <v>1978983.04</v>
      </c>
      <c r="O1473">
        <v>2077454.11</v>
      </c>
      <c r="P1473">
        <v>628244.5</v>
      </c>
      <c r="Q1473" s="1" t="s">
        <v>4744</v>
      </c>
      <c r="R1473">
        <v>49</v>
      </c>
      <c r="S1473" s="1" t="s">
        <v>4745</v>
      </c>
      <c r="T1473" t="b">
        <v>1</v>
      </c>
    </row>
    <row r="1474" spans="1:20" x14ac:dyDescent="0.25">
      <c r="A1474" s="1" t="s">
        <v>4746</v>
      </c>
      <c r="B1474" s="1" t="s">
        <v>185</v>
      </c>
      <c r="C1474" s="1" t="s">
        <v>2338</v>
      </c>
      <c r="D1474" s="1" t="s">
        <v>582</v>
      </c>
      <c r="E1474" s="1" t="s">
        <v>41</v>
      </c>
      <c r="F1474" s="1" t="s">
        <v>25</v>
      </c>
      <c r="G1474" s="2">
        <v>45012</v>
      </c>
      <c r="H1474" s="2">
        <v>45016</v>
      </c>
      <c r="I1474">
        <v>9</v>
      </c>
      <c r="J1474">
        <v>4</v>
      </c>
      <c r="K1474">
        <v>0</v>
      </c>
      <c r="L1474" s="1" t="s">
        <v>26</v>
      </c>
      <c r="M1474">
        <v>37.6</v>
      </c>
      <c r="N1474">
        <v>118702.62</v>
      </c>
      <c r="O1474">
        <v>2900564.87</v>
      </c>
      <c r="P1474">
        <v>598025.11</v>
      </c>
      <c r="Q1474" s="1" t="s">
        <v>4747</v>
      </c>
      <c r="R1474">
        <v>65</v>
      </c>
      <c r="S1474" s="1" t="s">
        <v>4748</v>
      </c>
      <c r="T1474" t="b">
        <v>0</v>
      </c>
    </row>
    <row r="1475" spans="1:20" x14ac:dyDescent="0.25">
      <c r="A1475" s="1" t="s">
        <v>4749</v>
      </c>
      <c r="B1475" s="1" t="s">
        <v>220</v>
      </c>
      <c r="C1475" s="1" t="s">
        <v>1130</v>
      </c>
      <c r="D1475" s="1" t="s">
        <v>405</v>
      </c>
      <c r="E1475" s="1" t="s">
        <v>24</v>
      </c>
      <c r="F1475" s="1" t="s">
        <v>50</v>
      </c>
      <c r="G1475" s="2">
        <v>45209</v>
      </c>
      <c r="H1475" s="2"/>
      <c r="I1475">
        <v>3</v>
      </c>
      <c r="J1475">
        <v>5</v>
      </c>
      <c r="K1475">
        <v>2</v>
      </c>
      <c r="L1475" s="1" t="s">
        <v>26</v>
      </c>
      <c r="M1475">
        <v>57.7</v>
      </c>
      <c r="N1475">
        <v>173657.19</v>
      </c>
      <c r="O1475">
        <v>3358783.11</v>
      </c>
      <c r="P1475">
        <v>548301.57999999996</v>
      </c>
      <c r="Q1475" s="1" t="s">
        <v>2992</v>
      </c>
      <c r="R1475">
        <v>36</v>
      </c>
      <c r="S1475" s="1" t="s">
        <v>4750</v>
      </c>
      <c r="T1475" t="b">
        <v>1</v>
      </c>
    </row>
    <row r="1476" spans="1:20" x14ac:dyDescent="0.25">
      <c r="A1476" s="1" t="s">
        <v>4751</v>
      </c>
      <c r="B1476" s="1" t="s">
        <v>138</v>
      </c>
      <c r="C1476" s="1" t="s">
        <v>1157</v>
      </c>
      <c r="D1476" s="1" t="s">
        <v>288</v>
      </c>
      <c r="E1476" s="1" t="s">
        <v>65</v>
      </c>
      <c r="F1476" s="1" t="s">
        <v>25</v>
      </c>
      <c r="G1476" s="2">
        <v>45473</v>
      </c>
      <c r="H1476" s="2">
        <v>45479</v>
      </c>
      <c r="I1476">
        <v>4</v>
      </c>
      <c r="J1476">
        <v>6</v>
      </c>
      <c r="K1476">
        <v>1.5</v>
      </c>
      <c r="L1476" s="1" t="s">
        <v>26</v>
      </c>
      <c r="M1476">
        <v>46.6</v>
      </c>
      <c r="N1476">
        <v>158535.1</v>
      </c>
      <c r="O1476">
        <v>396195.69</v>
      </c>
      <c r="P1476">
        <v>100880.19</v>
      </c>
      <c r="Q1476" s="1" t="s">
        <v>4752</v>
      </c>
      <c r="R1476">
        <v>33</v>
      </c>
      <c r="S1476" s="1" t="s">
        <v>4753</v>
      </c>
      <c r="T1476" t="b">
        <v>0</v>
      </c>
    </row>
    <row r="1477" spans="1:20" x14ac:dyDescent="0.25">
      <c r="A1477" s="1" t="s">
        <v>4754</v>
      </c>
      <c r="B1477" s="1" t="s">
        <v>128</v>
      </c>
      <c r="C1477" s="1" t="s">
        <v>472</v>
      </c>
      <c r="D1477" s="1" t="s">
        <v>23</v>
      </c>
      <c r="E1477" s="1" t="s">
        <v>33</v>
      </c>
      <c r="F1477" s="1" t="s">
        <v>25</v>
      </c>
      <c r="G1477" s="2">
        <v>45615</v>
      </c>
      <c r="H1477" s="2">
        <v>45630</v>
      </c>
      <c r="I1477">
        <v>12</v>
      </c>
      <c r="J1477">
        <v>15</v>
      </c>
      <c r="K1477">
        <v>3</v>
      </c>
      <c r="L1477" s="1" t="s">
        <v>26</v>
      </c>
      <c r="M1477">
        <v>71.7</v>
      </c>
      <c r="N1477">
        <v>224715.24</v>
      </c>
      <c r="O1477">
        <v>299809.90000000002</v>
      </c>
      <c r="P1477">
        <v>82929.039999999994</v>
      </c>
      <c r="Q1477" s="1" t="s">
        <v>4755</v>
      </c>
      <c r="R1477">
        <v>72</v>
      </c>
      <c r="S1477" s="1" t="s">
        <v>4756</v>
      </c>
      <c r="T1477" t="b">
        <v>1</v>
      </c>
    </row>
    <row r="1478" spans="1:20" x14ac:dyDescent="0.25">
      <c r="A1478" s="1" t="s">
        <v>4757</v>
      </c>
      <c r="B1478" s="1" t="s">
        <v>158</v>
      </c>
      <c r="C1478" s="1" t="s">
        <v>2140</v>
      </c>
      <c r="D1478" s="1" t="s">
        <v>249</v>
      </c>
      <c r="E1478" s="1" t="s">
        <v>24</v>
      </c>
      <c r="F1478" s="1" t="s">
        <v>66</v>
      </c>
      <c r="G1478" s="2">
        <v>45597</v>
      </c>
      <c r="H1478" s="2"/>
      <c r="I1478">
        <v>3</v>
      </c>
      <c r="J1478">
        <v>5</v>
      </c>
      <c r="K1478">
        <v>2</v>
      </c>
      <c r="L1478" s="1" t="s">
        <v>26</v>
      </c>
      <c r="M1478">
        <v>46.6</v>
      </c>
      <c r="N1478">
        <v>109718.78</v>
      </c>
      <c r="O1478">
        <v>124042.16</v>
      </c>
      <c r="P1478">
        <v>27012.35</v>
      </c>
      <c r="Q1478" s="1" t="s">
        <v>4758</v>
      </c>
      <c r="R1478">
        <v>57</v>
      </c>
      <c r="S1478" s="1" t="s">
        <v>4759</v>
      </c>
      <c r="T1478" t="b">
        <v>0</v>
      </c>
    </row>
    <row r="1479" spans="1:20" x14ac:dyDescent="0.25">
      <c r="A1479" s="1" t="s">
        <v>4760</v>
      </c>
      <c r="B1479" s="1" t="s">
        <v>148</v>
      </c>
      <c r="C1479" s="1" t="s">
        <v>1780</v>
      </c>
      <c r="D1479" s="1" t="s">
        <v>297</v>
      </c>
      <c r="E1479" s="1" t="s">
        <v>57</v>
      </c>
      <c r="F1479" s="1" t="s">
        <v>25</v>
      </c>
      <c r="G1479" s="2">
        <v>44784</v>
      </c>
      <c r="H1479" s="2">
        <v>44844</v>
      </c>
      <c r="I1479">
        <v>40</v>
      </c>
      <c r="J1479">
        <v>60</v>
      </c>
      <c r="K1479">
        <v>20</v>
      </c>
      <c r="L1479" s="1" t="s">
        <v>26</v>
      </c>
      <c r="M1479">
        <v>806.2</v>
      </c>
      <c r="N1479">
        <v>2762922.82</v>
      </c>
      <c r="O1479">
        <v>3163853.84</v>
      </c>
      <c r="P1479">
        <v>790477.69</v>
      </c>
      <c r="Q1479" s="1" t="s">
        <v>4761</v>
      </c>
      <c r="R1479">
        <v>56</v>
      </c>
      <c r="S1479" s="1" t="s">
        <v>4762</v>
      </c>
      <c r="T1479" t="b">
        <v>0</v>
      </c>
    </row>
    <row r="1480" spans="1:20" x14ac:dyDescent="0.25">
      <c r="A1480" s="1" t="s">
        <v>4763</v>
      </c>
      <c r="B1480" s="1" t="s">
        <v>566</v>
      </c>
      <c r="C1480" s="1" t="s">
        <v>201</v>
      </c>
      <c r="D1480" s="1" t="s">
        <v>32</v>
      </c>
      <c r="E1480" s="1" t="s">
        <v>49</v>
      </c>
      <c r="F1480" s="1" t="s">
        <v>50</v>
      </c>
      <c r="G1480" s="2">
        <v>44763</v>
      </c>
      <c r="H1480" s="2"/>
      <c r="I1480">
        <v>25</v>
      </c>
      <c r="J1480">
        <v>14</v>
      </c>
      <c r="K1480">
        <v>0</v>
      </c>
      <c r="L1480" s="1" t="s">
        <v>26</v>
      </c>
      <c r="M1480">
        <v>193</v>
      </c>
      <c r="N1480">
        <v>361236.72</v>
      </c>
      <c r="O1480">
        <v>4139324.21</v>
      </c>
      <c r="P1480">
        <v>453225.77</v>
      </c>
      <c r="Q1480" s="1" t="s">
        <v>4764</v>
      </c>
      <c r="R1480">
        <v>27</v>
      </c>
      <c r="S1480" s="1" t="s">
        <v>4765</v>
      </c>
      <c r="T1480" t="b">
        <v>1</v>
      </c>
    </row>
    <row r="1481" spans="1:20" x14ac:dyDescent="0.25">
      <c r="A1481" s="1" t="s">
        <v>4766</v>
      </c>
      <c r="B1481" s="1" t="s">
        <v>117</v>
      </c>
      <c r="C1481" s="1" t="s">
        <v>149</v>
      </c>
      <c r="D1481" s="1" t="s">
        <v>187</v>
      </c>
      <c r="E1481" s="1" t="s">
        <v>49</v>
      </c>
      <c r="F1481" s="1" t="s">
        <v>25</v>
      </c>
      <c r="G1481" s="2">
        <v>45493</v>
      </c>
      <c r="H1481" s="2">
        <v>45510</v>
      </c>
      <c r="I1481">
        <v>25</v>
      </c>
      <c r="J1481">
        <v>17</v>
      </c>
      <c r="K1481">
        <v>0</v>
      </c>
      <c r="L1481" s="1" t="s">
        <v>26</v>
      </c>
      <c r="M1481">
        <v>166.1</v>
      </c>
      <c r="N1481">
        <v>364786.05</v>
      </c>
      <c r="O1481">
        <v>2778636.35</v>
      </c>
      <c r="P1481">
        <v>436188.28</v>
      </c>
      <c r="Q1481" s="1" t="s">
        <v>4767</v>
      </c>
      <c r="R1481">
        <v>79</v>
      </c>
      <c r="S1481" s="1" t="s">
        <v>4768</v>
      </c>
      <c r="T1481" t="b">
        <v>0</v>
      </c>
    </row>
    <row r="1482" spans="1:20" x14ac:dyDescent="0.25">
      <c r="A1482" s="1" t="s">
        <v>4769</v>
      </c>
      <c r="B1482" s="1" t="s">
        <v>403</v>
      </c>
      <c r="C1482" s="1" t="s">
        <v>1983</v>
      </c>
      <c r="D1482" s="1" t="s">
        <v>513</v>
      </c>
      <c r="E1482" s="1" t="s">
        <v>49</v>
      </c>
      <c r="F1482" s="1" t="s">
        <v>25</v>
      </c>
      <c r="G1482" s="2">
        <v>45184</v>
      </c>
      <c r="H1482" s="2">
        <v>45223</v>
      </c>
      <c r="I1482">
        <v>25</v>
      </c>
      <c r="J1482">
        <v>39</v>
      </c>
      <c r="K1482">
        <v>14</v>
      </c>
      <c r="L1482" s="1" t="s">
        <v>42</v>
      </c>
      <c r="M1482">
        <v>177.6</v>
      </c>
      <c r="N1482">
        <v>661984.44999999995</v>
      </c>
      <c r="O1482">
        <v>230751.21</v>
      </c>
      <c r="P1482">
        <v>133091.69</v>
      </c>
      <c r="Q1482" s="1" t="s">
        <v>4770</v>
      </c>
      <c r="R1482">
        <v>41</v>
      </c>
      <c r="S1482" s="1" t="s">
        <v>4771</v>
      </c>
      <c r="T1482" t="b">
        <v>0</v>
      </c>
    </row>
    <row r="1483" spans="1:20" x14ac:dyDescent="0.25">
      <c r="A1483" s="1" t="s">
        <v>4772</v>
      </c>
      <c r="B1483" s="1" t="s">
        <v>148</v>
      </c>
      <c r="C1483" s="1" t="s">
        <v>1130</v>
      </c>
      <c r="D1483" s="1" t="s">
        <v>207</v>
      </c>
      <c r="E1483" s="1" t="s">
        <v>33</v>
      </c>
      <c r="F1483" s="1" t="s">
        <v>50</v>
      </c>
      <c r="G1483" s="2">
        <v>45475</v>
      </c>
      <c r="H1483" s="2"/>
      <c r="I1483">
        <v>12</v>
      </c>
      <c r="J1483">
        <v>13</v>
      </c>
      <c r="K1483">
        <v>1</v>
      </c>
      <c r="L1483" s="1" t="s">
        <v>26</v>
      </c>
      <c r="M1483">
        <v>121</v>
      </c>
      <c r="N1483">
        <v>459471.45</v>
      </c>
      <c r="O1483">
        <v>3832051.37</v>
      </c>
      <c r="P1483">
        <v>789581.98</v>
      </c>
      <c r="Q1483" s="1" t="s">
        <v>4773</v>
      </c>
      <c r="R1483">
        <v>41</v>
      </c>
      <c r="S1483" s="1" t="s">
        <v>4774</v>
      </c>
      <c r="T1483" t="b">
        <v>1</v>
      </c>
    </row>
    <row r="1484" spans="1:20" x14ac:dyDescent="0.25">
      <c r="A1484" s="1" t="s">
        <v>4775</v>
      </c>
      <c r="B1484" s="1" t="s">
        <v>403</v>
      </c>
      <c r="C1484" s="1" t="s">
        <v>804</v>
      </c>
      <c r="D1484" s="1" t="s">
        <v>405</v>
      </c>
      <c r="E1484" s="1" t="s">
        <v>65</v>
      </c>
      <c r="F1484" s="1" t="s">
        <v>34</v>
      </c>
      <c r="G1484" s="2">
        <v>45213</v>
      </c>
      <c r="H1484" s="2"/>
      <c r="I1484">
        <v>4</v>
      </c>
      <c r="J1484">
        <v>1</v>
      </c>
      <c r="K1484">
        <v>0</v>
      </c>
      <c r="L1484" s="1" t="s">
        <v>26</v>
      </c>
      <c r="M1484">
        <v>8.3000000000000007</v>
      </c>
      <c r="N1484">
        <v>29365.48</v>
      </c>
      <c r="O1484">
        <v>2628740.06</v>
      </c>
      <c r="P1484">
        <v>430046.21</v>
      </c>
      <c r="Q1484" s="1" t="s">
        <v>4776</v>
      </c>
      <c r="R1484">
        <v>72</v>
      </c>
      <c r="S1484" s="1" t="s">
        <v>4777</v>
      </c>
      <c r="T1484" t="b">
        <v>0</v>
      </c>
    </row>
    <row r="1485" spans="1:20" x14ac:dyDescent="0.25">
      <c r="A1485" s="1" t="s">
        <v>4778</v>
      </c>
      <c r="B1485" s="1" t="s">
        <v>62</v>
      </c>
      <c r="C1485" s="1" t="s">
        <v>734</v>
      </c>
      <c r="D1485" s="1" t="s">
        <v>40</v>
      </c>
      <c r="E1485" s="1" t="s">
        <v>33</v>
      </c>
      <c r="F1485" s="1" t="s">
        <v>25</v>
      </c>
      <c r="G1485" s="2">
        <v>45101</v>
      </c>
      <c r="H1485" s="2">
        <v>45112</v>
      </c>
      <c r="I1485">
        <v>12</v>
      </c>
      <c r="J1485">
        <v>11</v>
      </c>
      <c r="K1485">
        <v>0</v>
      </c>
      <c r="L1485" s="1" t="s">
        <v>26</v>
      </c>
      <c r="M1485">
        <v>173.6</v>
      </c>
      <c r="N1485">
        <v>564367.74</v>
      </c>
      <c r="O1485">
        <v>532306.43999999994</v>
      </c>
      <c r="P1485">
        <v>118040.52</v>
      </c>
      <c r="Q1485" s="1" t="s">
        <v>4779</v>
      </c>
      <c r="R1485">
        <v>29</v>
      </c>
      <c r="S1485" s="1" t="s">
        <v>4780</v>
      </c>
      <c r="T1485" t="b">
        <v>1</v>
      </c>
    </row>
    <row r="1486" spans="1:20" x14ac:dyDescent="0.25">
      <c r="A1486" s="1" t="s">
        <v>4781</v>
      </c>
      <c r="B1486" s="1" t="s">
        <v>566</v>
      </c>
      <c r="C1486" s="1" t="s">
        <v>432</v>
      </c>
      <c r="D1486" s="1" t="s">
        <v>288</v>
      </c>
      <c r="E1486" s="1" t="s">
        <v>33</v>
      </c>
      <c r="F1486" s="1" t="s">
        <v>25</v>
      </c>
      <c r="G1486" s="2">
        <v>45222</v>
      </c>
      <c r="H1486" s="2">
        <v>45234</v>
      </c>
      <c r="I1486">
        <v>12</v>
      </c>
      <c r="J1486">
        <v>12</v>
      </c>
      <c r="K1486">
        <v>0</v>
      </c>
      <c r="L1486" s="1" t="s">
        <v>26</v>
      </c>
      <c r="M1486">
        <v>125.1</v>
      </c>
      <c r="N1486">
        <v>375139.61</v>
      </c>
      <c r="O1486">
        <v>1628253.74</v>
      </c>
      <c r="P1486">
        <v>350604.25</v>
      </c>
      <c r="Q1486" s="1" t="s">
        <v>4782</v>
      </c>
      <c r="R1486">
        <v>22</v>
      </c>
      <c r="S1486" s="1" t="s">
        <v>4783</v>
      </c>
      <c r="T1486" t="b">
        <v>0</v>
      </c>
    </row>
    <row r="1487" spans="1:20" x14ac:dyDescent="0.25">
      <c r="A1487" s="1" t="s">
        <v>4784</v>
      </c>
      <c r="B1487" s="1" t="s">
        <v>358</v>
      </c>
      <c r="C1487" s="1" t="s">
        <v>697</v>
      </c>
      <c r="D1487" s="1" t="s">
        <v>726</v>
      </c>
      <c r="E1487" s="1" t="s">
        <v>49</v>
      </c>
      <c r="F1487" s="1" t="s">
        <v>25</v>
      </c>
      <c r="G1487" s="2">
        <v>45484</v>
      </c>
      <c r="H1487" s="2">
        <v>45511</v>
      </c>
      <c r="I1487">
        <v>25</v>
      </c>
      <c r="J1487">
        <v>27</v>
      </c>
      <c r="K1487">
        <v>2</v>
      </c>
      <c r="L1487" s="1" t="s">
        <v>26</v>
      </c>
      <c r="M1487">
        <v>125.3</v>
      </c>
      <c r="N1487">
        <v>524091.86</v>
      </c>
      <c r="O1487">
        <v>1168282.6200000001</v>
      </c>
      <c r="P1487">
        <v>333993.95</v>
      </c>
      <c r="Q1487" s="1" t="s">
        <v>3181</v>
      </c>
      <c r="R1487">
        <v>38</v>
      </c>
      <c r="S1487" s="1" t="s">
        <v>4785</v>
      </c>
      <c r="T1487" t="b">
        <v>0</v>
      </c>
    </row>
    <row r="1488" spans="1:20" x14ac:dyDescent="0.25">
      <c r="A1488" s="1" t="s">
        <v>4786</v>
      </c>
      <c r="B1488" s="1" t="s">
        <v>328</v>
      </c>
      <c r="C1488" s="1" t="s">
        <v>573</v>
      </c>
      <c r="D1488" s="1" t="s">
        <v>159</v>
      </c>
      <c r="E1488" s="1" t="s">
        <v>65</v>
      </c>
      <c r="F1488" s="1" t="s">
        <v>66</v>
      </c>
      <c r="G1488" s="2">
        <v>45405</v>
      </c>
      <c r="H1488" s="2"/>
      <c r="I1488">
        <v>4</v>
      </c>
      <c r="J1488">
        <v>5</v>
      </c>
      <c r="K1488">
        <v>0.5</v>
      </c>
      <c r="L1488" s="1" t="s">
        <v>26</v>
      </c>
      <c r="M1488">
        <v>21.5</v>
      </c>
      <c r="N1488">
        <v>82892.45</v>
      </c>
      <c r="O1488">
        <v>1167193.6299999999</v>
      </c>
      <c r="P1488">
        <v>221534.15</v>
      </c>
      <c r="Q1488" s="1" t="s">
        <v>376</v>
      </c>
      <c r="R1488">
        <v>47</v>
      </c>
      <c r="S1488" s="1" t="s">
        <v>4787</v>
      </c>
      <c r="T1488" t="b">
        <v>1</v>
      </c>
    </row>
    <row r="1489" spans="1:20" x14ac:dyDescent="0.25">
      <c r="A1489" s="1" t="s">
        <v>4788</v>
      </c>
      <c r="B1489" s="1" t="s">
        <v>348</v>
      </c>
      <c r="C1489" s="1" t="s">
        <v>1157</v>
      </c>
      <c r="D1489" s="1" t="s">
        <v>405</v>
      </c>
      <c r="E1489" s="1" t="s">
        <v>49</v>
      </c>
      <c r="F1489" s="1" t="s">
        <v>25</v>
      </c>
      <c r="G1489" s="2">
        <v>44837</v>
      </c>
      <c r="H1489" s="2">
        <v>44862</v>
      </c>
      <c r="I1489">
        <v>25</v>
      </c>
      <c r="J1489">
        <v>25</v>
      </c>
      <c r="K1489">
        <v>0</v>
      </c>
      <c r="L1489" s="1" t="s">
        <v>26</v>
      </c>
      <c r="M1489">
        <v>165.6</v>
      </c>
      <c r="N1489">
        <v>521018.11</v>
      </c>
      <c r="O1489">
        <v>3312906.8</v>
      </c>
      <c r="P1489">
        <v>716408.76</v>
      </c>
      <c r="Q1489" s="1" t="s">
        <v>4789</v>
      </c>
      <c r="R1489">
        <v>78</v>
      </c>
      <c r="S1489" s="1" t="s">
        <v>4790</v>
      </c>
      <c r="T1489" t="b">
        <v>1</v>
      </c>
    </row>
    <row r="1490" spans="1:20" x14ac:dyDescent="0.25">
      <c r="A1490" s="1" t="s">
        <v>4791</v>
      </c>
      <c r="B1490" s="1" t="s">
        <v>158</v>
      </c>
      <c r="C1490" s="1" t="s">
        <v>2318</v>
      </c>
      <c r="D1490" s="1" t="s">
        <v>202</v>
      </c>
      <c r="E1490" s="1" t="s">
        <v>41</v>
      </c>
      <c r="F1490" s="1" t="s">
        <v>25</v>
      </c>
      <c r="G1490" s="2">
        <v>44863</v>
      </c>
      <c r="H1490" s="2">
        <v>44869</v>
      </c>
      <c r="I1490">
        <v>9</v>
      </c>
      <c r="J1490">
        <v>6</v>
      </c>
      <c r="K1490">
        <v>0</v>
      </c>
      <c r="L1490" s="1" t="s">
        <v>26</v>
      </c>
      <c r="M1490">
        <v>31.5</v>
      </c>
      <c r="N1490">
        <v>90167.41</v>
      </c>
      <c r="O1490">
        <v>2802205.81</v>
      </c>
      <c r="P1490">
        <v>504151.99</v>
      </c>
      <c r="Q1490" s="1" t="s">
        <v>4792</v>
      </c>
      <c r="R1490">
        <v>43</v>
      </c>
      <c r="S1490" s="1" t="s">
        <v>4793</v>
      </c>
      <c r="T1490" t="b">
        <v>0</v>
      </c>
    </row>
    <row r="1491" spans="1:20" x14ac:dyDescent="0.25">
      <c r="A1491" s="1" t="s">
        <v>4794</v>
      </c>
      <c r="B1491" s="1" t="s">
        <v>242</v>
      </c>
      <c r="C1491" s="1" t="s">
        <v>281</v>
      </c>
      <c r="D1491" s="1" t="s">
        <v>249</v>
      </c>
      <c r="E1491" s="1" t="s">
        <v>57</v>
      </c>
      <c r="F1491" s="1" t="s">
        <v>25</v>
      </c>
      <c r="G1491" s="2">
        <v>44897</v>
      </c>
      <c r="H1491" s="2">
        <v>44928</v>
      </c>
      <c r="I1491">
        <v>40</v>
      </c>
      <c r="J1491">
        <v>31</v>
      </c>
      <c r="K1491">
        <v>0</v>
      </c>
      <c r="L1491" s="1" t="s">
        <v>26</v>
      </c>
      <c r="M1491">
        <v>235.6</v>
      </c>
      <c r="N1491">
        <v>663207.22</v>
      </c>
      <c r="O1491">
        <v>4963399.49</v>
      </c>
      <c r="P1491">
        <v>772447.74</v>
      </c>
      <c r="Q1491" s="1" t="s">
        <v>4795</v>
      </c>
      <c r="R1491">
        <v>57</v>
      </c>
      <c r="S1491" s="1" t="s">
        <v>4796</v>
      </c>
      <c r="T1491" t="b">
        <v>0</v>
      </c>
    </row>
    <row r="1492" spans="1:20" x14ac:dyDescent="0.25">
      <c r="A1492" s="1" t="s">
        <v>4797</v>
      </c>
      <c r="B1492" s="1" t="s">
        <v>358</v>
      </c>
      <c r="C1492" s="1" t="s">
        <v>630</v>
      </c>
      <c r="D1492" s="1" t="s">
        <v>622</v>
      </c>
      <c r="E1492" s="1" t="s">
        <v>33</v>
      </c>
      <c r="F1492" s="1" t="s">
        <v>25</v>
      </c>
      <c r="G1492" s="2">
        <v>45358</v>
      </c>
      <c r="H1492" s="2">
        <v>45367</v>
      </c>
      <c r="I1492">
        <v>12</v>
      </c>
      <c r="J1492">
        <v>9</v>
      </c>
      <c r="K1492">
        <v>0</v>
      </c>
      <c r="L1492" s="1" t="s">
        <v>26</v>
      </c>
      <c r="M1492">
        <v>68.400000000000006</v>
      </c>
      <c r="N1492">
        <v>269886.89</v>
      </c>
      <c r="O1492">
        <v>4234329.59</v>
      </c>
      <c r="P1492">
        <v>769779.15</v>
      </c>
      <c r="Q1492" s="1" t="s">
        <v>4798</v>
      </c>
      <c r="R1492">
        <v>54</v>
      </c>
      <c r="S1492" s="1" t="s">
        <v>4799</v>
      </c>
      <c r="T1492" t="b">
        <v>0</v>
      </c>
    </row>
    <row r="1493" spans="1:20" x14ac:dyDescent="0.25">
      <c r="A1493" s="1" t="s">
        <v>4800</v>
      </c>
      <c r="B1493" s="1" t="s">
        <v>174</v>
      </c>
      <c r="C1493" s="1" t="s">
        <v>4801</v>
      </c>
      <c r="D1493" s="1" t="s">
        <v>159</v>
      </c>
      <c r="E1493" s="1" t="s">
        <v>41</v>
      </c>
      <c r="F1493" s="1" t="s">
        <v>25</v>
      </c>
      <c r="G1493" s="2">
        <v>44730</v>
      </c>
      <c r="H1493" s="2">
        <v>44737</v>
      </c>
      <c r="I1493">
        <v>9</v>
      </c>
      <c r="J1493">
        <v>7</v>
      </c>
      <c r="K1493">
        <v>0</v>
      </c>
      <c r="L1493" s="1" t="s">
        <v>26</v>
      </c>
      <c r="M1493">
        <v>90.2</v>
      </c>
      <c r="N1493">
        <v>387232.32</v>
      </c>
      <c r="O1493">
        <v>3052699.18</v>
      </c>
      <c r="P1493">
        <v>490085.25</v>
      </c>
      <c r="Q1493" s="1" t="s">
        <v>4802</v>
      </c>
      <c r="R1493">
        <v>52</v>
      </c>
      <c r="S1493" s="1" t="s">
        <v>4803</v>
      </c>
      <c r="T1493" t="b">
        <v>1</v>
      </c>
    </row>
    <row r="1494" spans="1:20" x14ac:dyDescent="0.25">
      <c r="A1494" s="1" t="s">
        <v>4804</v>
      </c>
      <c r="B1494" s="1" t="s">
        <v>117</v>
      </c>
      <c r="C1494" s="1" t="s">
        <v>914</v>
      </c>
      <c r="D1494" s="1" t="s">
        <v>293</v>
      </c>
      <c r="E1494" s="1" t="s">
        <v>49</v>
      </c>
      <c r="F1494" s="1" t="s">
        <v>66</v>
      </c>
      <c r="G1494" s="2">
        <v>45390</v>
      </c>
      <c r="H1494" s="2"/>
      <c r="I1494">
        <v>25</v>
      </c>
      <c r="J1494">
        <v>12</v>
      </c>
      <c r="K1494">
        <v>0</v>
      </c>
      <c r="L1494" s="1" t="s">
        <v>26</v>
      </c>
      <c r="M1494">
        <v>141</v>
      </c>
      <c r="N1494">
        <v>612720.89</v>
      </c>
      <c r="O1494">
        <v>4457289.28</v>
      </c>
      <c r="P1494">
        <v>557134.23</v>
      </c>
      <c r="Q1494" s="1" t="s">
        <v>4805</v>
      </c>
      <c r="R1494">
        <v>64</v>
      </c>
      <c r="S1494" s="1" t="s">
        <v>4806</v>
      </c>
      <c r="T1494" t="b">
        <v>1</v>
      </c>
    </row>
    <row r="1495" spans="1:20" x14ac:dyDescent="0.25">
      <c r="A1495" s="1" t="s">
        <v>4807</v>
      </c>
      <c r="B1495" s="1" t="s">
        <v>122</v>
      </c>
      <c r="C1495" s="1" t="s">
        <v>1079</v>
      </c>
      <c r="D1495" s="1" t="s">
        <v>238</v>
      </c>
      <c r="E1495" s="1" t="s">
        <v>49</v>
      </c>
      <c r="F1495" s="1" t="s">
        <v>25</v>
      </c>
      <c r="G1495" s="2">
        <v>45084</v>
      </c>
      <c r="H1495" s="2">
        <v>45116</v>
      </c>
      <c r="I1495">
        <v>25</v>
      </c>
      <c r="J1495">
        <v>32</v>
      </c>
      <c r="K1495">
        <v>7</v>
      </c>
      <c r="L1495" s="1" t="s">
        <v>193</v>
      </c>
      <c r="M1495">
        <v>315</v>
      </c>
      <c r="N1495">
        <v>949511.09</v>
      </c>
      <c r="O1495">
        <v>138893.96</v>
      </c>
      <c r="P1495">
        <v>217270.01</v>
      </c>
      <c r="Q1495" s="1" t="s">
        <v>4808</v>
      </c>
      <c r="R1495">
        <v>62</v>
      </c>
      <c r="S1495" s="1" t="s">
        <v>4809</v>
      </c>
      <c r="T1495" t="b">
        <v>1</v>
      </c>
    </row>
    <row r="1496" spans="1:20" x14ac:dyDescent="0.25">
      <c r="A1496" s="1" t="s">
        <v>4810</v>
      </c>
      <c r="B1496" s="1" t="s">
        <v>220</v>
      </c>
      <c r="C1496" s="1" t="s">
        <v>1042</v>
      </c>
      <c r="D1496" s="1" t="s">
        <v>405</v>
      </c>
      <c r="E1496" s="1" t="s">
        <v>33</v>
      </c>
      <c r="F1496" s="1" t="s">
        <v>50</v>
      </c>
      <c r="G1496" s="2">
        <v>44974</v>
      </c>
      <c r="H1496" s="2"/>
      <c r="I1496">
        <v>12</v>
      </c>
      <c r="J1496">
        <v>8</v>
      </c>
      <c r="K1496">
        <v>0</v>
      </c>
      <c r="L1496" s="1" t="s">
        <v>26</v>
      </c>
      <c r="M1496">
        <v>72.8</v>
      </c>
      <c r="N1496">
        <v>298654.82</v>
      </c>
      <c r="O1496">
        <v>1745925.58</v>
      </c>
      <c r="P1496">
        <v>395181.32</v>
      </c>
      <c r="Q1496" s="1" t="s">
        <v>4811</v>
      </c>
      <c r="R1496">
        <v>72</v>
      </c>
      <c r="S1496" s="1" t="s">
        <v>4812</v>
      </c>
      <c r="T1496" t="b">
        <v>1</v>
      </c>
    </row>
    <row r="1497" spans="1:20" x14ac:dyDescent="0.25">
      <c r="A1497" s="1" t="s">
        <v>4813</v>
      </c>
      <c r="B1497" s="1" t="s">
        <v>82</v>
      </c>
      <c r="C1497" s="1" t="s">
        <v>776</v>
      </c>
      <c r="D1497" s="1" t="s">
        <v>176</v>
      </c>
      <c r="E1497" s="1" t="s">
        <v>49</v>
      </c>
      <c r="F1497" s="1" t="s">
        <v>25</v>
      </c>
      <c r="G1497" s="2">
        <v>44800</v>
      </c>
      <c r="H1497" s="2">
        <v>44823</v>
      </c>
      <c r="I1497">
        <v>25</v>
      </c>
      <c r="J1497">
        <v>23</v>
      </c>
      <c r="K1497">
        <v>0</v>
      </c>
      <c r="L1497" s="1" t="s">
        <v>26</v>
      </c>
      <c r="M1497">
        <v>196.1</v>
      </c>
      <c r="N1497">
        <v>596366.61</v>
      </c>
      <c r="O1497">
        <v>3002918.11</v>
      </c>
      <c r="P1497">
        <v>495820.88</v>
      </c>
      <c r="Q1497" s="1" t="s">
        <v>4814</v>
      </c>
      <c r="R1497">
        <v>40</v>
      </c>
      <c r="S1497" s="1" t="s">
        <v>4815</v>
      </c>
      <c r="T1497" t="b">
        <v>0</v>
      </c>
    </row>
    <row r="1498" spans="1:20" x14ac:dyDescent="0.25">
      <c r="A1498" s="1" t="s">
        <v>4816</v>
      </c>
      <c r="B1498" s="1" t="s">
        <v>220</v>
      </c>
      <c r="C1498" s="1" t="s">
        <v>1699</v>
      </c>
      <c r="D1498" s="1" t="s">
        <v>582</v>
      </c>
      <c r="E1498" s="1" t="s">
        <v>24</v>
      </c>
      <c r="F1498" s="1" t="s">
        <v>25</v>
      </c>
      <c r="G1498" s="2">
        <v>45054</v>
      </c>
      <c r="H1498" s="2">
        <v>45055</v>
      </c>
      <c r="I1498">
        <v>3</v>
      </c>
      <c r="J1498">
        <v>1</v>
      </c>
      <c r="K1498">
        <v>0</v>
      </c>
      <c r="L1498" s="1" t="s">
        <v>26</v>
      </c>
      <c r="M1498">
        <v>5.6</v>
      </c>
      <c r="N1498">
        <v>22917.33</v>
      </c>
      <c r="O1498">
        <v>648749.63</v>
      </c>
      <c r="P1498">
        <v>112843.37</v>
      </c>
      <c r="Q1498" s="1" t="s">
        <v>4817</v>
      </c>
      <c r="R1498">
        <v>24</v>
      </c>
      <c r="S1498" s="1" t="s">
        <v>4818</v>
      </c>
      <c r="T1498" t="b">
        <v>1</v>
      </c>
    </row>
    <row r="1499" spans="1:20" x14ac:dyDescent="0.25">
      <c r="A1499" s="1" t="s">
        <v>4819</v>
      </c>
      <c r="B1499" s="1" t="s">
        <v>82</v>
      </c>
      <c r="C1499" s="1" t="s">
        <v>1368</v>
      </c>
      <c r="D1499" s="1" t="s">
        <v>306</v>
      </c>
      <c r="E1499" s="1" t="s">
        <v>65</v>
      </c>
      <c r="F1499" s="1" t="s">
        <v>66</v>
      </c>
      <c r="G1499" s="2">
        <v>45458</v>
      </c>
      <c r="H1499" s="2"/>
      <c r="I1499">
        <v>4</v>
      </c>
      <c r="J1499">
        <v>4</v>
      </c>
      <c r="K1499">
        <v>0</v>
      </c>
      <c r="L1499" s="1" t="s">
        <v>26</v>
      </c>
      <c r="M1499">
        <v>58.8</v>
      </c>
      <c r="N1499">
        <v>183350.15</v>
      </c>
      <c r="O1499">
        <v>3089812.91</v>
      </c>
      <c r="P1499">
        <v>332600.96000000002</v>
      </c>
      <c r="Q1499" s="1" t="s">
        <v>4820</v>
      </c>
      <c r="R1499">
        <v>60</v>
      </c>
      <c r="S1499" s="1" t="s">
        <v>4821</v>
      </c>
      <c r="T1499" t="b">
        <v>0</v>
      </c>
    </row>
    <row r="1500" spans="1:20" x14ac:dyDescent="0.25">
      <c r="A1500" s="1" t="s">
        <v>4822</v>
      </c>
      <c r="B1500" s="1" t="s">
        <v>21</v>
      </c>
      <c r="C1500" s="1" t="s">
        <v>164</v>
      </c>
      <c r="D1500" s="1" t="s">
        <v>595</v>
      </c>
      <c r="E1500" s="1" t="s">
        <v>65</v>
      </c>
      <c r="F1500" s="1" t="s">
        <v>25</v>
      </c>
      <c r="G1500" s="2">
        <v>45127</v>
      </c>
      <c r="H1500" s="2">
        <v>45132</v>
      </c>
      <c r="I1500">
        <v>4</v>
      </c>
      <c r="J1500">
        <v>5</v>
      </c>
      <c r="K1500">
        <v>0.5</v>
      </c>
      <c r="L1500" s="1" t="s">
        <v>26</v>
      </c>
      <c r="M1500">
        <v>37.6</v>
      </c>
      <c r="N1500">
        <v>130295.65</v>
      </c>
      <c r="O1500">
        <v>1064330.8700000001</v>
      </c>
      <c r="P1500">
        <v>212268.89</v>
      </c>
      <c r="Q1500" s="1" t="s">
        <v>4823</v>
      </c>
      <c r="R1500">
        <v>76</v>
      </c>
      <c r="S1500" s="1" t="s">
        <v>4824</v>
      </c>
      <c r="T1500" t="b">
        <v>0</v>
      </c>
    </row>
    <row r="1501" spans="1:20" x14ac:dyDescent="0.25">
      <c r="A1501" s="1" t="s">
        <v>4825</v>
      </c>
      <c r="B1501" s="1" t="s">
        <v>358</v>
      </c>
      <c r="C1501" s="1" t="s">
        <v>1381</v>
      </c>
      <c r="D1501" s="1" t="s">
        <v>713</v>
      </c>
      <c r="E1501" s="1" t="s">
        <v>65</v>
      </c>
      <c r="F1501" s="1" t="s">
        <v>50</v>
      </c>
      <c r="G1501" s="2">
        <v>44848</v>
      </c>
      <c r="H1501" s="2"/>
      <c r="I1501">
        <v>4</v>
      </c>
      <c r="J1501">
        <v>1</v>
      </c>
      <c r="K1501">
        <v>0</v>
      </c>
      <c r="L1501" s="1" t="s">
        <v>26</v>
      </c>
      <c r="M1501">
        <v>5.3</v>
      </c>
      <c r="N1501">
        <v>15031.18</v>
      </c>
      <c r="O1501">
        <v>2453185.13</v>
      </c>
      <c r="P1501">
        <v>278474.21000000002</v>
      </c>
      <c r="Q1501" s="1" t="s">
        <v>4826</v>
      </c>
      <c r="R1501">
        <v>59</v>
      </c>
      <c r="S1501" s="1" t="s">
        <v>4827</v>
      </c>
      <c r="T1501" t="b">
        <v>0</v>
      </c>
    </row>
    <row r="1502" spans="1:20" x14ac:dyDescent="0.25">
      <c r="A1502" s="1" t="s">
        <v>4828</v>
      </c>
      <c r="B1502" s="1" t="s">
        <v>566</v>
      </c>
      <c r="C1502" s="1" t="s">
        <v>1134</v>
      </c>
      <c r="D1502" s="1" t="s">
        <v>505</v>
      </c>
      <c r="E1502" s="1" t="s">
        <v>49</v>
      </c>
      <c r="F1502" s="1" t="s">
        <v>50</v>
      </c>
      <c r="G1502" s="2">
        <v>45291</v>
      </c>
      <c r="H1502" s="2"/>
      <c r="I1502">
        <v>25</v>
      </c>
      <c r="J1502">
        <v>15</v>
      </c>
      <c r="K1502">
        <v>0</v>
      </c>
      <c r="L1502" s="1" t="s">
        <v>26</v>
      </c>
      <c r="M1502">
        <v>175.1</v>
      </c>
      <c r="N1502">
        <v>544930.9</v>
      </c>
      <c r="O1502">
        <v>2198971.4700000002</v>
      </c>
      <c r="P1502">
        <v>507843.61</v>
      </c>
      <c r="Q1502" s="1" t="s">
        <v>4829</v>
      </c>
      <c r="R1502">
        <v>33</v>
      </c>
      <c r="S1502" s="1" t="s">
        <v>4830</v>
      </c>
      <c r="T1502" t="b">
        <v>0</v>
      </c>
    </row>
    <row r="1503" spans="1:20" x14ac:dyDescent="0.25">
      <c r="A1503" s="1" t="s">
        <v>4831</v>
      </c>
      <c r="B1503" s="1" t="s">
        <v>163</v>
      </c>
      <c r="C1503" s="1" t="s">
        <v>1103</v>
      </c>
      <c r="D1503" s="1" t="s">
        <v>48</v>
      </c>
      <c r="E1503" s="1" t="s">
        <v>57</v>
      </c>
      <c r="F1503" s="1" t="s">
        <v>34</v>
      </c>
      <c r="G1503" s="2">
        <v>44567</v>
      </c>
      <c r="H1503" s="2"/>
      <c r="I1503">
        <v>40</v>
      </c>
      <c r="J1503">
        <v>41</v>
      </c>
      <c r="K1503">
        <v>1</v>
      </c>
      <c r="L1503" s="1" t="s">
        <v>26</v>
      </c>
      <c r="M1503">
        <v>332.9</v>
      </c>
      <c r="N1503">
        <v>1254114.1599999999</v>
      </c>
      <c r="O1503">
        <v>4894060.9800000004</v>
      </c>
      <c r="P1503">
        <v>1126187.98</v>
      </c>
      <c r="Q1503" s="1" t="s">
        <v>3896</v>
      </c>
      <c r="R1503">
        <v>55</v>
      </c>
      <c r="S1503" s="1" t="s">
        <v>4832</v>
      </c>
      <c r="T1503" t="b">
        <v>0</v>
      </c>
    </row>
    <row r="1504" spans="1:20" x14ac:dyDescent="0.25">
      <c r="A1504" s="1" t="s">
        <v>4833</v>
      </c>
      <c r="B1504" s="1" t="s">
        <v>348</v>
      </c>
      <c r="C1504" s="1" t="s">
        <v>884</v>
      </c>
      <c r="D1504" s="1" t="s">
        <v>293</v>
      </c>
      <c r="E1504" s="1" t="s">
        <v>57</v>
      </c>
      <c r="F1504" s="1" t="s">
        <v>25</v>
      </c>
      <c r="G1504" s="2">
        <v>45547</v>
      </c>
      <c r="H1504" s="2">
        <v>45601</v>
      </c>
      <c r="I1504">
        <v>40</v>
      </c>
      <c r="J1504">
        <v>54</v>
      </c>
      <c r="K1504">
        <v>14</v>
      </c>
      <c r="L1504" s="1" t="s">
        <v>330</v>
      </c>
      <c r="M1504">
        <v>806.1</v>
      </c>
      <c r="N1504">
        <v>1948725.23</v>
      </c>
      <c r="O1504">
        <v>13960.18</v>
      </c>
      <c r="P1504">
        <v>288283.55</v>
      </c>
      <c r="Q1504" s="1" t="s">
        <v>4834</v>
      </c>
      <c r="R1504">
        <v>66</v>
      </c>
      <c r="S1504" s="1" t="s">
        <v>4835</v>
      </c>
      <c r="T1504" t="b">
        <v>1</v>
      </c>
    </row>
    <row r="1505" spans="1:20" x14ac:dyDescent="0.25">
      <c r="A1505" s="1" t="s">
        <v>4836</v>
      </c>
      <c r="B1505" s="1" t="s">
        <v>403</v>
      </c>
      <c r="C1505" s="1" t="s">
        <v>409</v>
      </c>
      <c r="D1505" s="1" t="s">
        <v>216</v>
      </c>
      <c r="E1505" s="1" t="s">
        <v>41</v>
      </c>
      <c r="F1505" s="1" t="s">
        <v>25</v>
      </c>
      <c r="G1505" s="2">
        <v>45327</v>
      </c>
      <c r="H1505" s="2">
        <v>45334</v>
      </c>
      <c r="I1505">
        <v>9</v>
      </c>
      <c r="J1505">
        <v>7</v>
      </c>
      <c r="K1505">
        <v>0</v>
      </c>
      <c r="L1505" s="1" t="s">
        <v>26</v>
      </c>
      <c r="M1505">
        <v>76.7</v>
      </c>
      <c r="N1505">
        <v>179058.24</v>
      </c>
      <c r="O1505">
        <v>1794414.58</v>
      </c>
      <c r="P1505">
        <v>219935</v>
      </c>
      <c r="Q1505" s="1" t="s">
        <v>4837</v>
      </c>
      <c r="R1505">
        <v>57</v>
      </c>
      <c r="S1505" s="1" t="s">
        <v>4838</v>
      </c>
      <c r="T1505" t="b">
        <v>0</v>
      </c>
    </row>
    <row r="1506" spans="1:20" x14ac:dyDescent="0.25">
      <c r="A1506" s="1" t="s">
        <v>4839</v>
      </c>
      <c r="B1506" s="1" t="s">
        <v>334</v>
      </c>
      <c r="C1506" s="1" t="s">
        <v>823</v>
      </c>
      <c r="D1506" s="1" t="s">
        <v>107</v>
      </c>
      <c r="E1506" s="1" t="s">
        <v>33</v>
      </c>
      <c r="F1506" s="1" t="s">
        <v>25</v>
      </c>
      <c r="G1506" s="2">
        <v>44999</v>
      </c>
      <c r="H1506" s="2">
        <v>45016</v>
      </c>
      <c r="I1506">
        <v>12</v>
      </c>
      <c r="J1506">
        <v>17</v>
      </c>
      <c r="K1506">
        <v>5</v>
      </c>
      <c r="L1506" s="1" t="s">
        <v>58</v>
      </c>
      <c r="M1506">
        <v>69.599999999999994</v>
      </c>
      <c r="N1506">
        <v>127904.12</v>
      </c>
      <c r="O1506">
        <v>1617931</v>
      </c>
      <c r="P1506">
        <v>217157.49</v>
      </c>
      <c r="Q1506" s="1" t="s">
        <v>4840</v>
      </c>
      <c r="R1506">
        <v>64</v>
      </c>
      <c r="S1506" s="1" t="s">
        <v>4841</v>
      </c>
      <c r="T1506" t="b">
        <v>0</v>
      </c>
    </row>
    <row r="1507" spans="1:20" x14ac:dyDescent="0.25">
      <c r="A1507" s="1" t="s">
        <v>4842</v>
      </c>
      <c r="B1507" s="1" t="s">
        <v>158</v>
      </c>
      <c r="C1507" s="1" t="s">
        <v>717</v>
      </c>
      <c r="D1507" s="1" t="s">
        <v>144</v>
      </c>
      <c r="E1507" s="1" t="s">
        <v>33</v>
      </c>
      <c r="F1507" s="1" t="s">
        <v>25</v>
      </c>
      <c r="G1507" s="2">
        <v>45590</v>
      </c>
      <c r="H1507" s="2">
        <v>45597</v>
      </c>
      <c r="I1507">
        <v>12</v>
      </c>
      <c r="J1507">
        <v>7</v>
      </c>
      <c r="K1507">
        <v>0</v>
      </c>
      <c r="L1507" s="1" t="s">
        <v>26</v>
      </c>
      <c r="M1507">
        <v>88.7</v>
      </c>
      <c r="N1507">
        <v>288005.94</v>
      </c>
      <c r="O1507">
        <v>4825495.7300000004</v>
      </c>
      <c r="P1507">
        <v>555210.77</v>
      </c>
      <c r="Q1507" s="1" t="s">
        <v>4843</v>
      </c>
      <c r="R1507">
        <v>34</v>
      </c>
      <c r="S1507" s="1" t="s">
        <v>4844</v>
      </c>
      <c r="T1507" t="b">
        <v>0</v>
      </c>
    </row>
    <row r="1508" spans="1:20" x14ac:dyDescent="0.25">
      <c r="A1508" s="1" t="s">
        <v>4845</v>
      </c>
      <c r="B1508" s="1" t="s">
        <v>138</v>
      </c>
      <c r="C1508" s="1" t="s">
        <v>1079</v>
      </c>
      <c r="D1508" s="1" t="s">
        <v>95</v>
      </c>
      <c r="E1508" s="1" t="s">
        <v>49</v>
      </c>
      <c r="F1508" s="1" t="s">
        <v>25</v>
      </c>
      <c r="G1508" s="2">
        <v>45547</v>
      </c>
      <c r="H1508" s="2">
        <v>45562</v>
      </c>
      <c r="I1508">
        <v>25</v>
      </c>
      <c r="J1508">
        <v>15</v>
      </c>
      <c r="K1508">
        <v>0</v>
      </c>
      <c r="L1508" s="1" t="s">
        <v>26</v>
      </c>
      <c r="M1508">
        <v>173.6</v>
      </c>
      <c r="N1508">
        <v>755555.66</v>
      </c>
      <c r="O1508">
        <v>83762.89</v>
      </c>
      <c r="P1508">
        <v>150945.72</v>
      </c>
      <c r="Q1508" s="1" t="s">
        <v>4846</v>
      </c>
      <c r="R1508">
        <v>53</v>
      </c>
      <c r="S1508" s="1" t="s">
        <v>4847</v>
      </c>
      <c r="T1508" t="b">
        <v>0</v>
      </c>
    </row>
    <row r="1509" spans="1:20" x14ac:dyDescent="0.25">
      <c r="A1509" s="1" t="s">
        <v>4848</v>
      </c>
      <c r="B1509" s="1" t="s">
        <v>286</v>
      </c>
      <c r="C1509" s="1" t="s">
        <v>892</v>
      </c>
      <c r="D1509" s="1" t="s">
        <v>187</v>
      </c>
      <c r="E1509" s="1" t="s">
        <v>24</v>
      </c>
      <c r="F1509" s="1" t="s">
        <v>25</v>
      </c>
      <c r="G1509" s="2">
        <v>45428</v>
      </c>
      <c r="H1509" s="2">
        <v>45431</v>
      </c>
      <c r="I1509">
        <v>3</v>
      </c>
      <c r="J1509">
        <v>3</v>
      </c>
      <c r="K1509">
        <v>0</v>
      </c>
      <c r="L1509" s="1" t="s">
        <v>26</v>
      </c>
      <c r="M1509">
        <v>39.4</v>
      </c>
      <c r="N1509">
        <v>160167.45000000001</v>
      </c>
      <c r="O1509">
        <v>2038665.29</v>
      </c>
      <c r="P1509">
        <v>340360.82</v>
      </c>
      <c r="Q1509" s="1" t="s">
        <v>4849</v>
      </c>
      <c r="R1509">
        <v>32</v>
      </c>
      <c r="S1509" s="1" t="s">
        <v>4850</v>
      </c>
      <c r="T1509" t="b">
        <v>1</v>
      </c>
    </row>
    <row r="1510" spans="1:20" x14ac:dyDescent="0.25">
      <c r="A1510" s="1" t="s">
        <v>4851</v>
      </c>
      <c r="B1510" s="1" t="s">
        <v>334</v>
      </c>
      <c r="C1510" s="1" t="s">
        <v>1164</v>
      </c>
      <c r="D1510" s="1" t="s">
        <v>32</v>
      </c>
      <c r="E1510" s="1" t="s">
        <v>24</v>
      </c>
      <c r="F1510" s="1" t="s">
        <v>25</v>
      </c>
      <c r="G1510" s="2">
        <v>44709</v>
      </c>
      <c r="H1510" s="2">
        <v>44711</v>
      </c>
      <c r="I1510">
        <v>3</v>
      </c>
      <c r="J1510">
        <v>2</v>
      </c>
      <c r="K1510">
        <v>0</v>
      </c>
      <c r="L1510" s="1" t="s">
        <v>26</v>
      </c>
      <c r="M1510">
        <v>25</v>
      </c>
      <c r="N1510">
        <v>58241.88</v>
      </c>
      <c r="O1510">
        <v>2027179.45</v>
      </c>
      <c r="P1510">
        <v>219551.87</v>
      </c>
      <c r="Q1510" s="1" t="s">
        <v>1993</v>
      </c>
      <c r="R1510">
        <v>41</v>
      </c>
      <c r="S1510" s="1" t="s">
        <v>4852</v>
      </c>
      <c r="T1510" t="b">
        <v>0</v>
      </c>
    </row>
    <row r="1511" spans="1:20" x14ac:dyDescent="0.25">
      <c r="A1511" s="1" t="s">
        <v>4853</v>
      </c>
      <c r="B1511" s="1" t="s">
        <v>138</v>
      </c>
      <c r="C1511" s="1" t="s">
        <v>734</v>
      </c>
      <c r="D1511" s="1" t="s">
        <v>758</v>
      </c>
      <c r="E1511" s="1" t="s">
        <v>41</v>
      </c>
      <c r="F1511" s="1" t="s">
        <v>25</v>
      </c>
      <c r="G1511" s="2">
        <v>44600</v>
      </c>
      <c r="H1511" s="2">
        <v>44605</v>
      </c>
      <c r="I1511">
        <v>9</v>
      </c>
      <c r="J1511">
        <v>5</v>
      </c>
      <c r="K1511">
        <v>0</v>
      </c>
      <c r="L1511" s="1" t="s">
        <v>26</v>
      </c>
      <c r="M1511">
        <v>30.1</v>
      </c>
      <c r="N1511">
        <v>114392.98</v>
      </c>
      <c r="O1511">
        <v>488229.79</v>
      </c>
      <c r="P1511">
        <v>107764.7</v>
      </c>
      <c r="Q1511" s="1" t="s">
        <v>4854</v>
      </c>
      <c r="R1511">
        <v>24</v>
      </c>
      <c r="S1511" s="1" t="s">
        <v>4855</v>
      </c>
      <c r="T1511" t="b">
        <v>0</v>
      </c>
    </row>
    <row r="1512" spans="1:20" x14ac:dyDescent="0.25">
      <c r="A1512" s="1" t="s">
        <v>4856</v>
      </c>
      <c r="B1512" s="1" t="s">
        <v>403</v>
      </c>
      <c r="C1512" s="1" t="s">
        <v>610</v>
      </c>
      <c r="D1512" s="1" t="s">
        <v>176</v>
      </c>
      <c r="E1512" s="1" t="s">
        <v>41</v>
      </c>
      <c r="F1512" s="1" t="s">
        <v>66</v>
      </c>
      <c r="G1512" s="2">
        <v>45216</v>
      </c>
      <c r="H1512" s="2"/>
      <c r="I1512">
        <v>9</v>
      </c>
      <c r="J1512">
        <v>12</v>
      </c>
      <c r="K1512">
        <v>3</v>
      </c>
      <c r="L1512" s="1" t="s">
        <v>26</v>
      </c>
      <c r="M1512">
        <v>68.400000000000006</v>
      </c>
      <c r="N1512">
        <v>140747.43</v>
      </c>
      <c r="O1512">
        <v>4300982.24</v>
      </c>
      <c r="P1512">
        <v>632686.59</v>
      </c>
      <c r="Q1512" s="1" t="s">
        <v>4857</v>
      </c>
      <c r="R1512">
        <v>28</v>
      </c>
      <c r="S1512" s="1" t="s">
        <v>4858</v>
      </c>
      <c r="T1512" t="b">
        <v>1</v>
      </c>
    </row>
    <row r="1513" spans="1:20" x14ac:dyDescent="0.25">
      <c r="A1513" s="1" t="s">
        <v>4859</v>
      </c>
      <c r="B1513" s="1" t="s">
        <v>54</v>
      </c>
      <c r="C1513" s="1" t="s">
        <v>1066</v>
      </c>
      <c r="D1513" s="1" t="s">
        <v>187</v>
      </c>
      <c r="E1513" s="1" t="s">
        <v>33</v>
      </c>
      <c r="F1513" s="1" t="s">
        <v>25</v>
      </c>
      <c r="G1513" s="2">
        <v>45131</v>
      </c>
      <c r="H1513" s="2">
        <v>45142</v>
      </c>
      <c r="I1513">
        <v>12</v>
      </c>
      <c r="J1513">
        <v>11</v>
      </c>
      <c r="K1513">
        <v>0</v>
      </c>
      <c r="L1513" s="1" t="s">
        <v>26</v>
      </c>
      <c r="M1513">
        <v>74.599999999999994</v>
      </c>
      <c r="N1513">
        <v>331130.8</v>
      </c>
      <c r="O1513">
        <v>661153.61</v>
      </c>
      <c r="P1513">
        <v>165199.4</v>
      </c>
      <c r="Q1513" s="1" t="s">
        <v>4860</v>
      </c>
      <c r="R1513">
        <v>67</v>
      </c>
      <c r="S1513" s="1" t="s">
        <v>4861</v>
      </c>
      <c r="T1513" t="b">
        <v>1</v>
      </c>
    </row>
    <row r="1514" spans="1:20" x14ac:dyDescent="0.25">
      <c r="A1514" s="1" t="s">
        <v>4862</v>
      </c>
      <c r="B1514" s="1" t="s">
        <v>46</v>
      </c>
      <c r="C1514" s="1" t="s">
        <v>409</v>
      </c>
      <c r="D1514" s="1" t="s">
        <v>293</v>
      </c>
      <c r="E1514" s="1" t="s">
        <v>33</v>
      </c>
      <c r="F1514" s="1" t="s">
        <v>50</v>
      </c>
      <c r="G1514" s="2">
        <v>44716</v>
      </c>
      <c r="H1514" s="2"/>
      <c r="I1514">
        <v>12</v>
      </c>
      <c r="J1514">
        <v>9</v>
      </c>
      <c r="K1514">
        <v>0</v>
      </c>
      <c r="L1514" s="1" t="s">
        <v>26</v>
      </c>
      <c r="M1514">
        <v>63.7</v>
      </c>
      <c r="N1514">
        <v>167417.47</v>
      </c>
      <c r="O1514">
        <v>1125899.54</v>
      </c>
      <c r="P1514">
        <v>142397.92000000001</v>
      </c>
      <c r="Q1514" s="1" t="s">
        <v>4863</v>
      </c>
      <c r="R1514">
        <v>27</v>
      </c>
      <c r="S1514" s="1" t="s">
        <v>4864</v>
      </c>
      <c r="T1514" t="b">
        <v>1</v>
      </c>
    </row>
    <row r="1515" spans="1:20" x14ac:dyDescent="0.25">
      <c r="A1515" s="1" t="s">
        <v>4865</v>
      </c>
      <c r="B1515" s="1" t="s">
        <v>21</v>
      </c>
      <c r="C1515" s="1" t="s">
        <v>3861</v>
      </c>
      <c r="D1515" s="1" t="s">
        <v>541</v>
      </c>
      <c r="E1515" s="1" t="s">
        <v>57</v>
      </c>
      <c r="F1515" s="1" t="s">
        <v>34</v>
      </c>
      <c r="G1515" s="2">
        <v>44886</v>
      </c>
      <c r="H1515" s="2"/>
      <c r="I1515">
        <v>40</v>
      </c>
      <c r="J1515">
        <v>58</v>
      </c>
      <c r="K1515">
        <v>18</v>
      </c>
      <c r="L1515" s="1" t="s">
        <v>26</v>
      </c>
      <c r="M1515">
        <v>408.9</v>
      </c>
      <c r="N1515">
        <v>1655018.8</v>
      </c>
      <c r="O1515">
        <v>2064484.98</v>
      </c>
      <c r="P1515">
        <v>477326.98</v>
      </c>
      <c r="Q1515" s="1" t="s">
        <v>1924</v>
      </c>
      <c r="R1515">
        <v>71</v>
      </c>
      <c r="S1515" s="1" t="s">
        <v>4866</v>
      </c>
      <c r="T1515" t="b">
        <v>0</v>
      </c>
    </row>
    <row r="1516" spans="1:20" x14ac:dyDescent="0.25">
      <c r="A1516" s="1" t="s">
        <v>4867</v>
      </c>
      <c r="B1516" s="1" t="s">
        <v>220</v>
      </c>
      <c r="C1516" s="1" t="s">
        <v>1032</v>
      </c>
      <c r="D1516" s="1" t="s">
        <v>249</v>
      </c>
      <c r="E1516" s="1" t="s">
        <v>65</v>
      </c>
      <c r="F1516" s="1" t="s">
        <v>50</v>
      </c>
      <c r="G1516" s="2">
        <v>45468</v>
      </c>
      <c r="H1516" s="2"/>
      <c r="I1516">
        <v>4</v>
      </c>
      <c r="J1516">
        <v>1</v>
      </c>
      <c r="K1516">
        <v>0</v>
      </c>
      <c r="L1516" s="1" t="s">
        <v>26</v>
      </c>
      <c r="M1516">
        <v>6.1</v>
      </c>
      <c r="N1516">
        <v>20592.71</v>
      </c>
      <c r="O1516">
        <v>2155941.67</v>
      </c>
      <c r="P1516">
        <v>259731.65</v>
      </c>
      <c r="Q1516" s="1" t="s">
        <v>4868</v>
      </c>
      <c r="R1516">
        <v>47</v>
      </c>
      <c r="S1516" s="1" t="s">
        <v>4869</v>
      </c>
      <c r="T1516" t="b">
        <v>0</v>
      </c>
    </row>
    <row r="1517" spans="1:20" x14ac:dyDescent="0.25">
      <c r="A1517" s="1" t="s">
        <v>4870</v>
      </c>
      <c r="B1517" s="1" t="s">
        <v>358</v>
      </c>
      <c r="C1517" s="1" t="s">
        <v>1079</v>
      </c>
      <c r="D1517" s="1" t="s">
        <v>244</v>
      </c>
      <c r="E1517" s="1" t="s">
        <v>41</v>
      </c>
      <c r="F1517" s="1" t="s">
        <v>50</v>
      </c>
      <c r="G1517" s="2">
        <v>45531</v>
      </c>
      <c r="H1517" s="2"/>
      <c r="I1517">
        <v>9</v>
      </c>
      <c r="J1517">
        <v>6</v>
      </c>
      <c r="K1517">
        <v>0</v>
      </c>
      <c r="L1517" s="1" t="s">
        <v>26</v>
      </c>
      <c r="M1517">
        <v>43.9</v>
      </c>
      <c r="N1517">
        <v>146919.72</v>
      </c>
      <c r="O1517">
        <v>3188511.43</v>
      </c>
      <c r="P1517">
        <v>453793.14</v>
      </c>
      <c r="Q1517" s="1" t="s">
        <v>4871</v>
      </c>
      <c r="R1517">
        <v>69</v>
      </c>
      <c r="S1517" s="1" t="s">
        <v>4872</v>
      </c>
      <c r="T1517" t="b">
        <v>1</v>
      </c>
    </row>
    <row r="1518" spans="1:20" x14ac:dyDescent="0.25">
      <c r="A1518" s="1" t="s">
        <v>4873</v>
      </c>
      <c r="B1518" s="1" t="s">
        <v>128</v>
      </c>
      <c r="C1518" s="1" t="s">
        <v>873</v>
      </c>
      <c r="D1518" s="1" t="s">
        <v>56</v>
      </c>
      <c r="E1518" s="1" t="s">
        <v>41</v>
      </c>
      <c r="F1518" s="1" t="s">
        <v>25</v>
      </c>
      <c r="G1518" s="2">
        <v>45247</v>
      </c>
      <c r="H1518" s="2">
        <v>45256</v>
      </c>
      <c r="I1518">
        <v>9</v>
      </c>
      <c r="J1518">
        <v>9</v>
      </c>
      <c r="K1518">
        <v>0</v>
      </c>
      <c r="L1518" s="1" t="s">
        <v>26</v>
      </c>
      <c r="M1518">
        <v>142</v>
      </c>
      <c r="N1518">
        <v>410602.56</v>
      </c>
      <c r="O1518">
        <v>4072229.88</v>
      </c>
      <c r="P1518">
        <v>700541.43999999994</v>
      </c>
      <c r="Q1518" s="1" t="s">
        <v>4874</v>
      </c>
      <c r="R1518">
        <v>70</v>
      </c>
      <c r="S1518" s="1" t="s">
        <v>4875</v>
      </c>
      <c r="T1518" t="b">
        <v>1</v>
      </c>
    </row>
    <row r="1519" spans="1:20" x14ac:dyDescent="0.25">
      <c r="A1519" s="1" t="s">
        <v>4876</v>
      </c>
      <c r="B1519" s="1" t="s">
        <v>220</v>
      </c>
      <c r="C1519" s="1" t="s">
        <v>1254</v>
      </c>
      <c r="D1519" s="1" t="s">
        <v>154</v>
      </c>
      <c r="E1519" s="1" t="s">
        <v>33</v>
      </c>
      <c r="F1519" s="1" t="s">
        <v>66</v>
      </c>
      <c r="G1519" s="2">
        <v>45608</v>
      </c>
      <c r="H1519" s="2"/>
      <c r="I1519">
        <v>12</v>
      </c>
      <c r="J1519">
        <v>12</v>
      </c>
      <c r="K1519">
        <v>0</v>
      </c>
      <c r="L1519" s="1" t="s">
        <v>26</v>
      </c>
      <c r="M1519">
        <v>108</v>
      </c>
      <c r="N1519">
        <v>225084.01</v>
      </c>
      <c r="O1519">
        <v>2368935.31</v>
      </c>
      <c r="P1519">
        <v>516889.26</v>
      </c>
      <c r="Q1519" s="1" t="s">
        <v>4877</v>
      </c>
      <c r="R1519">
        <v>38</v>
      </c>
      <c r="S1519" s="1" t="s">
        <v>4878</v>
      </c>
      <c r="T1519" t="b">
        <v>0</v>
      </c>
    </row>
    <row r="1520" spans="1:20" x14ac:dyDescent="0.25">
      <c r="A1520" s="1" t="s">
        <v>4879</v>
      </c>
      <c r="B1520" s="1" t="s">
        <v>185</v>
      </c>
      <c r="C1520" s="1" t="s">
        <v>1311</v>
      </c>
      <c r="D1520" s="1" t="s">
        <v>48</v>
      </c>
      <c r="E1520" s="1" t="s">
        <v>65</v>
      </c>
      <c r="F1520" s="1" t="s">
        <v>25</v>
      </c>
      <c r="G1520" s="2">
        <v>45116</v>
      </c>
      <c r="H1520" s="2">
        <v>45122</v>
      </c>
      <c r="I1520">
        <v>4</v>
      </c>
      <c r="J1520">
        <v>6</v>
      </c>
      <c r="K1520">
        <v>1.5</v>
      </c>
      <c r="L1520" s="1" t="s">
        <v>26</v>
      </c>
      <c r="M1520">
        <v>72</v>
      </c>
      <c r="N1520">
        <v>195319.62</v>
      </c>
      <c r="O1520">
        <v>2810353.15</v>
      </c>
      <c r="P1520">
        <v>510586.29</v>
      </c>
      <c r="Q1520" s="1" t="s">
        <v>4880</v>
      </c>
      <c r="R1520">
        <v>41</v>
      </c>
      <c r="S1520" s="1" t="s">
        <v>4881</v>
      </c>
      <c r="T1520" t="b">
        <v>1</v>
      </c>
    </row>
    <row r="1521" spans="1:20" x14ac:dyDescent="0.25">
      <c r="A1521" s="1" t="s">
        <v>4882</v>
      </c>
      <c r="B1521" s="1" t="s">
        <v>38</v>
      </c>
      <c r="C1521" s="1" t="s">
        <v>4883</v>
      </c>
      <c r="D1521" s="1" t="s">
        <v>288</v>
      </c>
      <c r="E1521" s="1" t="s">
        <v>24</v>
      </c>
      <c r="F1521" s="1" t="s">
        <v>25</v>
      </c>
      <c r="G1521" s="2">
        <v>44877</v>
      </c>
      <c r="H1521" s="2">
        <v>44881</v>
      </c>
      <c r="I1521">
        <v>3</v>
      </c>
      <c r="J1521">
        <v>4</v>
      </c>
      <c r="K1521">
        <v>1</v>
      </c>
      <c r="L1521" s="1" t="s">
        <v>26</v>
      </c>
      <c r="M1521">
        <v>39.700000000000003</v>
      </c>
      <c r="N1521">
        <v>134958.31</v>
      </c>
      <c r="O1521">
        <v>1496073.03</v>
      </c>
      <c r="P1521">
        <v>218355.1</v>
      </c>
      <c r="Q1521" s="1" t="s">
        <v>4884</v>
      </c>
      <c r="R1521">
        <v>60</v>
      </c>
      <c r="S1521" s="1" t="s">
        <v>4885</v>
      </c>
      <c r="T1521" t="b">
        <v>1</v>
      </c>
    </row>
    <row r="1522" spans="1:20" x14ac:dyDescent="0.25">
      <c r="A1522" s="1" t="s">
        <v>4886</v>
      </c>
      <c r="B1522" s="1" t="s">
        <v>148</v>
      </c>
      <c r="C1522" s="1" t="s">
        <v>837</v>
      </c>
      <c r="D1522" s="1" t="s">
        <v>124</v>
      </c>
      <c r="E1522" s="1" t="s">
        <v>24</v>
      </c>
      <c r="F1522" s="1" t="s">
        <v>25</v>
      </c>
      <c r="G1522" s="2">
        <v>45225</v>
      </c>
      <c r="H1522" s="2">
        <v>45228</v>
      </c>
      <c r="I1522">
        <v>3</v>
      </c>
      <c r="J1522">
        <v>3</v>
      </c>
      <c r="K1522">
        <v>0</v>
      </c>
      <c r="L1522" s="1" t="s">
        <v>26</v>
      </c>
      <c r="M1522">
        <v>26.8</v>
      </c>
      <c r="N1522">
        <v>72011.97</v>
      </c>
      <c r="O1522">
        <v>3747923.69</v>
      </c>
      <c r="P1522">
        <v>476098.07</v>
      </c>
      <c r="Q1522" s="1" t="s">
        <v>4887</v>
      </c>
      <c r="R1522">
        <v>54</v>
      </c>
      <c r="S1522" s="1" t="s">
        <v>4888</v>
      </c>
      <c r="T1522" t="b">
        <v>1</v>
      </c>
    </row>
    <row r="1523" spans="1:20" x14ac:dyDescent="0.25">
      <c r="A1523" s="1" t="s">
        <v>4889</v>
      </c>
      <c r="B1523" s="1" t="s">
        <v>148</v>
      </c>
      <c r="C1523" s="1" t="s">
        <v>1790</v>
      </c>
      <c r="D1523" s="1" t="s">
        <v>32</v>
      </c>
      <c r="E1523" s="1" t="s">
        <v>49</v>
      </c>
      <c r="F1523" s="1" t="s">
        <v>25</v>
      </c>
      <c r="G1523" s="2">
        <v>45168</v>
      </c>
      <c r="H1523" s="2">
        <v>45196</v>
      </c>
      <c r="I1523">
        <v>25</v>
      </c>
      <c r="J1523">
        <v>28</v>
      </c>
      <c r="K1523">
        <v>3</v>
      </c>
      <c r="L1523" s="1" t="s">
        <v>26</v>
      </c>
      <c r="M1523">
        <v>326.7</v>
      </c>
      <c r="N1523">
        <v>1131349.04</v>
      </c>
      <c r="O1523">
        <v>3762733.28</v>
      </c>
      <c r="P1523">
        <v>860828.46</v>
      </c>
      <c r="Q1523" s="1" t="s">
        <v>4890</v>
      </c>
      <c r="R1523">
        <v>34</v>
      </c>
      <c r="S1523" s="1" t="s">
        <v>4891</v>
      </c>
      <c r="T1523" t="b">
        <v>1</v>
      </c>
    </row>
    <row r="1524" spans="1:20" x14ac:dyDescent="0.25">
      <c r="A1524" s="1" t="s">
        <v>4892</v>
      </c>
      <c r="B1524" s="1" t="s">
        <v>62</v>
      </c>
      <c r="C1524" s="1" t="s">
        <v>1191</v>
      </c>
      <c r="D1524" s="1" t="s">
        <v>410</v>
      </c>
      <c r="E1524" s="1" t="s">
        <v>65</v>
      </c>
      <c r="F1524" s="1" t="s">
        <v>50</v>
      </c>
      <c r="G1524" s="2">
        <v>44769</v>
      </c>
      <c r="H1524" s="2"/>
      <c r="I1524">
        <v>4</v>
      </c>
      <c r="J1524">
        <v>4</v>
      </c>
      <c r="K1524">
        <v>0</v>
      </c>
      <c r="L1524" s="1" t="s">
        <v>26</v>
      </c>
      <c r="M1524">
        <v>49.3</v>
      </c>
      <c r="N1524">
        <v>100504.86</v>
      </c>
      <c r="O1524">
        <v>1231767.2</v>
      </c>
      <c r="P1524">
        <v>199454.82</v>
      </c>
      <c r="Q1524" s="1" t="s">
        <v>4893</v>
      </c>
      <c r="R1524">
        <v>30</v>
      </c>
      <c r="S1524" s="1" t="s">
        <v>4894</v>
      </c>
      <c r="T1524" t="b">
        <v>1</v>
      </c>
    </row>
    <row r="1525" spans="1:20" x14ac:dyDescent="0.25">
      <c r="A1525" s="1" t="s">
        <v>4895</v>
      </c>
      <c r="B1525" s="1" t="s">
        <v>117</v>
      </c>
      <c r="C1525" s="1" t="s">
        <v>630</v>
      </c>
      <c r="D1525" s="1" t="s">
        <v>372</v>
      </c>
      <c r="E1525" s="1" t="s">
        <v>24</v>
      </c>
      <c r="F1525" s="1" t="s">
        <v>66</v>
      </c>
      <c r="G1525" s="2">
        <v>44757</v>
      </c>
      <c r="H1525" s="2"/>
      <c r="I1525">
        <v>3</v>
      </c>
      <c r="J1525">
        <v>5</v>
      </c>
      <c r="K1525">
        <v>2</v>
      </c>
      <c r="L1525" s="1" t="s">
        <v>26</v>
      </c>
      <c r="M1525">
        <v>45.4</v>
      </c>
      <c r="N1525">
        <v>140800.32000000001</v>
      </c>
      <c r="O1525">
        <v>2773913.31</v>
      </c>
      <c r="P1525">
        <v>498876.12</v>
      </c>
      <c r="Q1525" s="1" t="s">
        <v>4896</v>
      </c>
      <c r="R1525">
        <v>27</v>
      </c>
      <c r="S1525" s="1" t="s">
        <v>4897</v>
      </c>
      <c r="T1525" t="b">
        <v>1</v>
      </c>
    </row>
    <row r="1526" spans="1:20" x14ac:dyDescent="0.25">
      <c r="A1526" s="1" t="s">
        <v>4898</v>
      </c>
      <c r="B1526" s="1" t="s">
        <v>471</v>
      </c>
      <c r="C1526" s="1" t="s">
        <v>892</v>
      </c>
      <c r="D1526" s="1" t="s">
        <v>244</v>
      </c>
      <c r="E1526" s="1" t="s">
        <v>24</v>
      </c>
      <c r="F1526" s="1" t="s">
        <v>25</v>
      </c>
      <c r="G1526" s="2">
        <v>44812</v>
      </c>
      <c r="H1526" s="2">
        <v>44814</v>
      </c>
      <c r="I1526">
        <v>3</v>
      </c>
      <c r="J1526">
        <v>2</v>
      </c>
      <c r="K1526">
        <v>0</v>
      </c>
      <c r="L1526" s="1" t="s">
        <v>26</v>
      </c>
      <c r="M1526">
        <v>22.2</v>
      </c>
      <c r="N1526">
        <v>57813.14</v>
      </c>
      <c r="O1526">
        <v>3868571.79</v>
      </c>
      <c r="P1526">
        <v>548461.23</v>
      </c>
      <c r="Q1526" s="1" t="s">
        <v>4899</v>
      </c>
      <c r="R1526">
        <v>60</v>
      </c>
      <c r="S1526" s="1" t="s">
        <v>4900</v>
      </c>
      <c r="T1526" t="b">
        <v>1</v>
      </c>
    </row>
    <row r="1527" spans="1:20" x14ac:dyDescent="0.25">
      <c r="A1527" s="1" t="s">
        <v>4901</v>
      </c>
      <c r="B1527" s="1" t="s">
        <v>220</v>
      </c>
      <c r="C1527" s="1" t="s">
        <v>581</v>
      </c>
      <c r="D1527" s="1" t="s">
        <v>192</v>
      </c>
      <c r="E1527" s="1" t="s">
        <v>41</v>
      </c>
      <c r="F1527" s="1" t="s">
        <v>25</v>
      </c>
      <c r="G1527" s="2">
        <v>45357</v>
      </c>
      <c r="H1527" s="2">
        <v>45365</v>
      </c>
      <c r="I1527">
        <v>9</v>
      </c>
      <c r="J1527">
        <v>8</v>
      </c>
      <c r="K1527">
        <v>0</v>
      </c>
      <c r="L1527" s="1" t="s">
        <v>26</v>
      </c>
      <c r="M1527">
        <v>104.1</v>
      </c>
      <c r="N1527">
        <v>245031.62</v>
      </c>
      <c r="O1527">
        <v>4081564.07</v>
      </c>
      <c r="P1527">
        <v>691324.19</v>
      </c>
      <c r="Q1527" s="1" t="s">
        <v>4902</v>
      </c>
      <c r="R1527">
        <v>33</v>
      </c>
      <c r="S1527" s="1" t="s">
        <v>4903</v>
      </c>
      <c r="T1527" t="b">
        <v>0</v>
      </c>
    </row>
    <row r="1528" spans="1:20" x14ac:dyDescent="0.25">
      <c r="A1528" s="1" t="s">
        <v>4904</v>
      </c>
      <c r="B1528" s="1" t="s">
        <v>418</v>
      </c>
      <c r="C1528" s="1" t="s">
        <v>2195</v>
      </c>
      <c r="D1528" s="1" t="s">
        <v>320</v>
      </c>
      <c r="E1528" s="1" t="s">
        <v>49</v>
      </c>
      <c r="F1528" s="1" t="s">
        <v>50</v>
      </c>
      <c r="G1528" s="2">
        <v>45099</v>
      </c>
      <c r="H1528" s="2"/>
      <c r="I1528">
        <v>25</v>
      </c>
      <c r="J1528">
        <v>31</v>
      </c>
      <c r="K1528">
        <v>6</v>
      </c>
      <c r="L1528" s="1" t="s">
        <v>26</v>
      </c>
      <c r="M1528">
        <v>153.69999999999999</v>
      </c>
      <c r="N1528">
        <v>553777.68999999994</v>
      </c>
      <c r="O1528">
        <v>915795.12</v>
      </c>
      <c r="P1528">
        <v>207740.49</v>
      </c>
      <c r="Q1528" s="1" t="s">
        <v>4905</v>
      </c>
      <c r="R1528">
        <v>46</v>
      </c>
      <c r="S1528" s="1" t="s">
        <v>4906</v>
      </c>
      <c r="T1528" t="b">
        <v>0</v>
      </c>
    </row>
    <row r="1529" spans="1:20" x14ac:dyDescent="0.25">
      <c r="A1529" s="1" t="s">
        <v>4907</v>
      </c>
      <c r="B1529" s="1" t="s">
        <v>185</v>
      </c>
      <c r="C1529" s="1" t="s">
        <v>999</v>
      </c>
      <c r="D1529" s="1" t="s">
        <v>1022</v>
      </c>
      <c r="E1529" s="1" t="s">
        <v>65</v>
      </c>
      <c r="F1529" s="1" t="s">
        <v>34</v>
      </c>
      <c r="G1529" s="2">
        <v>44614</v>
      </c>
      <c r="H1529" s="2"/>
      <c r="I1529">
        <v>4</v>
      </c>
      <c r="J1529">
        <v>4</v>
      </c>
      <c r="K1529">
        <v>0</v>
      </c>
      <c r="L1529" s="1" t="s">
        <v>26</v>
      </c>
      <c r="M1529">
        <v>26.5</v>
      </c>
      <c r="N1529">
        <v>63489.2</v>
      </c>
      <c r="O1529">
        <v>563578.38</v>
      </c>
      <c r="P1529">
        <v>69283.399999999994</v>
      </c>
      <c r="Q1529" s="1" t="s">
        <v>4908</v>
      </c>
      <c r="R1529">
        <v>45</v>
      </c>
      <c r="S1529" s="1" t="s">
        <v>4909</v>
      </c>
      <c r="T1529" t="b">
        <v>1</v>
      </c>
    </row>
    <row r="1530" spans="1:20" x14ac:dyDescent="0.25">
      <c r="A1530" s="1" t="s">
        <v>4910</v>
      </c>
      <c r="B1530" s="1" t="s">
        <v>38</v>
      </c>
      <c r="C1530" s="1" t="s">
        <v>1452</v>
      </c>
      <c r="D1530" s="1" t="s">
        <v>187</v>
      </c>
      <c r="E1530" s="1" t="s">
        <v>41</v>
      </c>
      <c r="F1530" s="1" t="s">
        <v>66</v>
      </c>
      <c r="G1530" s="2">
        <v>45119</v>
      </c>
      <c r="H1530" s="2"/>
      <c r="I1530">
        <v>9</v>
      </c>
      <c r="J1530">
        <v>3</v>
      </c>
      <c r="K1530">
        <v>0</v>
      </c>
      <c r="L1530" s="1" t="s">
        <v>26</v>
      </c>
      <c r="M1530">
        <v>39.4</v>
      </c>
      <c r="N1530">
        <v>79569.100000000006</v>
      </c>
      <c r="O1530">
        <v>1139842.8400000001</v>
      </c>
      <c r="P1530">
        <v>155130.57999999999</v>
      </c>
      <c r="Q1530" s="1" t="s">
        <v>4911</v>
      </c>
      <c r="R1530">
        <v>71</v>
      </c>
      <c r="S1530" s="1" t="s">
        <v>4912</v>
      </c>
      <c r="T1530" t="b">
        <v>1</v>
      </c>
    </row>
    <row r="1531" spans="1:20" x14ac:dyDescent="0.25">
      <c r="A1531" s="1" t="s">
        <v>4913</v>
      </c>
      <c r="B1531" s="1" t="s">
        <v>82</v>
      </c>
      <c r="C1531" s="1" t="s">
        <v>1560</v>
      </c>
      <c r="D1531" s="1" t="s">
        <v>263</v>
      </c>
      <c r="E1531" s="1" t="s">
        <v>49</v>
      </c>
      <c r="F1531" s="1" t="s">
        <v>50</v>
      </c>
      <c r="G1531" s="2">
        <v>45122</v>
      </c>
      <c r="H1531" s="2"/>
      <c r="I1531">
        <v>25</v>
      </c>
      <c r="J1531">
        <v>13</v>
      </c>
      <c r="K1531">
        <v>0</v>
      </c>
      <c r="L1531" s="1" t="s">
        <v>26</v>
      </c>
      <c r="M1531">
        <v>95.9</v>
      </c>
      <c r="N1531">
        <v>386373.08</v>
      </c>
      <c r="O1531">
        <v>2732021.51</v>
      </c>
      <c r="P1531">
        <v>527431.32999999996</v>
      </c>
      <c r="Q1531" s="1" t="s">
        <v>4914</v>
      </c>
      <c r="R1531">
        <v>58</v>
      </c>
      <c r="S1531" s="1" t="s">
        <v>4915</v>
      </c>
      <c r="T1531" t="b">
        <v>1</v>
      </c>
    </row>
    <row r="1532" spans="1:20" x14ac:dyDescent="0.25">
      <c r="A1532" s="1" t="s">
        <v>4916</v>
      </c>
      <c r="B1532" s="1" t="s">
        <v>158</v>
      </c>
      <c r="C1532" s="1" t="s">
        <v>1827</v>
      </c>
      <c r="D1532" s="1" t="s">
        <v>107</v>
      </c>
      <c r="E1532" s="1" t="s">
        <v>33</v>
      </c>
      <c r="F1532" s="1" t="s">
        <v>25</v>
      </c>
      <c r="G1532" s="2">
        <v>44639</v>
      </c>
      <c r="H1532" s="2">
        <v>44653</v>
      </c>
      <c r="I1532">
        <v>12</v>
      </c>
      <c r="J1532">
        <v>14</v>
      </c>
      <c r="K1532">
        <v>2</v>
      </c>
      <c r="L1532" s="1" t="s">
        <v>26</v>
      </c>
      <c r="M1532">
        <v>71.3</v>
      </c>
      <c r="N1532">
        <v>205431.92</v>
      </c>
      <c r="O1532">
        <v>4876844.71</v>
      </c>
      <c r="P1532">
        <v>802157.02</v>
      </c>
      <c r="Q1532" s="1" t="s">
        <v>4917</v>
      </c>
      <c r="R1532">
        <v>74</v>
      </c>
      <c r="S1532" s="1" t="s">
        <v>4918</v>
      </c>
      <c r="T1532" t="b">
        <v>0</v>
      </c>
    </row>
    <row r="1533" spans="1:20" x14ac:dyDescent="0.25">
      <c r="A1533" s="1" t="s">
        <v>4919</v>
      </c>
      <c r="B1533" s="1" t="s">
        <v>138</v>
      </c>
      <c r="C1533" s="1" t="s">
        <v>1426</v>
      </c>
      <c r="D1533" s="1" t="s">
        <v>48</v>
      </c>
      <c r="E1533" s="1" t="s">
        <v>33</v>
      </c>
      <c r="F1533" s="1" t="s">
        <v>25</v>
      </c>
      <c r="G1533" s="2">
        <v>44892</v>
      </c>
      <c r="H1533" s="2">
        <v>44906</v>
      </c>
      <c r="I1533">
        <v>12</v>
      </c>
      <c r="J1533">
        <v>14</v>
      </c>
      <c r="K1533">
        <v>2</v>
      </c>
      <c r="L1533" s="1" t="s">
        <v>26</v>
      </c>
      <c r="M1533">
        <v>150.4</v>
      </c>
      <c r="N1533">
        <v>628760.81999999995</v>
      </c>
      <c r="O1533">
        <v>4267546.8099999996</v>
      </c>
      <c r="P1533">
        <v>942945.42</v>
      </c>
      <c r="Q1533" s="1" t="s">
        <v>4920</v>
      </c>
      <c r="R1533">
        <v>59</v>
      </c>
      <c r="S1533" s="1" t="s">
        <v>4921</v>
      </c>
      <c r="T1533" t="b">
        <v>1</v>
      </c>
    </row>
    <row r="1534" spans="1:20" x14ac:dyDescent="0.25">
      <c r="A1534" s="1" t="s">
        <v>4922</v>
      </c>
      <c r="B1534" s="1" t="s">
        <v>242</v>
      </c>
      <c r="C1534" s="1" t="s">
        <v>1780</v>
      </c>
      <c r="D1534" s="1" t="s">
        <v>107</v>
      </c>
      <c r="E1534" s="1" t="s">
        <v>24</v>
      </c>
      <c r="F1534" s="1" t="s">
        <v>25</v>
      </c>
      <c r="G1534" s="2">
        <v>45066</v>
      </c>
      <c r="H1534" s="2">
        <v>45067</v>
      </c>
      <c r="I1534">
        <v>3</v>
      </c>
      <c r="J1534">
        <v>1</v>
      </c>
      <c r="K1534">
        <v>0</v>
      </c>
      <c r="L1534" s="1" t="s">
        <v>26</v>
      </c>
      <c r="M1534">
        <v>15.5</v>
      </c>
      <c r="N1534">
        <v>60112.29</v>
      </c>
      <c r="O1534">
        <v>1296506.6299999999</v>
      </c>
      <c r="P1534">
        <v>257122.52</v>
      </c>
      <c r="Q1534" s="1" t="s">
        <v>2959</v>
      </c>
      <c r="R1534">
        <v>33</v>
      </c>
      <c r="S1534" s="1" t="s">
        <v>4923</v>
      </c>
      <c r="T1534" t="b">
        <v>0</v>
      </c>
    </row>
    <row r="1535" spans="1:20" x14ac:dyDescent="0.25">
      <c r="A1535" s="1" t="s">
        <v>4924</v>
      </c>
      <c r="B1535" s="1" t="s">
        <v>76</v>
      </c>
      <c r="C1535" s="1" t="s">
        <v>1699</v>
      </c>
      <c r="D1535" s="1" t="s">
        <v>293</v>
      </c>
      <c r="E1535" s="1" t="s">
        <v>33</v>
      </c>
      <c r="F1535" s="1" t="s">
        <v>25</v>
      </c>
      <c r="G1535" s="2">
        <v>44966</v>
      </c>
      <c r="H1535" s="2">
        <v>44972</v>
      </c>
      <c r="I1535">
        <v>12</v>
      </c>
      <c r="J1535">
        <v>6</v>
      </c>
      <c r="K1535">
        <v>0</v>
      </c>
      <c r="L1535" s="1" t="s">
        <v>26</v>
      </c>
      <c r="M1535">
        <v>74.099999999999994</v>
      </c>
      <c r="N1535">
        <v>246514.44</v>
      </c>
      <c r="O1535">
        <v>3359786.08</v>
      </c>
      <c r="P1535">
        <v>535774.89</v>
      </c>
      <c r="Q1535" s="1" t="s">
        <v>4925</v>
      </c>
      <c r="R1535">
        <v>23</v>
      </c>
      <c r="S1535" s="1" t="s">
        <v>4926</v>
      </c>
      <c r="T1535" t="b">
        <v>1</v>
      </c>
    </row>
    <row r="1536" spans="1:20" x14ac:dyDescent="0.25">
      <c r="A1536" s="1" t="s">
        <v>4927</v>
      </c>
      <c r="B1536" s="1" t="s">
        <v>54</v>
      </c>
      <c r="C1536" s="1" t="s">
        <v>634</v>
      </c>
      <c r="D1536" s="1" t="s">
        <v>78</v>
      </c>
      <c r="E1536" s="1" t="s">
        <v>65</v>
      </c>
      <c r="F1536" s="1" t="s">
        <v>25</v>
      </c>
      <c r="G1536" s="2">
        <v>45225</v>
      </c>
      <c r="H1536" s="2">
        <v>45227</v>
      </c>
      <c r="I1536">
        <v>4</v>
      </c>
      <c r="J1536">
        <v>2</v>
      </c>
      <c r="K1536">
        <v>0</v>
      </c>
      <c r="L1536" s="1" t="s">
        <v>26</v>
      </c>
      <c r="M1536">
        <v>27</v>
      </c>
      <c r="N1536">
        <v>57056.85</v>
      </c>
      <c r="O1536">
        <v>4385756.26</v>
      </c>
      <c r="P1536">
        <v>792016.24</v>
      </c>
      <c r="Q1536" s="1" t="s">
        <v>4928</v>
      </c>
      <c r="R1536">
        <v>77</v>
      </c>
      <c r="S1536" s="1" t="s">
        <v>4929</v>
      </c>
      <c r="T1536" t="b">
        <v>0</v>
      </c>
    </row>
    <row r="1537" spans="1:20" x14ac:dyDescent="0.25">
      <c r="A1537" s="1" t="s">
        <v>4930</v>
      </c>
      <c r="B1537" s="1" t="s">
        <v>545</v>
      </c>
      <c r="C1537" s="1" t="s">
        <v>634</v>
      </c>
      <c r="D1537" s="1" t="s">
        <v>181</v>
      </c>
      <c r="E1537" s="1" t="s">
        <v>57</v>
      </c>
      <c r="F1537" s="1" t="s">
        <v>66</v>
      </c>
      <c r="G1537" s="2">
        <v>44570</v>
      </c>
      <c r="H1537" s="2"/>
      <c r="I1537">
        <v>40</v>
      </c>
      <c r="J1537">
        <v>55</v>
      </c>
      <c r="K1537">
        <v>15</v>
      </c>
      <c r="L1537" s="1" t="s">
        <v>330</v>
      </c>
      <c r="M1537">
        <v>750</v>
      </c>
      <c r="N1537">
        <v>1528736.42</v>
      </c>
      <c r="O1537">
        <v>469158.04</v>
      </c>
      <c r="P1537">
        <v>226265.55</v>
      </c>
      <c r="Q1537" s="1" t="s">
        <v>4931</v>
      </c>
      <c r="R1537">
        <v>51</v>
      </c>
      <c r="S1537" s="1" t="s">
        <v>4932</v>
      </c>
      <c r="T1537" t="b">
        <v>1</v>
      </c>
    </row>
    <row r="1538" spans="1:20" x14ac:dyDescent="0.25">
      <c r="A1538" s="1" t="s">
        <v>4933</v>
      </c>
      <c r="B1538" s="1" t="s">
        <v>158</v>
      </c>
      <c r="C1538" s="1" t="s">
        <v>22</v>
      </c>
      <c r="D1538" s="1" t="s">
        <v>181</v>
      </c>
      <c r="E1538" s="1" t="s">
        <v>65</v>
      </c>
      <c r="F1538" s="1" t="s">
        <v>25</v>
      </c>
      <c r="G1538" s="2">
        <v>44998</v>
      </c>
      <c r="H1538" s="2">
        <v>45004</v>
      </c>
      <c r="I1538">
        <v>4</v>
      </c>
      <c r="J1538">
        <v>6</v>
      </c>
      <c r="K1538">
        <v>1.5</v>
      </c>
      <c r="L1538" s="1" t="s">
        <v>26</v>
      </c>
      <c r="M1538">
        <v>59.3</v>
      </c>
      <c r="N1538">
        <v>153902.65</v>
      </c>
      <c r="O1538">
        <v>2149229.4</v>
      </c>
      <c r="P1538">
        <v>369697.91</v>
      </c>
      <c r="Q1538" s="1" t="s">
        <v>4934</v>
      </c>
      <c r="R1538">
        <v>60</v>
      </c>
      <c r="S1538" s="1" t="s">
        <v>4935</v>
      </c>
      <c r="T1538" t="b">
        <v>0</v>
      </c>
    </row>
    <row r="1539" spans="1:20" x14ac:dyDescent="0.25">
      <c r="A1539" s="1" t="s">
        <v>4936</v>
      </c>
      <c r="B1539" s="1" t="s">
        <v>163</v>
      </c>
      <c r="C1539" s="1" t="s">
        <v>986</v>
      </c>
      <c r="D1539" s="1" t="s">
        <v>159</v>
      </c>
      <c r="E1539" s="1" t="s">
        <v>49</v>
      </c>
      <c r="F1539" s="1" t="s">
        <v>25</v>
      </c>
      <c r="G1539" s="2">
        <v>45179</v>
      </c>
      <c r="H1539" s="2">
        <v>45210</v>
      </c>
      <c r="I1539">
        <v>25</v>
      </c>
      <c r="J1539">
        <v>31</v>
      </c>
      <c r="K1539">
        <v>6</v>
      </c>
      <c r="L1539" s="1" t="s">
        <v>330</v>
      </c>
      <c r="M1539">
        <v>490.7</v>
      </c>
      <c r="N1539">
        <v>1045047.92</v>
      </c>
      <c r="O1539">
        <v>2892200.77</v>
      </c>
      <c r="P1539">
        <v>506435.72</v>
      </c>
      <c r="Q1539" s="1" t="s">
        <v>4937</v>
      </c>
      <c r="R1539">
        <v>65</v>
      </c>
      <c r="S1539" s="1" t="s">
        <v>4938</v>
      </c>
      <c r="T1539" t="b">
        <v>1</v>
      </c>
    </row>
    <row r="1540" spans="1:20" x14ac:dyDescent="0.25">
      <c r="A1540" s="1" t="s">
        <v>4939</v>
      </c>
      <c r="B1540" s="1" t="s">
        <v>242</v>
      </c>
      <c r="C1540" s="1" t="s">
        <v>4940</v>
      </c>
      <c r="D1540" s="1" t="s">
        <v>207</v>
      </c>
      <c r="E1540" s="1" t="s">
        <v>24</v>
      </c>
      <c r="F1540" s="1" t="s">
        <v>25</v>
      </c>
      <c r="G1540" s="2">
        <v>44730</v>
      </c>
      <c r="H1540" s="2">
        <v>44733</v>
      </c>
      <c r="I1540">
        <v>3</v>
      </c>
      <c r="J1540">
        <v>3</v>
      </c>
      <c r="K1540">
        <v>0</v>
      </c>
      <c r="L1540" s="1" t="s">
        <v>26</v>
      </c>
      <c r="M1540">
        <v>13.9</v>
      </c>
      <c r="N1540">
        <v>47418.35</v>
      </c>
      <c r="O1540">
        <v>2172378.9300000002</v>
      </c>
      <c r="P1540">
        <v>368905.8</v>
      </c>
      <c r="Q1540" s="1" t="s">
        <v>4941</v>
      </c>
      <c r="R1540">
        <v>30</v>
      </c>
      <c r="S1540" s="1" t="s">
        <v>4942</v>
      </c>
      <c r="T1540" t="b">
        <v>0</v>
      </c>
    </row>
    <row r="1541" spans="1:20" x14ac:dyDescent="0.25">
      <c r="A1541" s="1" t="s">
        <v>4943</v>
      </c>
      <c r="B1541" s="1" t="s">
        <v>418</v>
      </c>
      <c r="C1541" s="1" t="s">
        <v>3208</v>
      </c>
      <c r="D1541" s="1" t="s">
        <v>282</v>
      </c>
      <c r="E1541" s="1" t="s">
        <v>41</v>
      </c>
      <c r="F1541" s="1" t="s">
        <v>25</v>
      </c>
      <c r="G1541" s="2">
        <v>44921</v>
      </c>
      <c r="H1541" s="2">
        <v>44935</v>
      </c>
      <c r="I1541">
        <v>9</v>
      </c>
      <c r="J1541">
        <v>14</v>
      </c>
      <c r="K1541">
        <v>5</v>
      </c>
      <c r="L1541" s="1" t="s">
        <v>101</v>
      </c>
      <c r="M1541">
        <v>108.4</v>
      </c>
      <c r="N1541">
        <v>217086.16</v>
      </c>
      <c r="O1541">
        <v>703264.11</v>
      </c>
      <c r="P1541">
        <v>125469.89</v>
      </c>
      <c r="Q1541" s="1" t="s">
        <v>4944</v>
      </c>
      <c r="R1541">
        <v>58</v>
      </c>
      <c r="S1541" s="1" t="s">
        <v>4945</v>
      </c>
      <c r="T1541" t="b">
        <v>0</v>
      </c>
    </row>
    <row r="1542" spans="1:20" x14ac:dyDescent="0.25">
      <c r="A1542" s="1" t="s">
        <v>4946</v>
      </c>
      <c r="B1542" s="1" t="s">
        <v>348</v>
      </c>
      <c r="C1542" s="1" t="s">
        <v>757</v>
      </c>
      <c r="D1542" s="1" t="s">
        <v>130</v>
      </c>
      <c r="E1542" s="1" t="s">
        <v>49</v>
      </c>
      <c r="F1542" s="1" t="s">
        <v>25</v>
      </c>
      <c r="G1542" s="2">
        <v>45628</v>
      </c>
      <c r="H1542" s="2">
        <v>45651</v>
      </c>
      <c r="I1542">
        <v>25</v>
      </c>
      <c r="J1542">
        <v>23</v>
      </c>
      <c r="K1542">
        <v>0</v>
      </c>
      <c r="L1542" s="1" t="s">
        <v>26</v>
      </c>
      <c r="M1542">
        <v>199.8</v>
      </c>
      <c r="N1542">
        <v>511943.87</v>
      </c>
      <c r="O1542">
        <v>2855363.3</v>
      </c>
      <c r="P1542">
        <v>656503.05000000005</v>
      </c>
      <c r="Q1542" s="1" t="s">
        <v>4947</v>
      </c>
      <c r="R1542">
        <v>60</v>
      </c>
      <c r="S1542" s="1" t="s">
        <v>4948</v>
      </c>
      <c r="T1542" t="b">
        <v>0</v>
      </c>
    </row>
    <row r="1543" spans="1:20" x14ac:dyDescent="0.25">
      <c r="A1543" s="1" t="s">
        <v>4949</v>
      </c>
      <c r="B1543" s="1" t="s">
        <v>158</v>
      </c>
      <c r="C1543" s="1" t="s">
        <v>4950</v>
      </c>
      <c r="D1543" s="1" t="s">
        <v>306</v>
      </c>
      <c r="E1543" s="1" t="s">
        <v>65</v>
      </c>
      <c r="F1543" s="1" t="s">
        <v>25</v>
      </c>
      <c r="G1543" s="2">
        <v>45448</v>
      </c>
      <c r="H1543" s="2">
        <v>45455</v>
      </c>
      <c r="I1543">
        <v>4</v>
      </c>
      <c r="J1543">
        <v>7</v>
      </c>
      <c r="K1543">
        <v>2.5</v>
      </c>
      <c r="L1543" s="1" t="s">
        <v>26</v>
      </c>
      <c r="M1543">
        <v>45.5</v>
      </c>
      <c r="N1543">
        <v>126624.98</v>
      </c>
      <c r="O1543">
        <v>2529280.2200000002</v>
      </c>
      <c r="P1543">
        <v>501039.89</v>
      </c>
      <c r="Q1543" s="1" t="s">
        <v>2393</v>
      </c>
      <c r="R1543">
        <v>44</v>
      </c>
      <c r="S1543" s="1" t="s">
        <v>4951</v>
      </c>
      <c r="T1543" t="b">
        <v>0</v>
      </c>
    </row>
    <row r="1544" spans="1:20" x14ac:dyDescent="0.25">
      <c r="A1544" s="1" t="s">
        <v>4952</v>
      </c>
      <c r="B1544" s="1" t="s">
        <v>117</v>
      </c>
      <c r="C1544" s="1" t="s">
        <v>3479</v>
      </c>
      <c r="D1544" s="1" t="s">
        <v>244</v>
      </c>
      <c r="E1544" s="1" t="s">
        <v>41</v>
      </c>
      <c r="F1544" s="1" t="s">
        <v>25</v>
      </c>
      <c r="G1544" s="2">
        <v>44834</v>
      </c>
      <c r="H1544" s="2">
        <v>44843</v>
      </c>
      <c r="I1544">
        <v>9</v>
      </c>
      <c r="J1544">
        <v>9</v>
      </c>
      <c r="K1544">
        <v>0</v>
      </c>
      <c r="L1544" s="1" t="s">
        <v>26</v>
      </c>
      <c r="M1544">
        <v>75.599999999999994</v>
      </c>
      <c r="N1544">
        <v>188945.15</v>
      </c>
      <c r="O1544">
        <v>4371084.0999999996</v>
      </c>
      <c r="P1544">
        <v>673247.71</v>
      </c>
      <c r="Q1544" s="1" t="s">
        <v>4953</v>
      </c>
      <c r="R1544">
        <v>34</v>
      </c>
      <c r="S1544" s="1" t="s">
        <v>4954</v>
      </c>
      <c r="T1544" t="b">
        <v>1</v>
      </c>
    </row>
    <row r="1545" spans="1:20" x14ac:dyDescent="0.25">
      <c r="A1545" s="1" t="s">
        <v>4955</v>
      </c>
      <c r="B1545" s="1" t="s">
        <v>272</v>
      </c>
      <c r="C1545" s="1" t="s">
        <v>1671</v>
      </c>
      <c r="D1545" s="1" t="s">
        <v>95</v>
      </c>
      <c r="E1545" s="1" t="s">
        <v>49</v>
      </c>
      <c r="F1545" s="1" t="s">
        <v>34</v>
      </c>
      <c r="G1545" s="2">
        <v>45336</v>
      </c>
      <c r="H1545" s="2"/>
      <c r="I1545">
        <v>25</v>
      </c>
      <c r="J1545">
        <v>40</v>
      </c>
      <c r="K1545">
        <v>15</v>
      </c>
      <c r="L1545" s="1" t="s">
        <v>58</v>
      </c>
      <c r="M1545">
        <v>621.29999999999995</v>
      </c>
      <c r="N1545">
        <v>2562920.86</v>
      </c>
      <c r="O1545">
        <v>1310778.28</v>
      </c>
      <c r="P1545">
        <v>692405.63</v>
      </c>
      <c r="Q1545" s="1" t="s">
        <v>1466</v>
      </c>
      <c r="R1545">
        <v>72</v>
      </c>
      <c r="S1545" s="1" t="s">
        <v>4956</v>
      </c>
      <c r="T1545" t="b">
        <v>0</v>
      </c>
    </row>
    <row r="1546" spans="1:20" x14ac:dyDescent="0.25">
      <c r="A1546" s="1" t="s">
        <v>4957</v>
      </c>
      <c r="B1546" s="1" t="s">
        <v>451</v>
      </c>
      <c r="C1546" s="1" t="s">
        <v>292</v>
      </c>
      <c r="D1546" s="1" t="s">
        <v>154</v>
      </c>
      <c r="E1546" s="1" t="s">
        <v>49</v>
      </c>
      <c r="F1546" s="1" t="s">
        <v>66</v>
      </c>
      <c r="G1546" s="2">
        <v>45399</v>
      </c>
      <c r="H1546" s="2"/>
      <c r="I1546">
        <v>25</v>
      </c>
      <c r="J1546">
        <v>11</v>
      </c>
      <c r="K1546">
        <v>0</v>
      </c>
      <c r="L1546" s="1" t="s">
        <v>26</v>
      </c>
      <c r="M1546">
        <v>132.69999999999999</v>
      </c>
      <c r="N1546">
        <v>592949.21</v>
      </c>
      <c r="O1546">
        <v>4022992.76</v>
      </c>
      <c r="P1546">
        <v>507887.76</v>
      </c>
      <c r="Q1546" s="1" t="s">
        <v>4958</v>
      </c>
      <c r="R1546">
        <v>32</v>
      </c>
      <c r="S1546" s="1" t="s">
        <v>4959</v>
      </c>
      <c r="T1546" t="b">
        <v>1</v>
      </c>
    </row>
    <row r="1547" spans="1:20" x14ac:dyDescent="0.25">
      <c r="A1547" s="1" t="s">
        <v>4960</v>
      </c>
      <c r="B1547" s="1" t="s">
        <v>117</v>
      </c>
      <c r="C1547" s="1" t="s">
        <v>1191</v>
      </c>
      <c r="D1547" s="1" t="s">
        <v>758</v>
      </c>
      <c r="E1547" s="1" t="s">
        <v>24</v>
      </c>
      <c r="F1547" s="1" t="s">
        <v>50</v>
      </c>
      <c r="G1547" s="2">
        <v>44811</v>
      </c>
      <c r="H1547" s="2"/>
      <c r="I1547">
        <v>3</v>
      </c>
      <c r="J1547">
        <v>2</v>
      </c>
      <c r="K1547">
        <v>0</v>
      </c>
      <c r="L1547" s="1" t="s">
        <v>26</v>
      </c>
      <c r="M1547">
        <v>11.4</v>
      </c>
      <c r="N1547">
        <v>24916.16</v>
      </c>
      <c r="O1547">
        <v>748935.26</v>
      </c>
      <c r="P1547">
        <v>90926.71</v>
      </c>
      <c r="Q1547" s="1" t="s">
        <v>4961</v>
      </c>
      <c r="R1547">
        <v>75</v>
      </c>
      <c r="S1547" s="1" t="s">
        <v>4962</v>
      </c>
      <c r="T1547" t="b">
        <v>1</v>
      </c>
    </row>
    <row r="1548" spans="1:20" x14ac:dyDescent="0.25">
      <c r="A1548" s="1" t="s">
        <v>4963</v>
      </c>
      <c r="B1548" s="1" t="s">
        <v>566</v>
      </c>
      <c r="C1548" s="1" t="s">
        <v>950</v>
      </c>
      <c r="D1548" s="1" t="s">
        <v>268</v>
      </c>
      <c r="E1548" s="1" t="s">
        <v>57</v>
      </c>
      <c r="F1548" s="1" t="s">
        <v>25</v>
      </c>
      <c r="G1548" s="2">
        <v>45639</v>
      </c>
      <c r="H1548" s="2">
        <v>45697</v>
      </c>
      <c r="I1548">
        <v>40</v>
      </c>
      <c r="J1548">
        <v>58</v>
      </c>
      <c r="K1548">
        <v>18</v>
      </c>
      <c r="L1548" s="1" t="s">
        <v>26</v>
      </c>
      <c r="M1548">
        <v>643.4</v>
      </c>
      <c r="N1548">
        <v>1674340.84</v>
      </c>
      <c r="O1548">
        <v>16431.240000000002</v>
      </c>
      <c r="P1548">
        <v>184677.87</v>
      </c>
      <c r="Q1548" s="1" t="s">
        <v>2926</v>
      </c>
      <c r="R1548">
        <v>43</v>
      </c>
      <c r="S1548" s="1" t="s">
        <v>4964</v>
      </c>
      <c r="T1548" t="b">
        <v>1</v>
      </c>
    </row>
    <row r="1549" spans="1:20" x14ac:dyDescent="0.25">
      <c r="A1549" s="1" t="s">
        <v>4965</v>
      </c>
      <c r="B1549" s="1" t="s">
        <v>471</v>
      </c>
      <c r="C1549" s="1" t="s">
        <v>4801</v>
      </c>
      <c r="D1549" s="1" t="s">
        <v>541</v>
      </c>
      <c r="E1549" s="1" t="s">
        <v>57</v>
      </c>
      <c r="F1549" s="1" t="s">
        <v>25</v>
      </c>
      <c r="G1549" s="2">
        <v>44798</v>
      </c>
      <c r="H1549" s="2">
        <v>44819</v>
      </c>
      <c r="I1549">
        <v>40</v>
      </c>
      <c r="J1549">
        <v>21</v>
      </c>
      <c r="K1549">
        <v>0</v>
      </c>
      <c r="L1549" s="1" t="s">
        <v>26</v>
      </c>
      <c r="M1549">
        <v>292.2</v>
      </c>
      <c r="N1549">
        <v>1272054.82</v>
      </c>
      <c r="O1549">
        <v>1578948.59</v>
      </c>
      <c r="P1549">
        <v>375957.38</v>
      </c>
      <c r="Q1549" s="1" t="s">
        <v>4966</v>
      </c>
      <c r="R1549">
        <v>61</v>
      </c>
      <c r="S1549" s="1" t="s">
        <v>4967</v>
      </c>
      <c r="T1549" t="b">
        <v>1</v>
      </c>
    </row>
    <row r="1550" spans="1:20" x14ac:dyDescent="0.25">
      <c r="A1550" s="1" t="s">
        <v>4968</v>
      </c>
      <c r="B1550" s="1" t="s">
        <v>418</v>
      </c>
      <c r="C1550" s="1" t="s">
        <v>4532</v>
      </c>
      <c r="D1550" s="1" t="s">
        <v>249</v>
      </c>
      <c r="E1550" s="1" t="s">
        <v>65</v>
      </c>
      <c r="F1550" s="1" t="s">
        <v>25</v>
      </c>
      <c r="G1550" s="2">
        <v>44577</v>
      </c>
      <c r="H1550" s="2">
        <v>44579</v>
      </c>
      <c r="I1550">
        <v>4</v>
      </c>
      <c r="J1550">
        <v>2</v>
      </c>
      <c r="K1550">
        <v>0</v>
      </c>
      <c r="L1550" s="1" t="s">
        <v>26</v>
      </c>
      <c r="M1550">
        <v>23.3</v>
      </c>
      <c r="N1550">
        <v>100824.28</v>
      </c>
      <c r="O1550">
        <v>1803327.2</v>
      </c>
      <c r="P1550">
        <v>283599.58</v>
      </c>
      <c r="Q1550" s="1" t="s">
        <v>4969</v>
      </c>
      <c r="R1550">
        <v>21</v>
      </c>
      <c r="S1550" s="1" t="s">
        <v>4970</v>
      </c>
      <c r="T1550" t="b">
        <v>1</v>
      </c>
    </row>
    <row r="1551" spans="1:20" x14ac:dyDescent="0.25">
      <c r="A1551" s="1" t="s">
        <v>4971</v>
      </c>
      <c r="B1551" s="1" t="s">
        <v>228</v>
      </c>
      <c r="C1551" s="1" t="s">
        <v>877</v>
      </c>
      <c r="D1551" s="1" t="s">
        <v>359</v>
      </c>
      <c r="E1551" s="1" t="s">
        <v>33</v>
      </c>
      <c r="F1551" s="1" t="s">
        <v>25</v>
      </c>
      <c r="G1551" s="2">
        <v>44597</v>
      </c>
      <c r="H1551" s="2">
        <v>44607</v>
      </c>
      <c r="I1551">
        <v>12</v>
      </c>
      <c r="J1551">
        <v>10</v>
      </c>
      <c r="K1551">
        <v>0</v>
      </c>
      <c r="L1551" s="1" t="s">
        <v>26</v>
      </c>
      <c r="M1551">
        <v>52.3</v>
      </c>
      <c r="N1551">
        <v>134765.9</v>
      </c>
      <c r="O1551">
        <v>4334942.37</v>
      </c>
      <c r="P1551">
        <v>868563.66</v>
      </c>
      <c r="Q1551" s="1" t="s">
        <v>4972</v>
      </c>
      <c r="R1551">
        <v>68</v>
      </c>
      <c r="S1551" s="1" t="s">
        <v>4973</v>
      </c>
      <c r="T1551" t="b">
        <v>1</v>
      </c>
    </row>
    <row r="1552" spans="1:20" x14ac:dyDescent="0.25">
      <c r="A1552" s="1" t="s">
        <v>4974</v>
      </c>
      <c r="B1552" s="1" t="s">
        <v>334</v>
      </c>
      <c r="C1552" s="1" t="s">
        <v>305</v>
      </c>
      <c r="D1552" s="1" t="s">
        <v>297</v>
      </c>
      <c r="E1552" s="1" t="s">
        <v>24</v>
      </c>
      <c r="F1552" s="1" t="s">
        <v>25</v>
      </c>
      <c r="G1552" s="2">
        <v>45099</v>
      </c>
      <c r="H1552" s="2">
        <v>45104</v>
      </c>
      <c r="I1552">
        <v>3</v>
      </c>
      <c r="J1552">
        <v>5</v>
      </c>
      <c r="K1552">
        <v>2</v>
      </c>
      <c r="L1552" s="1" t="s">
        <v>26</v>
      </c>
      <c r="M1552">
        <v>44.6</v>
      </c>
      <c r="N1552">
        <v>134966.60999999999</v>
      </c>
      <c r="O1552">
        <v>3666491.86</v>
      </c>
      <c r="P1552">
        <v>619184.62</v>
      </c>
      <c r="Q1552" s="1" t="s">
        <v>4975</v>
      </c>
      <c r="R1552">
        <v>59</v>
      </c>
      <c r="S1552" s="1" t="s">
        <v>4976</v>
      </c>
      <c r="T1552" t="b">
        <v>1</v>
      </c>
    </row>
    <row r="1553" spans="1:20" x14ac:dyDescent="0.25">
      <c r="A1553" s="1" t="s">
        <v>4977</v>
      </c>
      <c r="B1553" s="1" t="s">
        <v>99</v>
      </c>
      <c r="C1553" s="1" t="s">
        <v>896</v>
      </c>
      <c r="D1553" s="1" t="s">
        <v>541</v>
      </c>
      <c r="E1553" s="1" t="s">
        <v>65</v>
      </c>
      <c r="F1553" s="1" t="s">
        <v>25</v>
      </c>
      <c r="G1553" s="2">
        <v>44608</v>
      </c>
      <c r="H1553" s="2">
        <v>44614</v>
      </c>
      <c r="I1553">
        <v>4</v>
      </c>
      <c r="J1553">
        <v>6</v>
      </c>
      <c r="K1553">
        <v>1.5</v>
      </c>
      <c r="L1553" s="1" t="s">
        <v>26</v>
      </c>
      <c r="M1553">
        <v>59.8</v>
      </c>
      <c r="N1553">
        <v>255008.86</v>
      </c>
      <c r="O1553">
        <v>3215952.29</v>
      </c>
      <c r="P1553">
        <v>683108.65</v>
      </c>
      <c r="Q1553" s="1" t="s">
        <v>4978</v>
      </c>
      <c r="R1553">
        <v>27</v>
      </c>
      <c r="S1553" s="1" t="s">
        <v>4979</v>
      </c>
      <c r="T1553" t="b">
        <v>1</v>
      </c>
    </row>
    <row r="1554" spans="1:20" x14ac:dyDescent="0.25">
      <c r="A1554" s="1" t="s">
        <v>4980</v>
      </c>
      <c r="B1554" s="1" t="s">
        <v>185</v>
      </c>
      <c r="C1554" s="1" t="s">
        <v>1794</v>
      </c>
      <c r="D1554" s="1" t="s">
        <v>758</v>
      </c>
      <c r="E1554" s="1" t="s">
        <v>57</v>
      </c>
      <c r="F1554" s="1" t="s">
        <v>50</v>
      </c>
      <c r="G1554" s="2">
        <v>44761</v>
      </c>
      <c r="H1554" s="2"/>
      <c r="I1554">
        <v>40</v>
      </c>
      <c r="J1554">
        <v>59</v>
      </c>
      <c r="K1554">
        <v>19</v>
      </c>
      <c r="L1554" s="1" t="s">
        <v>26</v>
      </c>
      <c r="M1554">
        <v>749.6</v>
      </c>
      <c r="N1554">
        <v>2803921.06</v>
      </c>
      <c r="O1554">
        <v>1260399.24</v>
      </c>
      <c r="P1554">
        <v>779419.71</v>
      </c>
      <c r="Q1554" s="1" t="s">
        <v>4981</v>
      </c>
      <c r="R1554">
        <v>72</v>
      </c>
      <c r="S1554" s="1" t="s">
        <v>4982</v>
      </c>
      <c r="T1554" t="b">
        <v>0</v>
      </c>
    </row>
    <row r="1555" spans="1:20" x14ac:dyDescent="0.25">
      <c r="A1555" s="1" t="s">
        <v>4983</v>
      </c>
      <c r="B1555" s="1" t="s">
        <v>272</v>
      </c>
      <c r="C1555" s="1" t="s">
        <v>1126</v>
      </c>
      <c r="D1555" s="1" t="s">
        <v>72</v>
      </c>
      <c r="E1555" s="1" t="s">
        <v>24</v>
      </c>
      <c r="F1555" s="1" t="s">
        <v>25</v>
      </c>
      <c r="G1555" s="2">
        <v>45223</v>
      </c>
      <c r="H1555" s="2">
        <v>45226</v>
      </c>
      <c r="I1555">
        <v>3</v>
      </c>
      <c r="J1555">
        <v>3</v>
      </c>
      <c r="K1555">
        <v>0</v>
      </c>
      <c r="L1555" s="1" t="s">
        <v>26</v>
      </c>
      <c r="M1555">
        <v>33.299999999999997</v>
      </c>
      <c r="N1555">
        <v>87457.95</v>
      </c>
      <c r="O1555">
        <v>3843097.66</v>
      </c>
      <c r="P1555">
        <v>607165.21</v>
      </c>
      <c r="Q1555" s="1" t="s">
        <v>4984</v>
      </c>
      <c r="R1555">
        <v>47</v>
      </c>
      <c r="S1555" s="1" t="s">
        <v>4985</v>
      </c>
      <c r="T1555" t="b">
        <v>1</v>
      </c>
    </row>
    <row r="1556" spans="1:20" x14ac:dyDescent="0.25">
      <c r="A1556" s="1" t="s">
        <v>4986</v>
      </c>
      <c r="B1556" s="1" t="s">
        <v>418</v>
      </c>
      <c r="C1556" s="1" t="s">
        <v>55</v>
      </c>
      <c r="D1556" s="1" t="s">
        <v>268</v>
      </c>
      <c r="E1556" s="1" t="s">
        <v>24</v>
      </c>
      <c r="F1556" s="1" t="s">
        <v>25</v>
      </c>
      <c r="G1556" s="2">
        <v>45172</v>
      </c>
      <c r="H1556" s="2">
        <v>45177</v>
      </c>
      <c r="I1556">
        <v>3</v>
      </c>
      <c r="J1556">
        <v>5</v>
      </c>
      <c r="K1556">
        <v>2</v>
      </c>
      <c r="L1556" s="1" t="s">
        <v>26</v>
      </c>
      <c r="M1556">
        <v>56.5</v>
      </c>
      <c r="N1556">
        <v>184568.5</v>
      </c>
      <c r="O1556">
        <v>83715.67</v>
      </c>
      <c r="P1556">
        <v>28617.27</v>
      </c>
      <c r="Q1556" s="1" t="s">
        <v>4987</v>
      </c>
      <c r="R1556">
        <v>48</v>
      </c>
      <c r="S1556" s="1" t="s">
        <v>4988</v>
      </c>
      <c r="T1556" t="b">
        <v>0</v>
      </c>
    </row>
    <row r="1557" spans="1:20" x14ac:dyDescent="0.25">
      <c r="A1557" s="1" t="s">
        <v>4989</v>
      </c>
      <c r="B1557" s="1" t="s">
        <v>328</v>
      </c>
      <c r="C1557" s="1" t="s">
        <v>1311</v>
      </c>
      <c r="D1557" s="1" t="s">
        <v>107</v>
      </c>
      <c r="E1557" s="1" t="s">
        <v>65</v>
      </c>
      <c r="F1557" s="1" t="s">
        <v>25</v>
      </c>
      <c r="G1557" s="2">
        <v>45322</v>
      </c>
      <c r="H1557" s="2">
        <v>45324</v>
      </c>
      <c r="I1557">
        <v>4</v>
      </c>
      <c r="J1557">
        <v>2</v>
      </c>
      <c r="K1557">
        <v>0</v>
      </c>
      <c r="L1557" s="1" t="s">
        <v>26</v>
      </c>
      <c r="M1557">
        <v>17.600000000000001</v>
      </c>
      <c r="N1557">
        <v>38518.21</v>
      </c>
      <c r="O1557">
        <v>2077728.72</v>
      </c>
      <c r="P1557">
        <v>407683.01</v>
      </c>
      <c r="Q1557" s="1" t="s">
        <v>4990</v>
      </c>
      <c r="R1557">
        <v>28</v>
      </c>
      <c r="S1557" s="1" t="s">
        <v>4991</v>
      </c>
      <c r="T1557" t="b">
        <v>0</v>
      </c>
    </row>
    <row r="1558" spans="1:20" x14ac:dyDescent="0.25">
      <c r="A1558" s="1" t="s">
        <v>4992</v>
      </c>
      <c r="B1558" s="1" t="s">
        <v>163</v>
      </c>
      <c r="C1558" s="1" t="s">
        <v>170</v>
      </c>
      <c r="D1558" s="1" t="s">
        <v>78</v>
      </c>
      <c r="E1558" s="1" t="s">
        <v>41</v>
      </c>
      <c r="F1558" s="1" t="s">
        <v>25</v>
      </c>
      <c r="G1558" s="2">
        <v>45012</v>
      </c>
      <c r="H1558" s="2">
        <v>45023</v>
      </c>
      <c r="I1558">
        <v>9</v>
      </c>
      <c r="J1558">
        <v>11</v>
      </c>
      <c r="K1558">
        <v>2</v>
      </c>
      <c r="L1558" s="1" t="s">
        <v>26</v>
      </c>
      <c r="M1558">
        <v>81</v>
      </c>
      <c r="N1558">
        <v>250537.75</v>
      </c>
      <c r="O1558">
        <v>1998356.66</v>
      </c>
      <c r="P1558">
        <v>362922.22</v>
      </c>
      <c r="Q1558" s="1" t="s">
        <v>4993</v>
      </c>
      <c r="R1558">
        <v>49</v>
      </c>
      <c r="S1558" s="1" t="s">
        <v>4994</v>
      </c>
      <c r="T1558" t="b">
        <v>0</v>
      </c>
    </row>
    <row r="1559" spans="1:20" x14ac:dyDescent="0.25">
      <c r="A1559" s="1" t="s">
        <v>4995</v>
      </c>
      <c r="B1559" s="1" t="s">
        <v>334</v>
      </c>
      <c r="C1559" s="1" t="s">
        <v>1013</v>
      </c>
      <c r="D1559" s="1" t="s">
        <v>541</v>
      </c>
      <c r="E1559" s="1" t="s">
        <v>24</v>
      </c>
      <c r="F1559" s="1" t="s">
        <v>50</v>
      </c>
      <c r="G1559" s="2">
        <v>44931</v>
      </c>
      <c r="H1559" s="2"/>
      <c r="I1559">
        <v>3</v>
      </c>
      <c r="J1559">
        <v>1</v>
      </c>
      <c r="K1559">
        <v>0</v>
      </c>
      <c r="L1559" s="1" t="s">
        <v>26</v>
      </c>
      <c r="M1559">
        <v>10.4</v>
      </c>
      <c r="N1559">
        <v>37682.76</v>
      </c>
      <c r="O1559">
        <v>1209537.55</v>
      </c>
      <c r="P1559">
        <v>142287.71</v>
      </c>
      <c r="Q1559" s="1" t="s">
        <v>4996</v>
      </c>
      <c r="R1559">
        <v>22</v>
      </c>
      <c r="S1559" s="1" t="s">
        <v>4997</v>
      </c>
      <c r="T1559" t="b">
        <v>0</v>
      </c>
    </row>
    <row r="1560" spans="1:20" x14ac:dyDescent="0.25">
      <c r="A1560" s="1" t="s">
        <v>4998</v>
      </c>
      <c r="B1560" s="1" t="s">
        <v>122</v>
      </c>
      <c r="C1560" s="1" t="s">
        <v>1241</v>
      </c>
      <c r="D1560" s="1" t="s">
        <v>758</v>
      </c>
      <c r="E1560" s="1" t="s">
        <v>65</v>
      </c>
      <c r="F1560" s="1" t="s">
        <v>34</v>
      </c>
      <c r="G1560" s="2">
        <v>44725</v>
      </c>
      <c r="H1560" s="2"/>
      <c r="I1560">
        <v>4</v>
      </c>
      <c r="J1560">
        <v>3</v>
      </c>
      <c r="K1560">
        <v>0</v>
      </c>
      <c r="L1560" s="1" t="s">
        <v>26</v>
      </c>
      <c r="M1560">
        <v>23.1</v>
      </c>
      <c r="N1560">
        <v>86495.52</v>
      </c>
      <c r="O1560">
        <v>1716619.98</v>
      </c>
      <c r="P1560">
        <v>350218.55</v>
      </c>
      <c r="Q1560" s="1" t="s">
        <v>4999</v>
      </c>
      <c r="R1560">
        <v>49</v>
      </c>
      <c r="S1560" s="1" t="s">
        <v>5000</v>
      </c>
      <c r="T1560" t="b">
        <v>0</v>
      </c>
    </row>
    <row r="1561" spans="1:20" x14ac:dyDescent="0.25">
      <c r="A1561" s="1" t="s">
        <v>5001</v>
      </c>
      <c r="B1561" s="1" t="s">
        <v>76</v>
      </c>
      <c r="C1561" s="1" t="s">
        <v>1462</v>
      </c>
      <c r="D1561" s="1" t="s">
        <v>187</v>
      </c>
      <c r="E1561" s="1" t="s">
        <v>65</v>
      </c>
      <c r="F1561" s="1" t="s">
        <v>25</v>
      </c>
      <c r="G1561" s="2">
        <v>44620</v>
      </c>
      <c r="H1561" s="2">
        <v>44628</v>
      </c>
      <c r="I1561">
        <v>4</v>
      </c>
      <c r="J1561">
        <v>8</v>
      </c>
      <c r="K1561">
        <v>3.5</v>
      </c>
      <c r="L1561" s="1" t="s">
        <v>42</v>
      </c>
      <c r="M1561">
        <v>86.1</v>
      </c>
      <c r="N1561">
        <v>243045.13</v>
      </c>
      <c r="O1561">
        <v>819136.15</v>
      </c>
      <c r="P1561">
        <v>123695.49</v>
      </c>
      <c r="Q1561" s="1" t="s">
        <v>5002</v>
      </c>
      <c r="R1561">
        <v>29</v>
      </c>
      <c r="S1561" s="1" t="s">
        <v>5003</v>
      </c>
      <c r="T1561" t="b">
        <v>0</v>
      </c>
    </row>
    <row r="1562" spans="1:20" x14ac:dyDescent="0.25">
      <c r="A1562" s="1" t="s">
        <v>5004</v>
      </c>
      <c r="B1562" s="1" t="s">
        <v>117</v>
      </c>
      <c r="C1562" s="1" t="s">
        <v>1472</v>
      </c>
      <c r="D1562" s="1" t="s">
        <v>181</v>
      </c>
      <c r="E1562" s="1" t="s">
        <v>24</v>
      </c>
      <c r="F1562" s="1" t="s">
        <v>25</v>
      </c>
      <c r="G1562" s="2">
        <v>45158</v>
      </c>
      <c r="H1562" s="2">
        <v>45160</v>
      </c>
      <c r="I1562">
        <v>3</v>
      </c>
      <c r="J1562">
        <v>2</v>
      </c>
      <c r="K1562">
        <v>0</v>
      </c>
      <c r="L1562" s="1" t="s">
        <v>26</v>
      </c>
      <c r="M1562">
        <v>28.4</v>
      </c>
      <c r="N1562">
        <v>75823.11</v>
      </c>
      <c r="O1562">
        <v>2693723.56</v>
      </c>
      <c r="P1562">
        <v>501407.08</v>
      </c>
      <c r="Q1562" s="1" t="s">
        <v>5005</v>
      </c>
      <c r="R1562">
        <v>73</v>
      </c>
      <c r="S1562" s="1" t="s">
        <v>5006</v>
      </c>
      <c r="T1562" t="b">
        <v>1</v>
      </c>
    </row>
    <row r="1563" spans="1:20" x14ac:dyDescent="0.25">
      <c r="A1563" s="1" t="s">
        <v>5007</v>
      </c>
      <c r="B1563" s="1" t="s">
        <v>328</v>
      </c>
      <c r="C1563" s="1" t="s">
        <v>963</v>
      </c>
      <c r="D1563" s="1" t="s">
        <v>113</v>
      </c>
      <c r="E1563" s="1" t="s">
        <v>65</v>
      </c>
      <c r="F1563" s="1" t="s">
        <v>25</v>
      </c>
      <c r="G1563" s="2">
        <v>45453</v>
      </c>
      <c r="H1563" s="2">
        <v>45455</v>
      </c>
      <c r="I1563">
        <v>4</v>
      </c>
      <c r="J1563">
        <v>2</v>
      </c>
      <c r="K1563">
        <v>0</v>
      </c>
      <c r="L1563" s="1" t="s">
        <v>26</v>
      </c>
      <c r="M1563">
        <v>18.600000000000001</v>
      </c>
      <c r="N1563">
        <v>38462.26</v>
      </c>
      <c r="O1563">
        <v>1484499.02</v>
      </c>
      <c r="P1563">
        <v>176202.71</v>
      </c>
      <c r="Q1563" s="1" t="s">
        <v>5008</v>
      </c>
      <c r="R1563">
        <v>49</v>
      </c>
      <c r="S1563" s="1" t="s">
        <v>5009</v>
      </c>
      <c r="T1563" t="b">
        <v>1</v>
      </c>
    </row>
    <row r="1564" spans="1:20" x14ac:dyDescent="0.25">
      <c r="A1564" s="1" t="s">
        <v>5010</v>
      </c>
      <c r="B1564" s="1" t="s">
        <v>21</v>
      </c>
      <c r="C1564" s="1" t="s">
        <v>1462</v>
      </c>
      <c r="D1564" s="1" t="s">
        <v>176</v>
      </c>
      <c r="E1564" s="1" t="s">
        <v>24</v>
      </c>
      <c r="F1564" s="1" t="s">
        <v>34</v>
      </c>
      <c r="G1564" s="2">
        <v>44806</v>
      </c>
      <c r="H1564" s="2"/>
      <c r="I1564">
        <v>3</v>
      </c>
      <c r="J1564">
        <v>2</v>
      </c>
      <c r="K1564">
        <v>0</v>
      </c>
      <c r="L1564" s="1" t="s">
        <v>26</v>
      </c>
      <c r="M1564">
        <v>22.2</v>
      </c>
      <c r="N1564">
        <v>93896.84</v>
      </c>
      <c r="O1564">
        <v>1918424.18</v>
      </c>
      <c r="P1564">
        <v>243473.95</v>
      </c>
      <c r="Q1564" s="1" t="s">
        <v>5011</v>
      </c>
      <c r="R1564">
        <v>72</v>
      </c>
      <c r="S1564" s="1" t="s">
        <v>5012</v>
      </c>
      <c r="T1564" t="b">
        <v>0</v>
      </c>
    </row>
    <row r="1565" spans="1:20" x14ac:dyDescent="0.25">
      <c r="A1565" s="1" t="s">
        <v>5013</v>
      </c>
      <c r="B1565" s="1" t="s">
        <v>471</v>
      </c>
      <c r="C1565" s="1" t="s">
        <v>1134</v>
      </c>
      <c r="D1565" s="1" t="s">
        <v>113</v>
      </c>
      <c r="E1565" s="1" t="s">
        <v>57</v>
      </c>
      <c r="F1565" s="1" t="s">
        <v>25</v>
      </c>
      <c r="G1565" s="2">
        <v>44629</v>
      </c>
      <c r="H1565" s="2">
        <v>44663</v>
      </c>
      <c r="I1565">
        <v>40</v>
      </c>
      <c r="J1565">
        <v>34</v>
      </c>
      <c r="K1565">
        <v>0</v>
      </c>
      <c r="L1565" s="1" t="s">
        <v>26</v>
      </c>
      <c r="M1565">
        <v>375.2</v>
      </c>
      <c r="N1565">
        <v>1181993.1299999999</v>
      </c>
      <c r="O1565">
        <v>1517331.06</v>
      </c>
      <c r="P1565">
        <v>480543.15</v>
      </c>
      <c r="Q1565" s="1" t="s">
        <v>5014</v>
      </c>
      <c r="R1565">
        <v>26</v>
      </c>
      <c r="S1565" s="1" t="s">
        <v>5015</v>
      </c>
      <c r="T1565" t="b">
        <v>1</v>
      </c>
    </row>
    <row r="1566" spans="1:20" x14ac:dyDescent="0.25">
      <c r="A1566" s="1" t="s">
        <v>5016</v>
      </c>
      <c r="B1566" s="1" t="s">
        <v>54</v>
      </c>
      <c r="C1566" s="1" t="s">
        <v>1570</v>
      </c>
      <c r="D1566" s="1" t="s">
        <v>405</v>
      </c>
      <c r="E1566" s="1" t="s">
        <v>49</v>
      </c>
      <c r="F1566" s="1" t="s">
        <v>25</v>
      </c>
      <c r="G1566" s="2">
        <v>44779</v>
      </c>
      <c r="H1566" s="2">
        <v>44809</v>
      </c>
      <c r="I1566">
        <v>25</v>
      </c>
      <c r="J1566">
        <v>30</v>
      </c>
      <c r="K1566">
        <v>5</v>
      </c>
      <c r="L1566" s="1" t="s">
        <v>58</v>
      </c>
      <c r="M1566">
        <v>207.7</v>
      </c>
      <c r="N1566">
        <v>583411.41</v>
      </c>
      <c r="O1566">
        <v>1136207.69</v>
      </c>
      <c r="P1566">
        <v>275860.49</v>
      </c>
      <c r="Q1566" s="1" t="s">
        <v>5017</v>
      </c>
      <c r="R1566">
        <v>57</v>
      </c>
      <c r="S1566" s="1" t="s">
        <v>5018</v>
      </c>
      <c r="T1566" t="b">
        <v>0</v>
      </c>
    </row>
    <row r="1567" spans="1:20" x14ac:dyDescent="0.25">
      <c r="A1567" s="1" t="s">
        <v>5019</v>
      </c>
      <c r="B1567" s="1" t="s">
        <v>348</v>
      </c>
      <c r="C1567" s="1" t="s">
        <v>1790</v>
      </c>
      <c r="D1567" s="1" t="s">
        <v>72</v>
      </c>
      <c r="E1567" s="1" t="s">
        <v>33</v>
      </c>
      <c r="F1567" s="1" t="s">
        <v>25</v>
      </c>
      <c r="G1567" s="2">
        <v>45443</v>
      </c>
      <c r="H1567" s="2">
        <v>45451</v>
      </c>
      <c r="I1567">
        <v>12</v>
      </c>
      <c r="J1567">
        <v>8</v>
      </c>
      <c r="K1567">
        <v>0</v>
      </c>
      <c r="L1567" s="1" t="s">
        <v>26</v>
      </c>
      <c r="M1567">
        <v>49.7</v>
      </c>
      <c r="N1567">
        <v>135153.31</v>
      </c>
      <c r="O1567">
        <v>3580555.03</v>
      </c>
      <c r="P1567">
        <v>623129.97</v>
      </c>
      <c r="Q1567" s="1" t="s">
        <v>5020</v>
      </c>
      <c r="R1567">
        <v>39</v>
      </c>
      <c r="S1567" s="1" t="s">
        <v>5021</v>
      </c>
      <c r="T1567" t="b">
        <v>1</v>
      </c>
    </row>
    <row r="1568" spans="1:20" x14ac:dyDescent="0.25">
      <c r="A1568" s="1" t="s">
        <v>5022</v>
      </c>
      <c r="B1568" s="1" t="s">
        <v>93</v>
      </c>
      <c r="C1568" s="1" t="s">
        <v>1769</v>
      </c>
      <c r="D1568" s="1" t="s">
        <v>293</v>
      </c>
      <c r="E1568" s="1" t="s">
        <v>49</v>
      </c>
      <c r="F1568" s="1" t="s">
        <v>66</v>
      </c>
      <c r="G1568" s="2">
        <v>45482</v>
      </c>
      <c r="H1568" s="2"/>
      <c r="I1568">
        <v>25</v>
      </c>
      <c r="J1568">
        <v>35</v>
      </c>
      <c r="K1568">
        <v>10</v>
      </c>
      <c r="L1568" s="1" t="s">
        <v>193</v>
      </c>
      <c r="M1568">
        <v>517.4</v>
      </c>
      <c r="N1568">
        <v>1248301.04</v>
      </c>
      <c r="O1568">
        <v>1435416.8</v>
      </c>
      <c r="P1568">
        <v>477604.1</v>
      </c>
      <c r="Q1568" s="1" t="s">
        <v>5023</v>
      </c>
      <c r="R1568">
        <v>61</v>
      </c>
      <c r="S1568" s="1" t="s">
        <v>5024</v>
      </c>
      <c r="T1568" t="b">
        <v>0</v>
      </c>
    </row>
    <row r="1569" spans="1:20" x14ac:dyDescent="0.25">
      <c r="A1569" s="1" t="s">
        <v>5025</v>
      </c>
      <c r="B1569" s="1" t="s">
        <v>105</v>
      </c>
      <c r="C1569" s="1" t="s">
        <v>153</v>
      </c>
      <c r="D1569" s="1" t="s">
        <v>40</v>
      </c>
      <c r="E1569" s="1" t="s">
        <v>49</v>
      </c>
      <c r="F1569" s="1" t="s">
        <v>50</v>
      </c>
      <c r="G1569" s="2">
        <v>45515</v>
      </c>
      <c r="H1569" s="2"/>
      <c r="I1569">
        <v>25</v>
      </c>
      <c r="J1569">
        <v>12</v>
      </c>
      <c r="K1569">
        <v>0</v>
      </c>
      <c r="L1569" s="1" t="s">
        <v>26</v>
      </c>
      <c r="M1569">
        <v>89</v>
      </c>
      <c r="N1569">
        <v>250755.73</v>
      </c>
      <c r="O1569">
        <v>2211049.81</v>
      </c>
      <c r="P1569">
        <v>317065.75</v>
      </c>
      <c r="Q1569" s="1" t="s">
        <v>5026</v>
      </c>
      <c r="R1569">
        <v>42</v>
      </c>
      <c r="S1569" s="1" t="s">
        <v>5027</v>
      </c>
      <c r="T1569" t="b">
        <v>1</v>
      </c>
    </row>
    <row r="1570" spans="1:20" x14ac:dyDescent="0.25">
      <c r="A1570" s="1" t="s">
        <v>5028</v>
      </c>
      <c r="B1570" s="1" t="s">
        <v>451</v>
      </c>
      <c r="C1570" s="1" t="s">
        <v>1126</v>
      </c>
      <c r="D1570" s="1" t="s">
        <v>159</v>
      </c>
      <c r="E1570" s="1" t="s">
        <v>33</v>
      </c>
      <c r="F1570" s="1" t="s">
        <v>34</v>
      </c>
      <c r="G1570" s="2">
        <v>44775</v>
      </c>
      <c r="H1570" s="2"/>
      <c r="I1570">
        <v>12</v>
      </c>
      <c r="J1570">
        <v>13</v>
      </c>
      <c r="K1570">
        <v>1</v>
      </c>
      <c r="L1570" s="1" t="s">
        <v>26</v>
      </c>
      <c r="M1570">
        <v>203.9</v>
      </c>
      <c r="N1570">
        <v>602596.30000000005</v>
      </c>
      <c r="O1570">
        <v>2109393.66</v>
      </c>
      <c r="P1570">
        <v>387275.18</v>
      </c>
      <c r="Q1570" s="1" t="s">
        <v>3984</v>
      </c>
      <c r="R1570">
        <v>28</v>
      </c>
      <c r="S1570" s="1" t="s">
        <v>5029</v>
      </c>
      <c r="T1570" t="b">
        <v>1</v>
      </c>
    </row>
    <row r="1571" spans="1:20" x14ac:dyDescent="0.25">
      <c r="A1571" s="1" t="s">
        <v>5030</v>
      </c>
      <c r="B1571" s="1" t="s">
        <v>471</v>
      </c>
      <c r="C1571" s="1" t="s">
        <v>730</v>
      </c>
      <c r="D1571" s="1" t="s">
        <v>249</v>
      </c>
      <c r="E1571" s="1" t="s">
        <v>49</v>
      </c>
      <c r="F1571" s="1" t="s">
        <v>25</v>
      </c>
      <c r="G1571" s="2">
        <v>44889</v>
      </c>
      <c r="H1571" s="2">
        <v>44925</v>
      </c>
      <c r="I1571">
        <v>25</v>
      </c>
      <c r="J1571">
        <v>36</v>
      </c>
      <c r="K1571">
        <v>11</v>
      </c>
      <c r="L1571" s="1" t="s">
        <v>58</v>
      </c>
      <c r="M1571">
        <v>446.5</v>
      </c>
      <c r="N1571">
        <v>1190865.01</v>
      </c>
      <c r="O1571">
        <v>2741725.49</v>
      </c>
      <c r="P1571">
        <v>553228.75</v>
      </c>
      <c r="Q1571" s="1" t="s">
        <v>5031</v>
      </c>
      <c r="R1571">
        <v>24</v>
      </c>
      <c r="S1571" s="1" t="s">
        <v>5032</v>
      </c>
      <c r="T1571" t="b">
        <v>1</v>
      </c>
    </row>
    <row r="1572" spans="1:20" x14ac:dyDescent="0.25">
      <c r="A1572" s="1" t="s">
        <v>5033</v>
      </c>
      <c r="B1572" s="1" t="s">
        <v>30</v>
      </c>
      <c r="C1572" s="1" t="s">
        <v>1765</v>
      </c>
      <c r="D1572" s="1" t="s">
        <v>282</v>
      </c>
      <c r="E1572" s="1" t="s">
        <v>65</v>
      </c>
      <c r="F1572" s="1" t="s">
        <v>34</v>
      </c>
      <c r="G1572" s="2">
        <v>45362</v>
      </c>
      <c r="H1572" s="2"/>
      <c r="I1572">
        <v>4</v>
      </c>
      <c r="J1572">
        <v>8</v>
      </c>
      <c r="K1572">
        <v>3.5</v>
      </c>
      <c r="L1572" s="1" t="s">
        <v>193</v>
      </c>
      <c r="M1572">
        <v>34.299999999999997</v>
      </c>
      <c r="N1572">
        <v>120010.17</v>
      </c>
      <c r="O1572">
        <v>2394338.6</v>
      </c>
      <c r="P1572">
        <v>358942.9</v>
      </c>
      <c r="Q1572" s="1" t="s">
        <v>5034</v>
      </c>
      <c r="R1572">
        <v>42</v>
      </c>
      <c r="S1572" s="1" t="s">
        <v>5035</v>
      </c>
      <c r="T1572" t="b">
        <v>1</v>
      </c>
    </row>
    <row r="1573" spans="1:20" x14ac:dyDescent="0.25">
      <c r="A1573" s="1" t="s">
        <v>5036</v>
      </c>
      <c r="B1573" s="1" t="s">
        <v>471</v>
      </c>
      <c r="C1573" s="1" t="s">
        <v>1340</v>
      </c>
      <c r="D1573" s="1" t="s">
        <v>513</v>
      </c>
      <c r="E1573" s="1" t="s">
        <v>57</v>
      </c>
      <c r="F1573" s="1" t="s">
        <v>25</v>
      </c>
      <c r="G1573" s="2">
        <v>44708</v>
      </c>
      <c r="H1573" s="2">
        <v>44768</v>
      </c>
      <c r="I1573">
        <v>40</v>
      </c>
      <c r="J1573">
        <v>60</v>
      </c>
      <c r="K1573">
        <v>20</v>
      </c>
      <c r="L1573" s="1" t="s">
        <v>330</v>
      </c>
      <c r="M1573">
        <v>612.1</v>
      </c>
      <c r="N1573">
        <v>1571937.98</v>
      </c>
      <c r="O1573">
        <v>2568017.4700000002</v>
      </c>
      <c r="P1573">
        <v>585424.92000000004</v>
      </c>
      <c r="Q1573" s="1" t="s">
        <v>5037</v>
      </c>
      <c r="R1573">
        <v>21</v>
      </c>
      <c r="S1573" s="1" t="s">
        <v>5038</v>
      </c>
      <c r="T1573" t="b">
        <v>1</v>
      </c>
    </row>
    <row r="1574" spans="1:20" x14ac:dyDescent="0.25">
      <c r="A1574" s="1" t="s">
        <v>5039</v>
      </c>
      <c r="B1574" s="1" t="s">
        <v>629</v>
      </c>
      <c r="C1574" s="1" t="s">
        <v>1426</v>
      </c>
      <c r="D1574" s="1" t="s">
        <v>372</v>
      </c>
      <c r="E1574" s="1" t="s">
        <v>41</v>
      </c>
      <c r="F1574" s="1" t="s">
        <v>25</v>
      </c>
      <c r="G1574" s="2">
        <v>44621</v>
      </c>
      <c r="H1574" s="2">
        <v>44631</v>
      </c>
      <c r="I1574">
        <v>9</v>
      </c>
      <c r="J1574">
        <v>10</v>
      </c>
      <c r="K1574">
        <v>1</v>
      </c>
      <c r="L1574" s="1" t="s">
        <v>26</v>
      </c>
      <c r="M1574">
        <v>139.6</v>
      </c>
      <c r="N1574">
        <v>542604.91</v>
      </c>
      <c r="O1574">
        <v>1235834.1200000001</v>
      </c>
      <c r="P1574">
        <v>311643.25</v>
      </c>
      <c r="Q1574" s="1" t="s">
        <v>5040</v>
      </c>
      <c r="R1574">
        <v>29</v>
      </c>
      <c r="S1574" s="1" t="s">
        <v>5041</v>
      </c>
      <c r="T1574" t="b">
        <v>0</v>
      </c>
    </row>
    <row r="1575" spans="1:20" x14ac:dyDescent="0.25">
      <c r="A1575" s="1" t="s">
        <v>5042</v>
      </c>
      <c r="B1575" s="1" t="s">
        <v>242</v>
      </c>
      <c r="C1575" s="1" t="s">
        <v>734</v>
      </c>
      <c r="D1575" s="1" t="s">
        <v>263</v>
      </c>
      <c r="E1575" s="1" t="s">
        <v>24</v>
      </c>
      <c r="F1575" s="1" t="s">
        <v>66</v>
      </c>
      <c r="G1575" s="2">
        <v>45457</v>
      </c>
      <c r="H1575" s="2"/>
      <c r="I1575">
        <v>3</v>
      </c>
      <c r="J1575">
        <v>5</v>
      </c>
      <c r="K1575">
        <v>2</v>
      </c>
      <c r="L1575" s="1" t="s">
        <v>26</v>
      </c>
      <c r="M1575">
        <v>71.099999999999994</v>
      </c>
      <c r="N1575">
        <v>200926.57</v>
      </c>
      <c r="O1575">
        <v>1051371.97</v>
      </c>
      <c r="P1575">
        <v>246815.37</v>
      </c>
      <c r="Q1575" s="1" t="s">
        <v>5043</v>
      </c>
      <c r="R1575">
        <v>62</v>
      </c>
      <c r="S1575" s="1" t="s">
        <v>5044</v>
      </c>
      <c r="T1575" t="b">
        <v>1</v>
      </c>
    </row>
    <row r="1576" spans="1:20" x14ac:dyDescent="0.25">
      <c r="A1576" s="1" t="s">
        <v>5045</v>
      </c>
      <c r="B1576" s="1" t="s">
        <v>117</v>
      </c>
      <c r="C1576" s="1" t="s">
        <v>335</v>
      </c>
      <c r="D1576" s="1" t="s">
        <v>336</v>
      </c>
      <c r="E1576" s="1" t="s">
        <v>65</v>
      </c>
      <c r="F1576" s="1" t="s">
        <v>25</v>
      </c>
      <c r="G1576" s="2">
        <v>45579</v>
      </c>
      <c r="H1576" s="2">
        <v>45581</v>
      </c>
      <c r="I1576">
        <v>4</v>
      </c>
      <c r="J1576">
        <v>2</v>
      </c>
      <c r="K1576">
        <v>0</v>
      </c>
      <c r="L1576" s="1" t="s">
        <v>26</v>
      </c>
      <c r="M1576">
        <v>29.2</v>
      </c>
      <c r="N1576">
        <v>79430.820000000007</v>
      </c>
      <c r="O1576">
        <v>1059443.46</v>
      </c>
      <c r="P1576">
        <v>173540.85</v>
      </c>
      <c r="Q1576" s="1" t="s">
        <v>943</v>
      </c>
      <c r="R1576">
        <v>44</v>
      </c>
      <c r="S1576" s="1" t="s">
        <v>5046</v>
      </c>
      <c r="T1576" t="b">
        <v>0</v>
      </c>
    </row>
    <row r="1577" spans="1:20" x14ac:dyDescent="0.25">
      <c r="A1577" s="1" t="s">
        <v>5047</v>
      </c>
      <c r="B1577" s="1" t="s">
        <v>471</v>
      </c>
      <c r="C1577" s="1" t="s">
        <v>329</v>
      </c>
      <c r="D1577" s="1" t="s">
        <v>344</v>
      </c>
      <c r="E1577" s="1" t="s">
        <v>41</v>
      </c>
      <c r="F1577" s="1" t="s">
        <v>25</v>
      </c>
      <c r="G1577" s="2">
        <v>44897</v>
      </c>
      <c r="H1577" s="2">
        <v>44906</v>
      </c>
      <c r="I1577">
        <v>9</v>
      </c>
      <c r="J1577">
        <v>9</v>
      </c>
      <c r="K1577">
        <v>0</v>
      </c>
      <c r="L1577" s="1" t="s">
        <v>26</v>
      </c>
      <c r="M1577">
        <v>67.599999999999994</v>
      </c>
      <c r="N1577">
        <v>200361.19</v>
      </c>
      <c r="O1577">
        <v>4330335.2300000004</v>
      </c>
      <c r="P1577">
        <v>850332.14</v>
      </c>
      <c r="Q1577" s="1" t="s">
        <v>5048</v>
      </c>
      <c r="R1577">
        <v>37</v>
      </c>
      <c r="S1577" s="1" t="s">
        <v>5049</v>
      </c>
      <c r="T1577" t="b">
        <v>0</v>
      </c>
    </row>
    <row r="1578" spans="1:20" x14ac:dyDescent="0.25">
      <c r="A1578" s="1" t="s">
        <v>5050</v>
      </c>
      <c r="B1578" s="1" t="s">
        <v>38</v>
      </c>
      <c r="C1578" s="1" t="s">
        <v>1486</v>
      </c>
      <c r="D1578" s="1" t="s">
        <v>655</v>
      </c>
      <c r="E1578" s="1" t="s">
        <v>57</v>
      </c>
      <c r="F1578" s="1" t="s">
        <v>50</v>
      </c>
      <c r="G1578" s="2">
        <v>45269</v>
      </c>
      <c r="H1578" s="2"/>
      <c r="I1578">
        <v>40</v>
      </c>
      <c r="J1578">
        <v>35</v>
      </c>
      <c r="K1578">
        <v>0</v>
      </c>
      <c r="L1578" s="1" t="s">
        <v>26</v>
      </c>
      <c r="M1578">
        <v>345.4</v>
      </c>
      <c r="N1578">
        <v>1399885.97</v>
      </c>
      <c r="O1578">
        <v>3366479.69</v>
      </c>
      <c r="P1578">
        <v>626307.77</v>
      </c>
      <c r="Q1578" s="1" t="s">
        <v>5051</v>
      </c>
      <c r="R1578">
        <v>48</v>
      </c>
      <c r="S1578" s="1" t="s">
        <v>5052</v>
      </c>
      <c r="T1578" t="b">
        <v>0</v>
      </c>
    </row>
    <row r="1579" spans="1:20" x14ac:dyDescent="0.25">
      <c r="A1579" s="1" t="s">
        <v>5053</v>
      </c>
      <c r="B1579" s="1" t="s">
        <v>70</v>
      </c>
      <c r="C1579" s="1" t="s">
        <v>459</v>
      </c>
      <c r="D1579" s="1" t="s">
        <v>192</v>
      </c>
      <c r="E1579" s="1" t="s">
        <v>57</v>
      </c>
      <c r="F1579" s="1" t="s">
        <v>25</v>
      </c>
      <c r="G1579" s="2">
        <v>45434</v>
      </c>
      <c r="H1579" s="2">
        <v>45471</v>
      </c>
      <c r="I1579">
        <v>40</v>
      </c>
      <c r="J1579">
        <v>37</v>
      </c>
      <c r="K1579">
        <v>0</v>
      </c>
      <c r="L1579" s="1" t="s">
        <v>26</v>
      </c>
      <c r="M1579">
        <v>509.5</v>
      </c>
      <c r="N1579">
        <v>1711890.48</v>
      </c>
      <c r="O1579">
        <v>3543707.4</v>
      </c>
      <c r="P1579">
        <v>962016.68</v>
      </c>
      <c r="Q1579" s="1" t="s">
        <v>5054</v>
      </c>
      <c r="R1579">
        <v>46</v>
      </c>
      <c r="S1579" s="1" t="s">
        <v>5055</v>
      </c>
      <c r="T1579" t="b">
        <v>1</v>
      </c>
    </row>
    <row r="1580" spans="1:20" x14ac:dyDescent="0.25">
      <c r="A1580" s="1" t="s">
        <v>5056</v>
      </c>
      <c r="B1580" s="1" t="s">
        <v>169</v>
      </c>
      <c r="C1580" s="1" t="s">
        <v>1497</v>
      </c>
      <c r="D1580" s="1" t="s">
        <v>405</v>
      </c>
      <c r="E1580" s="1" t="s">
        <v>24</v>
      </c>
      <c r="F1580" s="1" t="s">
        <v>25</v>
      </c>
      <c r="G1580" s="2">
        <v>45419</v>
      </c>
      <c r="H1580" s="2">
        <v>45424</v>
      </c>
      <c r="I1580">
        <v>3</v>
      </c>
      <c r="J1580">
        <v>5</v>
      </c>
      <c r="K1580">
        <v>2</v>
      </c>
      <c r="L1580" s="1" t="s">
        <v>26</v>
      </c>
      <c r="M1580">
        <v>75.7</v>
      </c>
      <c r="N1580">
        <v>311779.56</v>
      </c>
      <c r="O1580">
        <v>723542.7</v>
      </c>
      <c r="P1580">
        <v>173123.26</v>
      </c>
      <c r="Q1580" s="1" t="s">
        <v>5057</v>
      </c>
      <c r="R1580">
        <v>51</v>
      </c>
      <c r="S1580" s="1" t="s">
        <v>5058</v>
      </c>
      <c r="T1580" t="b">
        <v>1</v>
      </c>
    </row>
    <row r="1581" spans="1:20" x14ac:dyDescent="0.25">
      <c r="A1581" s="1" t="s">
        <v>5059</v>
      </c>
      <c r="B1581" s="1" t="s">
        <v>70</v>
      </c>
      <c r="C1581" s="1" t="s">
        <v>424</v>
      </c>
      <c r="D1581" s="1" t="s">
        <v>1022</v>
      </c>
      <c r="E1581" s="1" t="s">
        <v>41</v>
      </c>
      <c r="F1581" s="1" t="s">
        <v>25</v>
      </c>
      <c r="G1581" s="2">
        <v>45035</v>
      </c>
      <c r="H1581" s="2">
        <v>45049</v>
      </c>
      <c r="I1581">
        <v>9</v>
      </c>
      <c r="J1581">
        <v>14</v>
      </c>
      <c r="K1581">
        <v>5</v>
      </c>
      <c r="L1581" s="1" t="s">
        <v>58</v>
      </c>
      <c r="M1581">
        <v>59.7</v>
      </c>
      <c r="N1581">
        <v>178520.56</v>
      </c>
      <c r="O1581">
        <v>3890354.57</v>
      </c>
      <c r="P1581">
        <v>511620.62</v>
      </c>
      <c r="Q1581" s="1" t="s">
        <v>5060</v>
      </c>
      <c r="R1581">
        <v>39</v>
      </c>
      <c r="S1581" s="1" t="s">
        <v>5061</v>
      </c>
      <c r="T1581" t="b">
        <v>0</v>
      </c>
    </row>
    <row r="1582" spans="1:20" x14ac:dyDescent="0.25">
      <c r="A1582" s="1" t="s">
        <v>5062</v>
      </c>
      <c r="B1582" s="1" t="s">
        <v>272</v>
      </c>
      <c r="C1582" s="1" t="s">
        <v>404</v>
      </c>
      <c r="D1582" s="1" t="s">
        <v>181</v>
      </c>
      <c r="E1582" s="1" t="s">
        <v>33</v>
      </c>
      <c r="F1582" s="1" t="s">
        <v>25</v>
      </c>
      <c r="G1582" s="2">
        <v>45322</v>
      </c>
      <c r="H1582" s="2">
        <v>45330</v>
      </c>
      <c r="I1582">
        <v>12</v>
      </c>
      <c r="J1582">
        <v>8</v>
      </c>
      <c r="K1582">
        <v>0</v>
      </c>
      <c r="L1582" s="1" t="s">
        <v>26</v>
      </c>
      <c r="M1582">
        <v>107.6</v>
      </c>
      <c r="N1582">
        <v>278717.36</v>
      </c>
      <c r="O1582">
        <v>2472204.21</v>
      </c>
      <c r="P1582">
        <v>426421.42</v>
      </c>
      <c r="Q1582" s="1" t="s">
        <v>5063</v>
      </c>
      <c r="R1582">
        <v>42</v>
      </c>
      <c r="S1582" s="1" t="s">
        <v>5064</v>
      </c>
      <c r="T1582" t="b">
        <v>0</v>
      </c>
    </row>
    <row r="1583" spans="1:20" x14ac:dyDescent="0.25">
      <c r="A1583" s="1" t="s">
        <v>5065</v>
      </c>
      <c r="B1583" s="1" t="s">
        <v>403</v>
      </c>
      <c r="C1583" s="1" t="s">
        <v>367</v>
      </c>
      <c r="D1583" s="1" t="s">
        <v>670</v>
      </c>
      <c r="E1583" s="1" t="s">
        <v>57</v>
      </c>
      <c r="F1583" s="1" t="s">
        <v>25</v>
      </c>
      <c r="G1583" s="2">
        <v>45511</v>
      </c>
      <c r="H1583" s="2">
        <v>45538</v>
      </c>
      <c r="I1583">
        <v>40</v>
      </c>
      <c r="J1583">
        <v>27</v>
      </c>
      <c r="K1583">
        <v>0</v>
      </c>
      <c r="L1583" s="1" t="s">
        <v>26</v>
      </c>
      <c r="M1583">
        <v>387.9</v>
      </c>
      <c r="N1583">
        <v>1003314.26</v>
      </c>
      <c r="O1583">
        <v>3280641.86</v>
      </c>
      <c r="P1583">
        <v>625010.12</v>
      </c>
      <c r="Q1583" s="1" t="s">
        <v>5066</v>
      </c>
      <c r="R1583">
        <v>38</v>
      </c>
      <c r="S1583" s="1" t="s">
        <v>5067</v>
      </c>
      <c r="T1583" t="b">
        <v>0</v>
      </c>
    </row>
    <row r="1584" spans="1:20" x14ac:dyDescent="0.25">
      <c r="A1584" s="1" t="s">
        <v>5068</v>
      </c>
      <c r="B1584" s="1" t="s">
        <v>21</v>
      </c>
      <c r="C1584" s="1" t="s">
        <v>329</v>
      </c>
      <c r="D1584" s="1" t="s">
        <v>23</v>
      </c>
      <c r="E1584" s="1" t="s">
        <v>57</v>
      </c>
      <c r="F1584" s="1" t="s">
        <v>25</v>
      </c>
      <c r="G1584" s="2">
        <v>44856</v>
      </c>
      <c r="H1584" s="2">
        <v>44904</v>
      </c>
      <c r="I1584">
        <v>40</v>
      </c>
      <c r="J1584">
        <v>48</v>
      </c>
      <c r="K1584">
        <v>8</v>
      </c>
      <c r="L1584" s="1" t="s">
        <v>58</v>
      </c>
      <c r="M1584">
        <v>563.6</v>
      </c>
      <c r="N1584">
        <v>2354858.04</v>
      </c>
      <c r="O1584">
        <v>3470143.42</v>
      </c>
      <c r="P1584">
        <v>1122166.04</v>
      </c>
      <c r="Q1584" s="1" t="s">
        <v>5069</v>
      </c>
      <c r="R1584">
        <v>69</v>
      </c>
      <c r="S1584" s="1" t="s">
        <v>5070</v>
      </c>
      <c r="T1584" t="b">
        <v>0</v>
      </c>
    </row>
    <row r="1585" spans="1:20" x14ac:dyDescent="0.25">
      <c r="A1585" s="1" t="s">
        <v>5071</v>
      </c>
      <c r="B1585" s="1" t="s">
        <v>272</v>
      </c>
      <c r="C1585" s="1" t="s">
        <v>175</v>
      </c>
      <c r="D1585" s="1" t="s">
        <v>159</v>
      </c>
      <c r="E1585" s="1" t="s">
        <v>65</v>
      </c>
      <c r="F1585" s="1" t="s">
        <v>25</v>
      </c>
      <c r="G1585" s="2">
        <v>44586</v>
      </c>
      <c r="H1585" s="2">
        <v>44593</v>
      </c>
      <c r="I1585">
        <v>4</v>
      </c>
      <c r="J1585">
        <v>7</v>
      </c>
      <c r="K1585">
        <v>2.5</v>
      </c>
      <c r="L1585" s="1" t="s">
        <v>26</v>
      </c>
      <c r="M1585">
        <v>80.900000000000006</v>
      </c>
      <c r="N1585">
        <v>292165.2</v>
      </c>
      <c r="O1585">
        <v>4245024.79</v>
      </c>
      <c r="P1585">
        <v>809354.53</v>
      </c>
      <c r="Q1585" s="1" t="s">
        <v>5072</v>
      </c>
      <c r="R1585">
        <v>28</v>
      </c>
      <c r="S1585" s="1" t="s">
        <v>5073</v>
      </c>
      <c r="T1585" t="b">
        <v>1</v>
      </c>
    </row>
    <row r="1586" spans="1:20" x14ac:dyDescent="0.25">
      <c r="A1586" s="1" t="s">
        <v>5074</v>
      </c>
      <c r="B1586" s="1" t="s">
        <v>76</v>
      </c>
      <c r="C1586" s="1" t="s">
        <v>392</v>
      </c>
      <c r="D1586" s="1" t="s">
        <v>40</v>
      </c>
      <c r="E1586" s="1" t="s">
        <v>33</v>
      </c>
      <c r="F1586" s="1" t="s">
        <v>34</v>
      </c>
      <c r="G1586" s="2">
        <v>44617</v>
      </c>
      <c r="H1586" s="2"/>
      <c r="I1586">
        <v>12</v>
      </c>
      <c r="J1586">
        <v>16</v>
      </c>
      <c r="K1586">
        <v>4</v>
      </c>
      <c r="L1586" s="1" t="s">
        <v>26</v>
      </c>
      <c r="M1586">
        <v>163.5</v>
      </c>
      <c r="N1586">
        <v>516517.01</v>
      </c>
      <c r="O1586">
        <v>1349424.63</v>
      </c>
      <c r="P1586">
        <v>258936.4</v>
      </c>
      <c r="Q1586" s="1" t="s">
        <v>5075</v>
      </c>
      <c r="R1586">
        <v>33</v>
      </c>
      <c r="S1586" s="1" t="s">
        <v>5076</v>
      </c>
      <c r="T1586" t="b">
        <v>0</v>
      </c>
    </row>
    <row r="1587" spans="1:20" x14ac:dyDescent="0.25">
      <c r="A1587" s="1" t="s">
        <v>5077</v>
      </c>
      <c r="B1587" s="1" t="s">
        <v>158</v>
      </c>
      <c r="C1587" s="1" t="s">
        <v>2852</v>
      </c>
      <c r="D1587" s="1" t="s">
        <v>293</v>
      </c>
      <c r="E1587" s="1" t="s">
        <v>41</v>
      </c>
      <c r="F1587" s="1" t="s">
        <v>66</v>
      </c>
      <c r="G1587" s="2">
        <v>45486</v>
      </c>
      <c r="H1587" s="2"/>
      <c r="I1587">
        <v>9</v>
      </c>
      <c r="J1587">
        <v>9</v>
      </c>
      <c r="K1587">
        <v>0</v>
      </c>
      <c r="L1587" s="1" t="s">
        <v>26</v>
      </c>
      <c r="M1587">
        <v>38.5</v>
      </c>
      <c r="N1587">
        <v>151418.79</v>
      </c>
      <c r="O1587">
        <v>840264.21</v>
      </c>
      <c r="P1587">
        <v>196086.8</v>
      </c>
      <c r="Q1587" s="1" t="s">
        <v>5078</v>
      </c>
      <c r="R1587">
        <v>20</v>
      </c>
      <c r="S1587" s="1" t="s">
        <v>5079</v>
      </c>
      <c r="T1587" t="b">
        <v>0</v>
      </c>
    </row>
    <row r="1588" spans="1:20" x14ac:dyDescent="0.25">
      <c r="A1588" s="1" t="s">
        <v>5080</v>
      </c>
      <c r="B1588" s="1" t="s">
        <v>62</v>
      </c>
      <c r="C1588" s="1" t="s">
        <v>273</v>
      </c>
      <c r="D1588" s="1" t="s">
        <v>32</v>
      </c>
      <c r="E1588" s="1" t="s">
        <v>49</v>
      </c>
      <c r="F1588" s="1" t="s">
        <v>25</v>
      </c>
      <c r="G1588" s="2">
        <v>45080</v>
      </c>
      <c r="H1588" s="2">
        <v>45118</v>
      </c>
      <c r="I1588">
        <v>25</v>
      </c>
      <c r="J1588">
        <v>38</v>
      </c>
      <c r="K1588">
        <v>13</v>
      </c>
      <c r="L1588" s="1" t="s">
        <v>26</v>
      </c>
      <c r="M1588">
        <v>350.3</v>
      </c>
      <c r="N1588">
        <v>1496884.2</v>
      </c>
      <c r="O1588">
        <v>674073.13</v>
      </c>
      <c r="P1588">
        <v>339166.77</v>
      </c>
      <c r="Q1588" s="1" t="s">
        <v>5081</v>
      </c>
      <c r="R1588">
        <v>32</v>
      </c>
      <c r="S1588" s="1" t="s">
        <v>5082</v>
      </c>
      <c r="T1588" t="b">
        <v>1</v>
      </c>
    </row>
    <row r="1589" spans="1:20" x14ac:dyDescent="0.25">
      <c r="A1589" s="1" t="s">
        <v>5083</v>
      </c>
      <c r="B1589" s="1" t="s">
        <v>272</v>
      </c>
      <c r="C1589" s="1" t="s">
        <v>936</v>
      </c>
      <c r="D1589" s="1" t="s">
        <v>686</v>
      </c>
      <c r="E1589" s="1" t="s">
        <v>49</v>
      </c>
      <c r="F1589" s="1" t="s">
        <v>25</v>
      </c>
      <c r="G1589" s="2">
        <v>45097</v>
      </c>
      <c r="H1589" s="2">
        <v>45131</v>
      </c>
      <c r="I1589">
        <v>25</v>
      </c>
      <c r="J1589">
        <v>34</v>
      </c>
      <c r="K1589">
        <v>9</v>
      </c>
      <c r="L1589" s="1" t="s">
        <v>42</v>
      </c>
      <c r="M1589">
        <v>489.8</v>
      </c>
      <c r="N1589">
        <v>2082561.66</v>
      </c>
      <c r="O1589">
        <v>4653337</v>
      </c>
      <c r="P1589">
        <v>925647.48</v>
      </c>
      <c r="Q1589" s="1" t="s">
        <v>5084</v>
      </c>
      <c r="R1589">
        <v>77</v>
      </c>
      <c r="S1589" s="1" t="s">
        <v>5085</v>
      </c>
      <c r="T1589" t="b">
        <v>0</v>
      </c>
    </row>
    <row r="1590" spans="1:20" x14ac:dyDescent="0.25">
      <c r="A1590" s="1" t="s">
        <v>5086</v>
      </c>
      <c r="B1590" s="1" t="s">
        <v>76</v>
      </c>
      <c r="C1590" s="1" t="s">
        <v>4532</v>
      </c>
      <c r="D1590" s="1" t="s">
        <v>124</v>
      </c>
      <c r="E1590" s="1" t="s">
        <v>65</v>
      </c>
      <c r="F1590" s="1" t="s">
        <v>25</v>
      </c>
      <c r="G1590" s="2">
        <v>45159</v>
      </c>
      <c r="H1590" s="2">
        <v>45167</v>
      </c>
      <c r="I1590">
        <v>4</v>
      </c>
      <c r="J1590">
        <v>8</v>
      </c>
      <c r="K1590">
        <v>3.5</v>
      </c>
      <c r="L1590" s="1" t="s">
        <v>58</v>
      </c>
      <c r="M1590">
        <v>65.099999999999994</v>
      </c>
      <c r="N1590">
        <v>275308.01</v>
      </c>
      <c r="O1590">
        <v>3579822.06</v>
      </c>
      <c r="P1590">
        <v>730384.02</v>
      </c>
      <c r="Q1590" s="1" t="s">
        <v>5087</v>
      </c>
      <c r="R1590">
        <v>52</v>
      </c>
      <c r="S1590" s="1" t="s">
        <v>5088</v>
      </c>
      <c r="T1590" t="b">
        <v>1</v>
      </c>
    </row>
    <row r="1591" spans="1:20" x14ac:dyDescent="0.25">
      <c r="A1591" s="1" t="s">
        <v>5089</v>
      </c>
      <c r="B1591" s="1" t="s">
        <v>82</v>
      </c>
      <c r="C1591" s="1" t="s">
        <v>1017</v>
      </c>
      <c r="D1591" s="1" t="s">
        <v>244</v>
      </c>
      <c r="E1591" s="1" t="s">
        <v>24</v>
      </c>
      <c r="F1591" s="1" t="s">
        <v>34</v>
      </c>
      <c r="G1591" s="2">
        <v>45147</v>
      </c>
      <c r="H1591" s="2"/>
      <c r="I1591">
        <v>3</v>
      </c>
      <c r="J1591">
        <v>1</v>
      </c>
      <c r="K1591">
        <v>0</v>
      </c>
      <c r="L1591" s="1" t="s">
        <v>26</v>
      </c>
      <c r="M1591">
        <v>4.7</v>
      </c>
      <c r="N1591">
        <v>9239.6200000000008</v>
      </c>
      <c r="O1591">
        <v>1217531.52</v>
      </c>
      <c r="P1591">
        <v>165438.79</v>
      </c>
      <c r="Q1591" s="1" t="s">
        <v>5090</v>
      </c>
      <c r="R1591">
        <v>41</v>
      </c>
      <c r="S1591" s="1" t="s">
        <v>5091</v>
      </c>
      <c r="T1591" t="b">
        <v>1</v>
      </c>
    </row>
    <row r="1592" spans="1:20" x14ac:dyDescent="0.25">
      <c r="A1592" s="1" t="s">
        <v>5092</v>
      </c>
      <c r="B1592" s="1" t="s">
        <v>138</v>
      </c>
      <c r="C1592" s="1" t="s">
        <v>2038</v>
      </c>
      <c r="D1592" s="1" t="s">
        <v>686</v>
      </c>
      <c r="E1592" s="1" t="s">
        <v>41</v>
      </c>
      <c r="F1592" s="1" t="s">
        <v>34</v>
      </c>
      <c r="G1592" s="2">
        <v>45631</v>
      </c>
      <c r="H1592" s="2"/>
      <c r="I1592">
        <v>9</v>
      </c>
      <c r="J1592">
        <v>4</v>
      </c>
      <c r="K1592">
        <v>0</v>
      </c>
      <c r="L1592" s="1" t="s">
        <v>26</v>
      </c>
      <c r="M1592">
        <v>29.2</v>
      </c>
      <c r="N1592">
        <v>103469.06</v>
      </c>
      <c r="O1592">
        <v>2391785.96</v>
      </c>
      <c r="P1592">
        <v>363828.51</v>
      </c>
      <c r="Q1592" s="1" t="s">
        <v>5093</v>
      </c>
      <c r="R1592">
        <v>79</v>
      </c>
      <c r="S1592" s="1" t="s">
        <v>5094</v>
      </c>
      <c r="T1592" t="b">
        <v>0</v>
      </c>
    </row>
    <row r="1593" spans="1:20" x14ac:dyDescent="0.25">
      <c r="A1593" s="1" t="s">
        <v>5095</v>
      </c>
      <c r="B1593" s="1" t="s">
        <v>566</v>
      </c>
      <c r="C1593" s="1" t="s">
        <v>22</v>
      </c>
      <c r="D1593" s="1" t="s">
        <v>306</v>
      </c>
      <c r="E1593" s="1" t="s">
        <v>24</v>
      </c>
      <c r="F1593" s="1" t="s">
        <v>25</v>
      </c>
      <c r="G1593" s="2">
        <v>45619</v>
      </c>
      <c r="H1593" s="2">
        <v>45622</v>
      </c>
      <c r="I1593">
        <v>3</v>
      </c>
      <c r="J1593">
        <v>3</v>
      </c>
      <c r="K1593">
        <v>0</v>
      </c>
      <c r="L1593" s="1" t="s">
        <v>26</v>
      </c>
      <c r="M1593">
        <v>28.1</v>
      </c>
      <c r="N1593">
        <v>87533.11</v>
      </c>
      <c r="O1593">
        <v>4080052.33</v>
      </c>
      <c r="P1593">
        <v>645523.5</v>
      </c>
      <c r="Q1593" s="1" t="s">
        <v>5096</v>
      </c>
      <c r="R1593">
        <v>76</v>
      </c>
      <c r="S1593" s="1" t="s">
        <v>5097</v>
      </c>
      <c r="T1593" t="b">
        <v>0</v>
      </c>
    </row>
    <row r="1594" spans="1:20" x14ac:dyDescent="0.25">
      <c r="A1594" s="1" t="s">
        <v>5098</v>
      </c>
      <c r="B1594" s="1" t="s">
        <v>403</v>
      </c>
      <c r="C1594" s="1" t="s">
        <v>1321</v>
      </c>
      <c r="D1594" s="1" t="s">
        <v>1022</v>
      </c>
      <c r="E1594" s="1" t="s">
        <v>65</v>
      </c>
      <c r="F1594" s="1" t="s">
        <v>66</v>
      </c>
      <c r="G1594" s="2">
        <v>44772</v>
      </c>
      <c r="H1594" s="2"/>
      <c r="I1594">
        <v>4</v>
      </c>
      <c r="J1594">
        <v>4</v>
      </c>
      <c r="K1594">
        <v>0</v>
      </c>
      <c r="L1594" s="1" t="s">
        <v>26</v>
      </c>
      <c r="M1594">
        <v>39.200000000000003</v>
      </c>
      <c r="N1594">
        <v>81443.600000000006</v>
      </c>
      <c r="O1594">
        <v>476110.03</v>
      </c>
      <c r="P1594">
        <v>76151.44</v>
      </c>
      <c r="Q1594" s="1" t="s">
        <v>5099</v>
      </c>
      <c r="R1594">
        <v>25</v>
      </c>
      <c r="S1594" s="1" t="s">
        <v>5100</v>
      </c>
      <c r="T1594" t="b">
        <v>0</v>
      </c>
    </row>
    <row r="1595" spans="1:20" x14ac:dyDescent="0.25">
      <c r="A1595" s="1" t="s">
        <v>5101</v>
      </c>
      <c r="B1595" s="1" t="s">
        <v>228</v>
      </c>
      <c r="C1595" s="1" t="s">
        <v>654</v>
      </c>
      <c r="D1595" s="1" t="s">
        <v>372</v>
      </c>
      <c r="E1595" s="1" t="s">
        <v>65</v>
      </c>
      <c r="F1595" s="1" t="s">
        <v>25</v>
      </c>
      <c r="G1595" s="2">
        <v>45351</v>
      </c>
      <c r="H1595" s="2">
        <v>45355</v>
      </c>
      <c r="I1595">
        <v>4</v>
      </c>
      <c r="J1595">
        <v>4</v>
      </c>
      <c r="K1595">
        <v>0</v>
      </c>
      <c r="L1595" s="1" t="s">
        <v>26</v>
      </c>
      <c r="M1595">
        <v>47.9</v>
      </c>
      <c r="N1595">
        <v>106890.99</v>
      </c>
      <c r="O1595">
        <v>337707.7</v>
      </c>
      <c r="P1595">
        <v>83130.399999999994</v>
      </c>
      <c r="Q1595" s="1" t="s">
        <v>5102</v>
      </c>
      <c r="R1595">
        <v>43</v>
      </c>
      <c r="S1595" s="1" t="s">
        <v>5103</v>
      </c>
      <c r="T1595" t="b">
        <v>1</v>
      </c>
    </row>
    <row r="1596" spans="1:20" x14ac:dyDescent="0.25">
      <c r="A1596" s="1" t="s">
        <v>5104</v>
      </c>
      <c r="B1596" s="1" t="s">
        <v>629</v>
      </c>
      <c r="C1596" s="1" t="s">
        <v>907</v>
      </c>
      <c r="D1596" s="1" t="s">
        <v>130</v>
      </c>
      <c r="E1596" s="1" t="s">
        <v>24</v>
      </c>
      <c r="F1596" s="1" t="s">
        <v>34</v>
      </c>
      <c r="G1596" s="2">
        <v>45085</v>
      </c>
      <c r="H1596" s="2"/>
      <c r="I1596">
        <v>3</v>
      </c>
      <c r="J1596">
        <v>5</v>
      </c>
      <c r="K1596">
        <v>2</v>
      </c>
      <c r="L1596" s="1" t="s">
        <v>26</v>
      </c>
      <c r="M1596">
        <v>24</v>
      </c>
      <c r="N1596">
        <v>65735.98</v>
      </c>
      <c r="O1596">
        <v>1642473.77</v>
      </c>
      <c r="P1596">
        <v>291350.42</v>
      </c>
      <c r="Q1596" s="1" t="s">
        <v>5105</v>
      </c>
      <c r="R1596">
        <v>61</v>
      </c>
      <c r="S1596" s="1" t="s">
        <v>5106</v>
      </c>
      <c r="T1596" t="b">
        <v>1</v>
      </c>
    </row>
    <row r="1597" spans="1:20" x14ac:dyDescent="0.25">
      <c r="A1597" s="1" t="s">
        <v>5107</v>
      </c>
      <c r="B1597" s="1" t="s">
        <v>228</v>
      </c>
      <c r="C1597" s="1" t="s">
        <v>277</v>
      </c>
      <c r="D1597" s="1" t="s">
        <v>336</v>
      </c>
      <c r="E1597" s="1" t="s">
        <v>57</v>
      </c>
      <c r="F1597" s="1" t="s">
        <v>25</v>
      </c>
      <c r="G1597" s="2">
        <v>45140</v>
      </c>
      <c r="H1597" s="2">
        <v>45185</v>
      </c>
      <c r="I1597">
        <v>40</v>
      </c>
      <c r="J1597">
        <v>45</v>
      </c>
      <c r="K1597">
        <v>5</v>
      </c>
      <c r="L1597" s="1" t="s">
        <v>101</v>
      </c>
      <c r="M1597">
        <v>536.1</v>
      </c>
      <c r="N1597">
        <v>1101424.81</v>
      </c>
      <c r="O1597">
        <v>4528053.4800000004</v>
      </c>
      <c r="P1597">
        <v>957235.97</v>
      </c>
      <c r="Q1597" s="1" t="s">
        <v>5108</v>
      </c>
      <c r="R1597">
        <v>37</v>
      </c>
      <c r="S1597" s="1" t="s">
        <v>5109</v>
      </c>
      <c r="T1597" t="b">
        <v>0</v>
      </c>
    </row>
    <row r="1598" spans="1:20" x14ac:dyDescent="0.25">
      <c r="A1598" s="1" t="s">
        <v>5110</v>
      </c>
      <c r="B1598" s="1" t="s">
        <v>174</v>
      </c>
      <c r="C1598" s="1" t="s">
        <v>314</v>
      </c>
      <c r="D1598" s="1" t="s">
        <v>344</v>
      </c>
      <c r="E1598" s="1" t="s">
        <v>49</v>
      </c>
      <c r="F1598" s="1" t="s">
        <v>25</v>
      </c>
      <c r="G1598" s="2">
        <v>45438</v>
      </c>
      <c r="H1598" s="2">
        <v>45467</v>
      </c>
      <c r="I1598">
        <v>25</v>
      </c>
      <c r="J1598">
        <v>29</v>
      </c>
      <c r="K1598">
        <v>4</v>
      </c>
      <c r="L1598" s="1" t="s">
        <v>193</v>
      </c>
      <c r="M1598">
        <v>418.4</v>
      </c>
      <c r="N1598">
        <v>757978.15</v>
      </c>
      <c r="O1598">
        <v>4376111.32</v>
      </c>
      <c r="P1598">
        <v>617319.72</v>
      </c>
      <c r="Q1598" s="1" t="s">
        <v>5111</v>
      </c>
      <c r="R1598">
        <v>50</v>
      </c>
      <c r="S1598" s="1" t="s">
        <v>5112</v>
      </c>
      <c r="T1598" t="b">
        <v>0</v>
      </c>
    </row>
    <row r="1599" spans="1:20" x14ac:dyDescent="0.25">
      <c r="A1599" s="1" t="s">
        <v>5113</v>
      </c>
      <c r="B1599" s="1" t="s">
        <v>70</v>
      </c>
      <c r="C1599" s="1" t="s">
        <v>414</v>
      </c>
      <c r="D1599" s="1" t="s">
        <v>56</v>
      </c>
      <c r="E1599" s="1" t="s">
        <v>49</v>
      </c>
      <c r="F1599" s="1" t="s">
        <v>66</v>
      </c>
      <c r="G1599" s="2">
        <v>45442</v>
      </c>
      <c r="H1599" s="2"/>
      <c r="I1599">
        <v>25</v>
      </c>
      <c r="J1599">
        <v>35</v>
      </c>
      <c r="K1599">
        <v>10</v>
      </c>
      <c r="L1599" s="1" t="s">
        <v>330</v>
      </c>
      <c r="M1599">
        <v>411.9</v>
      </c>
      <c r="N1599">
        <v>1025064.6</v>
      </c>
      <c r="O1599">
        <v>357465.53</v>
      </c>
      <c r="P1599">
        <v>189541.47</v>
      </c>
      <c r="Q1599" s="1" t="s">
        <v>5114</v>
      </c>
      <c r="R1599">
        <v>80</v>
      </c>
      <c r="S1599" s="1" t="s">
        <v>5115</v>
      </c>
      <c r="T1599" t="b">
        <v>0</v>
      </c>
    </row>
    <row r="1600" spans="1:20" x14ac:dyDescent="0.25">
      <c r="A1600" s="1" t="s">
        <v>5116</v>
      </c>
      <c r="B1600" s="1" t="s">
        <v>451</v>
      </c>
      <c r="C1600" s="1" t="s">
        <v>877</v>
      </c>
      <c r="D1600" s="1" t="s">
        <v>48</v>
      </c>
      <c r="E1600" s="1" t="s">
        <v>33</v>
      </c>
      <c r="F1600" s="1" t="s">
        <v>25</v>
      </c>
      <c r="G1600" s="2">
        <v>45435</v>
      </c>
      <c r="H1600" s="2">
        <v>45441</v>
      </c>
      <c r="I1600">
        <v>12</v>
      </c>
      <c r="J1600">
        <v>6</v>
      </c>
      <c r="K1600">
        <v>0</v>
      </c>
      <c r="L1600" s="1" t="s">
        <v>26</v>
      </c>
      <c r="M1600">
        <v>81.900000000000006</v>
      </c>
      <c r="N1600">
        <v>250713.3</v>
      </c>
      <c r="O1600">
        <v>960312.66</v>
      </c>
      <c r="P1600">
        <v>231943.71</v>
      </c>
      <c r="Q1600" s="1" t="s">
        <v>5117</v>
      </c>
      <c r="R1600">
        <v>66</v>
      </c>
      <c r="S1600" s="1" t="s">
        <v>5118</v>
      </c>
      <c r="T1600" t="b">
        <v>1</v>
      </c>
    </row>
    <row r="1601" spans="1:20" x14ac:dyDescent="0.25">
      <c r="A1601" s="1" t="s">
        <v>5119</v>
      </c>
      <c r="B1601" s="1" t="s">
        <v>334</v>
      </c>
      <c r="C1601" s="1" t="s">
        <v>2977</v>
      </c>
      <c r="D1601" s="1" t="s">
        <v>176</v>
      </c>
      <c r="E1601" s="1" t="s">
        <v>57</v>
      </c>
      <c r="F1601" s="1" t="s">
        <v>66</v>
      </c>
      <c r="G1601" s="2">
        <v>45497</v>
      </c>
      <c r="H1601" s="2"/>
      <c r="I1601">
        <v>40</v>
      </c>
      <c r="J1601">
        <v>30</v>
      </c>
      <c r="K1601">
        <v>0</v>
      </c>
      <c r="L1601" s="1" t="s">
        <v>26</v>
      </c>
      <c r="M1601">
        <v>462</v>
      </c>
      <c r="N1601">
        <v>1821234.94</v>
      </c>
      <c r="O1601">
        <v>2351022.12</v>
      </c>
      <c r="P1601">
        <v>801012.38</v>
      </c>
      <c r="Q1601" s="1" t="s">
        <v>5120</v>
      </c>
      <c r="R1601">
        <v>40</v>
      </c>
      <c r="S1601" s="1" t="s">
        <v>5121</v>
      </c>
      <c r="T1601" t="b">
        <v>1</v>
      </c>
    </row>
    <row r="1602" spans="1:20" x14ac:dyDescent="0.25">
      <c r="A1602" s="1" t="s">
        <v>5122</v>
      </c>
      <c r="B1602" s="1" t="s">
        <v>471</v>
      </c>
      <c r="C1602" s="1" t="s">
        <v>681</v>
      </c>
      <c r="D1602" s="1" t="s">
        <v>306</v>
      </c>
      <c r="E1602" s="1" t="s">
        <v>41</v>
      </c>
      <c r="F1602" s="1" t="s">
        <v>66</v>
      </c>
      <c r="G1602" s="2">
        <v>45546</v>
      </c>
      <c r="H1602" s="2"/>
      <c r="I1602">
        <v>9</v>
      </c>
      <c r="J1602">
        <v>9</v>
      </c>
      <c r="K1602">
        <v>0</v>
      </c>
      <c r="L1602" s="1" t="s">
        <v>26</v>
      </c>
      <c r="M1602">
        <v>57.4</v>
      </c>
      <c r="N1602">
        <v>224240.47</v>
      </c>
      <c r="O1602">
        <v>316777.8</v>
      </c>
      <c r="P1602">
        <v>78046.5</v>
      </c>
      <c r="Q1602" s="1" t="s">
        <v>5123</v>
      </c>
      <c r="R1602">
        <v>32</v>
      </c>
      <c r="S1602" s="1" t="s">
        <v>5124</v>
      </c>
      <c r="T1602" t="b">
        <v>0</v>
      </c>
    </row>
    <row r="1603" spans="1:20" x14ac:dyDescent="0.25">
      <c r="A1603" s="1" t="s">
        <v>5125</v>
      </c>
      <c r="B1603" s="1" t="s">
        <v>253</v>
      </c>
      <c r="C1603" s="1" t="s">
        <v>697</v>
      </c>
      <c r="D1603" s="1" t="s">
        <v>297</v>
      </c>
      <c r="E1603" s="1" t="s">
        <v>65</v>
      </c>
      <c r="F1603" s="1" t="s">
        <v>25</v>
      </c>
      <c r="G1603" s="2">
        <v>45156</v>
      </c>
      <c r="H1603" s="2">
        <v>45157</v>
      </c>
      <c r="I1603">
        <v>4</v>
      </c>
      <c r="J1603">
        <v>1</v>
      </c>
      <c r="K1603">
        <v>0</v>
      </c>
      <c r="L1603" s="1" t="s">
        <v>26</v>
      </c>
      <c r="M1603">
        <v>8.1999999999999993</v>
      </c>
      <c r="N1603">
        <v>29342.44</v>
      </c>
      <c r="O1603">
        <v>4245343.78</v>
      </c>
      <c r="P1603">
        <v>723165.58</v>
      </c>
      <c r="Q1603" s="1" t="s">
        <v>5126</v>
      </c>
      <c r="R1603">
        <v>27</v>
      </c>
      <c r="S1603" s="1" t="s">
        <v>5127</v>
      </c>
      <c r="T1603" t="b">
        <v>0</v>
      </c>
    </row>
    <row r="1604" spans="1:20" x14ac:dyDescent="0.25">
      <c r="A1604" s="1" t="s">
        <v>5128</v>
      </c>
      <c r="B1604" s="1" t="s">
        <v>128</v>
      </c>
      <c r="C1604" s="1" t="s">
        <v>4532</v>
      </c>
      <c r="D1604" s="1" t="s">
        <v>64</v>
      </c>
      <c r="E1604" s="1" t="s">
        <v>65</v>
      </c>
      <c r="F1604" s="1" t="s">
        <v>25</v>
      </c>
      <c r="G1604" s="2">
        <v>44783</v>
      </c>
      <c r="H1604" s="2">
        <v>44790</v>
      </c>
      <c r="I1604">
        <v>4</v>
      </c>
      <c r="J1604">
        <v>7</v>
      </c>
      <c r="K1604">
        <v>2.5</v>
      </c>
      <c r="L1604" s="1" t="s">
        <v>26</v>
      </c>
      <c r="M1604">
        <v>57.4</v>
      </c>
      <c r="N1604">
        <v>165119.97</v>
      </c>
      <c r="O1604">
        <v>3850629.53</v>
      </c>
      <c r="P1604">
        <v>564903.37</v>
      </c>
      <c r="Q1604" s="1" t="s">
        <v>5129</v>
      </c>
      <c r="R1604">
        <v>35</v>
      </c>
      <c r="S1604" s="1" t="s">
        <v>5130</v>
      </c>
      <c r="T1604" t="b">
        <v>1</v>
      </c>
    </row>
    <row r="1605" spans="1:20" x14ac:dyDescent="0.25">
      <c r="A1605" s="1" t="s">
        <v>5131</v>
      </c>
      <c r="B1605" s="1" t="s">
        <v>128</v>
      </c>
      <c r="C1605" s="1" t="s">
        <v>540</v>
      </c>
      <c r="D1605" s="1" t="s">
        <v>513</v>
      </c>
      <c r="E1605" s="1" t="s">
        <v>24</v>
      </c>
      <c r="F1605" s="1" t="s">
        <v>25</v>
      </c>
      <c r="G1605" s="2">
        <v>45150</v>
      </c>
      <c r="H1605" s="2">
        <v>45151</v>
      </c>
      <c r="I1605">
        <v>3</v>
      </c>
      <c r="J1605">
        <v>1</v>
      </c>
      <c r="K1605">
        <v>0</v>
      </c>
      <c r="L1605" s="1" t="s">
        <v>26</v>
      </c>
      <c r="M1605">
        <v>11.4</v>
      </c>
      <c r="N1605">
        <v>31805.35</v>
      </c>
      <c r="O1605">
        <v>815769.63</v>
      </c>
      <c r="P1605">
        <v>154607.85</v>
      </c>
      <c r="Q1605" s="1" t="s">
        <v>5132</v>
      </c>
      <c r="R1605">
        <v>69</v>
      </c>
      <c r="S1605" s="1" t="s">
        <v>5133</v>
      </c>
      <c r="T1605" t="b">
        <v>0</v>
      </c>
    </row>
    <row r="1606" spans="1:20" x14ac:dyDescent="0.25">
      <c r="A1606" s="1" t="s">
        <v>5134</v>
      </c>
      <c r="B1606" s="1" t="s">
        <v>54</v>
      </c>
      <c r="C1606" s="1" t="s">
        <v>669</v>
      </c>
      <c r="D1606" s="1" t="s">
        <v>410</v>
      </c>
      <c r="E1606" s="1" t="s">
        <v>41</v>
      </c>
      <c r="F1606" s="1" t="s">
        <v>25</v>
      </c>
      <c r="G1606" s="2">
        <v>44972</v>
      </c>
      <c r="H1606" s="2">
        <v>44977</v>
      </c>
      <c r="I1606">
        <v>9</v>
      </c>
      <c r="J1606">
        <v>5</v>
      </c>
      <c r="K1606">
        <v>0</v>
      </c>
      <c r="L1606" s="1" t="s">
        <v>26</v>
      </c>
      <c r="M1606">
        <v>70.3</v>
      </c>
      <c r="N1606">
        <v>236526.43</v>
      </c>
      <c r="O1606">
        <v>3803592.87</v>
      </c>
      <c r="P1606">
        <v>502541.25</v>
      </c>
      <c r="Q1606" s="1" t="s">
        <v>5135</v>
      </c>
      <c r="R1606">
        <v>38</v>
      </c>
      <c r="S1606" s="1" t="s">
        <v>5136</v>
      </c>
      <c r="T1606" t="b">
        <v>0</v>
      </c>
    </row>
    <row r="1607" spans="1:20" x14ac:dyDescent="0.25">
      <c r="A1607" s="1" t="s">
        <v>5137</v>
      </c>
      <c r="B1607" s="1" t="s">
        <v>148</v>
      </c>
      <c r="C1607" s="1" t="s">
        <v>1442</v>
      </c>
      <c r="D1607" s="1" t="s">
        <v>159</v>
      </c>
      <c r="E1607" s="1" t="s">
        <v>65</v>
      </c>
      <c r="F1607" s="1" t="s">
        <v>25</v>
      </c>
      <c r="G1607" s="2">
        <v>45060</v>
      </c>
      <c r="H1607" s="2">
        <v>45062</v>
      </c>
      <c r="I1607">
        <v>4</v>
      </c>
      <c r="J1607">
        <v>2</v>
      </c>
      <c r="K1607">
        <v>0</v>
      </c>
      <c r="L1607" s="1" t="s">
        <v>26</v>
      </c>
      <c r="M1607">
        <v>16</v>
      </c>
      <c r="N1607">
        <v>62867.12</v>
      </c>
      <c r="O1607">
        <v>2937851.76</v>
      </c>
      <c r="P1607">
        <v>324862.64</v>
      </c>
      <c r="Q1607" s="1" t="s">
        <v>5138</v>
      </c>
      <c r="R1607">
        <v>45</v>
      </c>
      <c r="S1607" s="1" t="s">
        <v>5139</v>
      </c>
      <c r="T1607" t="b">
        <v>1</v>
      </c>
    </row>
    <row r="1608" spans="1:20" x14ac:dyDescent="0.25">
      <c r="A1608" s="1" t="s">
        <v>5140</v>
      </c>
      <c r="B1608" s="1" t="s">
        <v>228</v>
      </c>
      <c r="C1608" s="1" t="s">
        <v>4950</v>
      </c>
      <c r="D1608" s="1" t="s">
        <v>32</v>
      </c>
      <c r="E1608" s="1" t="s">
        <v>33</v>
      </c>
      <c r="F1608" s="1" t="s">
        <v>25</v>
      </c>
      <c r="G1608" s="2">
        <v>45420</v>
      </c>
      <c r="H1608" s="2">
        <v>45434</v>
      </c>
      <c r="I1608">
        <v>12</v>
      </c>
      <c r="J1608">
        <v>14</v>
      </c>
      <c r="K1608">
        <v>2</v>
      </c>
      <c r="L1608" s="1" t="s">
        <v>26</v>
      </c>
      <c r="M1608">
        <v>61.5</v>
      </c>
      <c r="N1608">
        <v>177340.13</v>
      </c>
      <c r="O1608">
        <v>2807019.99</v>
      </c>
      <c r="P1608">
        <v>512643.77</v>
      </c>
      <c r="Q1608" s="1" t="s">
        <v>5141</v>
      </c>
      <c r="R1608">
        <v>55</v>
      </c>
      <c r="S1608" s="1" t="s">
        <v>5142</v>
      </c>
      <c r="T1608" t="b">
        <v>1</v>
      </c>
    </row>
    <row r="1609" spans="1:20" x14ac:dyDescent="0.25">
      <c r="A1609" s="1" t="s">
        <v>5143</v>
      </c>
      <c r="B1609" s="1" t="s">
        <v>21</v>
      </c>
      <c r="C1609" s="1" t="s">
        <v>1191</v>
      </c>
      <c r="D1609" s="1" t="s">
        <v>420</v>
      </c>
      <c r="E1609" s="1" t="s">
        <v>24</v>
      </c>
      <c r="F1609" s="1" t="s">
        <v>25</v>
      </c>
      <c r="G1609" s="2">
        <v>45013</v>
      </c>
      <c r="H1609" s="2">
        <v>45018</v>
      </c>
      <c r="I1609">
        <v>3</v>
      </c>
      <c r="J1609">
        <v>5</v>
      </c>
      <c r="K1609">
        <v>2</v>
      </c>
      <c r="L1609" s="1" t="s">
        <v>26</v>
      </c>
      <c r="M1609">
        <v>50</v>
      </c>
      <c r="N1609">
        <v>117947.16</v>
      </c>
      <c r="O1609">
        <v>2465063.0699999998</v>
      </c>
      <c r="P1609">
        <v>281356.67</v>
      </c>
      <c r="Q1609" s="1" t="s">
        <v>5144</v>
      </c>
      <c r="R1609">
        <v>25</v>
      </c>
      <c r="S1609" s="1" t="s">
        <v>5145</v>
      </c>
      <c r="T1609" t="b">
        <v>0</v>
      </c>
    </row>
    <row r="1610" spans="1:20" x14ac:dyDescent="0.25">
      <c r="A1610" s="1" t="s">
        <v>5146</v>
      </c>
      <c r="B1610" s="1" t="s">
        <v>76</v>
      </c>
      <c r="C1610" s="1" t="s">
        <v>399</v>
      </c>
      <c r="D1610" s="1" t="s">
        <v>263</v>
      </c>
      <c r="E1610" s="1" t="s">
        <v>57</v>
      </c>
      <c r="F1610" s="1" t="s">
        <v>34</v>
      </c>
      <c r="G1610" s="2">
        <v>45349</v>
      </c>
      <c r="H1610" s="2"/>
      <c r="I1610">
        <v>40</v>
      </c>
      <c r="J1610">
        <v>52</v>
      </c>
      <c r="K1610">
        <v>12</v>
      </c>
      <c r="L1610" s="1" t="s">
        <v>58</v>
      </c>
      <c r="M1610">
        <v>784.7</v>
      </c>
      <c r="N1610">
        <v>3499266.23</v>
      </c>
      <c r="O1610">
        <v>1942819.69</v>
      </c>
      <c r="P1610">
        <v>698563.11</v>
      </c>
      <c r="Q1610" s="1" t="s">
        <v>5147</v>
      </c>
      <c r="R1610">
        <v>64</v>
      </c>
      <c r="S1610" s="1" t="s">
        <v>5148</v>
      </c>
      <c r="T1610" t="b">
        <v>1</v>
      </c>
    </row>
    <row r="1611" spans="1:20" x14ac:dyDescent="0.25">
      <c r="A1611" s="1" t="s">
        <v>5149</v>
      </c>
      <c r="B1611" s="1" t="s">
        <v>174</v>
      </c>
      <c r="C1611" s="1" t="s">
        <v>1072</v>
      </c>
      <c r="D1611" s="1" t="s">
        <v>187</v>
      </c>
      <c r="E1611" s="1" t="s">
        <v>65</v>
      </c>
      <c r="F1611" s="1" t="s">
        <v>25</v>
      </c>
      <c r="G1611" s="2">
        <v>45396</v>
      </c>
      <c r="H1611" s="2">
        <v>45399</v>
      </c>
      <c r="I1611">
        <v>4</v>
      </c>
      <c r="J1611">
        <v>3</v>
      </c>
      <c r="K1611">
        <v>0</v>
      </c>
      <c r="L1611" s="1" t="s">
        <v>26</v>
      </c>
      <c r="M1611">
        <v>40</v>
      </c>
      <c r="N1611">
        <v>87334.6</v>
      </c>
      <c r="O1611">
        <v>1970298.49</v>
      </c>
      <c r="P1611">
        <v>274297.43</v>
      </c>
      <c r="Q1611" s="1" t="s">
        <v>5150</v>
      </c>
      <c r="R1611">
        <v>28</v>
      </c>
      <c r="S1611" s="1" t="s">
        <v>5151</v>
      </c>
      <c r="T1611" t="b">
        <v>0</v>
      </c>
    </row>
    <row r="1612" spans="1:20" x14ac:dyDescent="0.25">
      <c r="A1612" s="1" t="s">
        <v>5152</v>
      </c>
      <c r="B1612" s="1" t="s">
        <v>328</v>
      </c>
      <c r="C1612" s="1" t="s">
        <v>197</v>
      </c>
      <c r="D1612" s="1" t="s">
        <v>359</v>
      </c>
      <c r="E1612" s="1" t="s">
        <v>33</v>
      </c>
      <c r="F1612" s="1" t="s">
        <v>50</v>
      </c>
      <c r="G1612" s="2">
        <v>44567</v>
      </c>
      <c r="H1612" s="2"/>
      <c r="I1612">
        <v>12</v>
      </c>
      <c r="J1612">
        <v>6</v>
      </c>
      <c r="K1612">
        <v>0</v>
      </c>
      <c r="L1612" s="1" t="s">
        <v>26</v>
      </c>
      <c r="M1612">
        <v>73.599999999999994</v>
      </c>
      <c r="N1612">
        <v>278467.15000000002</v>
      </c>
      <c r="O1612">
        <v>3292566.57</v>
      </c>
      <c r="P1612">
        <v>364527.95</v>
      </c>
      <c r="Q1612" s="1" t="s">
        <v>5153</v>
      </c>
      <c r="R1612">
        <v>21</v>
      </c>
      <c r="S1612" s="1" t="s">
        <v>5154</v>
      </c>
      <c r="T1612" t="b">
        <v>0</v>
      </c>
    </row>
    <row r="1613" spans="1:20" x14ac:dyDescent="0.25">
      <c r="A1613" s="1" t="s">
        <v>5155</v>
      </c>
      <c r="B1613" s="1" t="s">
        <v>111</v>
      </c>
      <c r="C1613" s="1" t="s">
        <v>3212</v>
      </c>
      <c r="D1613" s="1" t="s">
        <v>48</v>
      </c>
      <c r="E1613" s="1" t="s">
        <v>49</v>
      </c>
      <c r="F1613" s="1" t="s">
        <v>25</v>
      </c>
      <c r="G1613" s="2">
        <v>44738</v>
      </c>
      <c r="H1613" s="2">
        <v>44765</v>
      </c>
      <c r="I1613">
        <v>25</v>
      </c>
      <c r="J1613">
        <v>27</v>
      </c>
      <c r="K1613">
        <v>2</v>
      </c>
      <c r="L1613" s="1" t="s">
        <v>26</v>
      </c>
      <c r="M1613">
        <v>356.1</v>
      </c>
      <c r="N1613">
        <v>910002.54</v>
      </c>
      <c r="O1613">
        <v>4121268.55</v>
      </c>
      <c r="P1613">
        <v>752430.25</v>
      </c>
      <c r="Q1613" s="1" t="s">
        <v>5156</v>
      </c>
      <c r="R1613">
        <v>61</v>
      </c>
      <c r="S1613" s="1" t="s">
        <v>5157</v>
      </c>
      <c r="T1613" t="b">
        <v>1</v>
      </c>
    </row>
    <row r="1614" spans="1:20" x14ac:dyDescent="0.25">
      <c r="A1614" s="1" t="s">
        <v>5158</v>
      </c>
      <c r="B1614" s="1" t="s">
        <v>62</v>
      </c>
      <c r="C1614" s="1" t="s">
        <v>22</v>
      </c>
      <c r="D1614" s="1" t="s">
        <v>130</v>
      </c>
      <c r="E1614" s="1" t="s">
        <v>24</v>
      </c>
      <c r="F1614" s="1" t="s">
        <v>25</v>
      </c>
      <c r="G1614" s="2">
        <v>45042</v>
      </c>
      <c r="H1614" s="2">
        <v>45044</v>
      </c>
      <c r="I1614">
        <v>3</v>
      </c>
      <c r="J1614">
        <v>2</v>
      </c>
      <c r="K1614">
        <v>0</v>
      </c>
      <c r="L1614" s="1" t="s">
        <v>26</v>
      </c>
      <c r="M1614">
        <v>17.2</v>
      </c>
      <c r="N1614">
        <v>64060.959999999999</v>
      </c>
      <c r="O1614">
        <v>4164703.91</v>
      </c>
      <c r="P1614">
        <v>507778.43</v>
      </c>
      <c r="Q1614" s="1" t="s">
        <v>5159</v>
      </c>
      <c r="R1614">
        <v>23</v>
      </c>
      <c r="S1614" s="1" t="s">
        <v>5160</v>
      </c>
      <c r="T1614" t="b">
        <v>1</v>
      </c>
    </row>
    <row r="1615" spans="1:20" x14ac:dyDescent="0.25">
      <c r="A1615" s="1" t="s">
        <v>5161</v>
      </c>
      <c r="B1615" s="1" t="s">
        <v>403</v>
      </c>
      <c r="C1615" s="1" t="s">
        <v>642</v>
      </c>
      <c r="D1615" s="1" t="s">
        <v>207</v>
      </c>
      <c r="E1615" s="1" t="s">
        <v>49</v>
      </c>
      <c r="F1615" s="1" t="s">
        <v>25</v>
      </c>
      <c r="G1615" s="2">
        <v>44697</v>
      </c>
      <c r="H1615" s="2">
        <v>44723</v>
      </c>
      <c r="I1615">
        <v>25</v>
      </c>
      <c r="J1615">
        <v>26</v>
      </c>
      <c r="K1615">
        <v>1</v>
      </c>
      <c r="L1615" s="1" t="s">
        <v>26</v>
      </c>
      <c r="M1615">
        <v>139.6</v>
      </c>
      <c r="N1615">
        <v>252618.63</v>
      </c>
      <c r="O1615">
        <v>4703156.9400000004</v>
      </c>
      <c r="P1615">
        <v>918606.48</v>
      </c>
      <c r="Q1615" s="1" t="s">
        <v>5162</v>
      </c>
      <c r="R1615">
        <v>64</v>
      </c>
      <c r="S1615" s="1" t="s">
        <v>5163</v>
      </c>
      <c r="T1615" t="b">
        <v>0</v>
      </c>
    </row>
    <row r="1616" spans="1:20" x14ac:dyDescent="0.25">
      <c r="A1616" s="1" t="s">
        <v>5164</v>
      </c>
      <c r="B1616" s="1" t="s">
        <v>93</v>
      </c>
      <c r="C1616" s="1" t="s">
        <v>725</v>
      </c>
      <c r="D1616" s="1" t="s">
        <v>113</v>
      </c>
      <c r="E1616" s="1" t="s">
        <v>24</v>
      </c>
      <c r="F1616" s="1" t="s">
        <v>66</v>
      </c>
      <c r="G1616" s="2">
        <v>44694</v>
      </c>
      <c r="H1616" s="2"/>
      <c r="I1616">
        <v>3</v>
      </c>
      <c r="J1616">
        <v>5</v>
      </c>
      <c r="K1616">
        <v>2</v>
      </c>
      <c r="L1616" s="1" t="s">
        <v>26</v>
      </c>
      <c r="M1616">
        <v>65.400000000000006</v>
      </c>
      <c r="N1616">
        <v>228081.32</v>
      </c>
      <c r="O1616">
        <v>262356.05</v>
      </c>
      <c r="P1616">
        <v>85316.24</v>
      </c>
      <c r="Q1616" s="1" t="s">
        <v>5165</v>
      </c>
      <c r="R1616">
        <v>47</v>
      </c>
      <c r="S1616" s="1" t="s">
        <v>5166</v>
      </c>
      <c r="T1616" t="b">
        <v>1</v>
      </c>
    </row>
    <row r="1617" spans="1:20" x14ac:dyDescent="0.25">
      <c r="A1617" s="1" t="s">
        <v>5167</v>
      </c>
      <c r="B1617" s="1" t="s">
        <v>286</v>
      </c>
      <c r="C1617" s="1" t="s">
        <v>517</v>
      </c>
      <c r="D1617" s="1" t="s">
        <v>159</v>
      </c>
      <c r="E1617" s="1" t="s">
        <v>65</v>
      </c>
      <c r="F1617" s="1" t="s">
        <v>25</v>
      </c>
      <c r="G1617" s="2">
        <v>45058</v>
      </c>
      <c r="H1617" s="2">
        <v>45061</v>
      </c>
      <c r="I1617">
        <v>4</v>
      </c>
      <c r="J1617">
        <v>3</v>
      </c>
      <c r="K1617">
        <v>0</v>
      </c>
      <c r="L1617" s="1" t="s">
        <v>26</v>
      </c>
      <c r="M1617">
        <v>31.2</v>
      </c>
      <c r="N1617">
        <v>110300.81</v>
      </c>
      <c r="O1617">
        <v>2564106.25</v>
      </c>
      <c r="P1617">
        <v>484274.81</v>
      </c>
      <c r="Q1617" s="1" t="s">
        <v>5168</v>
      </c>
      <c r="R1617">
        <v>42</v>
      </c>
      <c r="S1617" s="1" t="s">
        <v>5169</v>
      </c>
      <c r="T1617" t="b">
        <v>0</v>
      </c>
    </row>
    <row r="1618" spans="1:20" x14ac:dyDescent="0.25">
      <c r="A1618" s="1" t="s">
        <v>5170</v>
      </c>
      <c r="B1618" s="1" t="s">
        <v>138</v>
      </c>
      <c r="C1618" s="1" t="s">
        <v>267</v>
      </c>
      <c r="D1618" s="1" t="s">
        <v>89</v>
      </c>
      <c r="E1618" s="1" t="s">
        <v>41</v>
      </c>
      <c r="F1618" s="1" t="s">
        <v>25</v>
      </c>
      <c r="G1618" s="2">
        <v>45501</v>
      </c>
      <c r="H1618" s="2">
        <v>45516</v>
      </c>
      <c r="I1618">
        <v>9</v>
      </c>
      <c r="J1618">
        <v>15</v>
      </c>
      <c r="K1618">
        <v>6</v>
      </c>
      <c r="L1618" s="1" t="s">
        <v>58</v>
      </c>
      <c r="M1618">
        <v>142.4</v>
      </c>
      <c r="N1618">
        <v>257760.22</v>
      </c>
      <c r="O1618">
        <v>1743938.17</v>
      </c>
      <c r="P1618">
        <v>343853.3</v>
      </c>
      <c r="Q1618" s="1" t="s">
        <v>5171</v>
      </c>
      <c r="R1618">
        <v>55</v>
      </c>
      <c r="S1618" s="1" t="s">
        <v>5172</v>
      </c>
      <c r="T1618" t="b">
        <v>1</v>
      </c>
    </row>
    <row r="1619" spans="1:20" x14ac:dyDescent="0.25">
      <c r="A1619" s="1" t="s">
        <v>5173</v>
      </c>
      <c r="B1619" s="1" t="s">
        <v>99</v>
      </c>
      <c r="C1619" s="1" t="s">
        <v>896</v>
      </c>
      <c r="D1619" s="1" t="s">
        <v>1022</v>
      </c>
      <c r="E1619" s="1" t="s">
        <v>33</v>
      </c>
      <c r="F1619" s="1" t="s">
        <v>50</v>
      </c>
      <c r="G1619" s="2">
        <v>45062</v>
      </c>
      <c r="H1619" s="2"/>
      <c r="I1619">
        <v>12</v>
      </c>
      <c r="J1619">
        <v>15</v>
      </c>
      <c r="K1619">
        <v>3</v>
      </c>
      <c r="L1619" s="1" t="s">
        <v>26</v>
      </c>
      <c r="M1619">
        <v>137.9</v>
      </c>
      <c r="N1619">
        <v>594437.97</v>
      </c>
      <c r="O1619">
        <v>3027254.81</v>
      </c>
      <c r="P1619">
        <v>586255.68000000005</v>
      </c>
      <c r="Q1619" s="1" t="s">
        <v>5174</v>
      </c>
      <c r="R1619">
        <v>67</v>
      </c>
      <c r="S1619" s="1" t="s">
        <v>5175</v>
      </c>
      <c r="T1619" t="b">
        <v>0</v>
      </c>
    </row>
    <row r="1620" spans="1:20" x14ac:dyDescent="0.25">
      <c r="A1620" s="1" t="s">
        <v>5176</v>
      </c>
      <c r="B1620" s="1" t="s">
        <v>21</v>
      </c>
      <c r="C1620" s="1" t="s">
        <v>39</v>
      </c>
      <c r="D1620" s="1" t="s">
        <v>595</v>
      </c>
      <c r="E1620" s="1" t="s">
        <v>41</v>
      </c>
      <c r="F1620" s="1" t="s">
        <v>25</v>
      </c>
      <c r="G1620" s="2">
        <v>44848</v>
      </c>
      <c r="H1620" s="2">
        <v>44860</v>
      </c>
      <c r="I1620">
        <v>9</v>
      </c>
      <c r="J1620">
        <v>12</v>
      </c>
      <c r="K1620">
        <v>3</v>
      </c>
      <c r="L1620" s="1" t="s">
        <v>26</v>
      </c>
      <c r="M1620">
        <v>81.5</v>
      </c>
      <c r="N1620">
        <v>366463.54</v>
      </c>
      <c r="O1620">
        <v>3669898.22</v>
      </c>
      <c r="P1620">
        <v>547321.88</v>
      </c>
      <c r="Q1620" s="1" t="s">
        <v>5177</v>
      </c>
      <c r="R1620">
        <v>50</v>
      </c>
      <c r="S1620" s="1" t="s">
        <v>5178</v>
      </c>
      <c r="T1620" t="b">
        <v>1</v>
      </c>
    </row>
    <row r="1621" spans="1:20" x14ac:dyDescent="0.25">
      <c r="A1621" s="1" t="s">
        <v>5179</v>
      </c>
      <c r="B1621" s="1" t="s">
        <v>286</v>
      </c>
      <c r="C1621" s="1" t="s">
        <v>1699</v>
      </c>
      <c r="D1621" s="1" t="s">
        <v>655</v>
      </c>
      <c r="E1621" s="1" t="s">
        <v>65</v>
      </c>
      <c r="F1621" s="1" t="s">
        <v>25</v>
      </c>
      <c r="G1621" s="2">
        <v>45604</v>
      </c>
      <c r="H1621" s="2">
        <v>45611</v>
      </c>
      <c r="I1621">
        <v>4</v>
      </c>
      <c r="J1621">
        <v>7</v>
      </c>
      <c r="K1621">
        <v>2.5</v>
      </c>
      <c r="L1621" s="1" t="s">
        <v>26</v>
      </c>
      <c r="M1621">
        <v>101.1</v>
      </c>
      <c r="N1621">
        <v>216173.66</v>
      </c>
      <c r="O1621">
        <v>2658544.16</v>
      </c>
      <c r="P1621">
        <v>520465.18</v>
      </c>
      <c r="Q1621" s="1" t="s">
        <v>878</v>
      </c>
      <c r="R1621">
        <v>77</v>
      </c>
      <c r="S1621" s="1" t="s">
        <v>5180</v>
      </c>
      <c r="T1621" t="b">
        <v>0</v>
      </c>
    </row>
    <row r="1622" spans="1:20" x14ac:dyDescent="0.25">
      <c r="A1622" s="1" t="s">
        <v>5181</v>
      </c>
      <c r="B1622" s="1" t="s">
        <v>286</v>
      </c>
      <c r="C1622" s="1" t="s">
        <v>1164</v>
      </c>
      <c r="D1622" s="1" t="s">
        <v>595</v>
      </c>
      <c r="E1622" s="1" t="s">
        <v>33</v>
      </c>
      <c r="F1622" s="1" t="s">
        <v>34</v>
      </c>
      <c r="G1622" s="2">
        <v>44612</v>
      </c>
      <c r="H1622" s="2"/>
      <c r="I1622">
        <v>12</v>
      </c>
      <c r="J1622">
        <v>16</v>
      </c>
      <c r="K1622">
        <v>4</v>
      </c>
      <c r="L1622" s="1" t="s">
        <v>193</v>
      </c>
      <c r="M1622">
        <v>140.1</v>
      </c>
      <c r="N1622">
        <v>545693.63</v>
      </c>
      <c r="O1622">
        <v>3203002.66</v>
      </c>
      <c r="P1622">
        <v>547268.51</v>
      </c>
      <c r="Q1622" s="1" t="s">
        <v>5182</v>
      </c>
      <c r="R1622">
        <v>48</v>
      </c>
      <c r="S1622" s="1" t="s">
        <v>5183</v>
      </c>
      <c r="T1622" t="b">
        <v>1</v>
      </c>
    </row>
    <row r="1623" spans="1:20" x14ac:dyDescent="0.25">
      <c r="A1623" s="1" t="s">
        <v>5184</v>
      </c>
      <c r="B1623" s="1" t="s">
        <v>122</v>
      </c>
      <c r="C1623" s="1" t="s">
        <v>776</v>
      </c>
      <c r="D1623" s="1" t="s">
        <v>216</v>
      </c>
      <c r="E1623" s="1" t="s">
        <v>65</v>
      </c>
      <c r="F1623" s="1" t="s">
        <v>34</v>
      </c>
      <c r="G1623" s="2">
        <v>44960</v>
      </c>
      <c r="H1623" s="2"/>
      <c r="I1623">
        <v>4</v>
      </c>
      <c r="J1623">
        <v>7</v>
      </c>
      <c r="K1623">
        <v>2.5</v>
      </c>
      <c r="L1623" s="1" t="s">
        <v>26</v>
      </c>
      <c r="M1623">
        <v>35.200000000000003</v>
      </c>
      <c r="N1623">
        <v>100917.29</v>
      </c>
      <c r="O1623">
        <v>4086944.08</v>
      </c>
      <c r="P1623">
        <v>489564.38</v>
      </c>
      <c r="Q1623" s="1" t="s">
        <v>5185</v>
      </c>
      <c r="R1623">
        <v>38</v>
      </c>
      <c r="S1623" s="1" t="s">
        <v>5186</v>
      </c>
      <c r="T1623" t="b">
        <v>1</v>
      </c>
    </row>
    <row r="1624" spans="1:20" x14ac:dyDescent="0.25">
      <c r="A1624" s="1" t="s">
        <v>5187</v>
      </c>
      <c r="B1624" s="1" t="s">
        <v>30</v>
      </c>
      <c r="C1624" s="1" t="s">
        <v>815</v>
      </c>
      <c r="D1624" s="1" t="s">
        <v>238</v>
      </c>
      <c r="E1624" s="1" t="s">
        <v>49</v>
      </c>
      <c r="F1624" s="1" t="s">
        <v>66</v>
      </c>
      <c r="G1624" s="2">
        <v>45213</v>
      </c>
      <c r="H1624" s="2"/>
      <c r="I1624">
        <v>25</v>
      </c>
      <c r="J1624">
        <v>13</v>
      </c>
      <c r="K1624">
        <v>0</v>
      </c>
      <c r="L1624" s="1" t="s">
        <v>26</v>
      </c>
      <c r="M1624">
        <v>73.2</v>
      </c>
      <c r="N1624">
        <v>199233.98</v>
      </c>
      <c r="O1624">
        <v>2388339.75</v>
      </c>
      <c r="P1624">
        <v>379041.56</v>
      </c>
      <c r="Q1624" s="1" t="s">
        <v>5188</v>
      </c>
      <c r="R1624">
        <v>21</v>
      </c>
      <c r="S1624" s="1" t="s">
        <v>5189</v>
      </c>
      <c r="T1624" t="b">
        <v>1</v>
      </c>
    </row>
    <row r="1625" spans="1:20" x14ac:dyDescent="0.25">
      <c r="A1625" s="1" t="s">
        <v>5190</v>
      </c>
      <c r="B1625" s="1" t="s">
        <v>148</v>
      </c>
      <c r="C1625" s="1" t="s">
        <v>349</v>
      </c>
      <c r="D1625" s="1" t="s">
        <v>207</v>
      </c>
      <c r="E1625" s="1" t="s">
        <v>41</v>
      </c>
      <c r="F1625" s="1" t="s">
        <v>66</v>
      </c>
      <c r="G1625" s="2">
        <v>45318</v>
      </c>
      <c r="H1625" s="2"/>
      <c r="I1625">
        <v>9</v>
      </c>
      <c r="J1625">
        <v>3</v>
      </c>
      <c r="K1625">
        <v>0</v>
      </c>
      <c r="L1625" s="1" t="s">
        <v>26</v>
      </c>
      <c r="M1625">
        <v>23.4</v>
      </c>
      <c r="N1625">
        <v>100515.86</v>
      </c>
      <c r="O1625">
        <v>4593095.5199999996</v>
      </c>
      <c r="P1625">
        <v>911119.33</v>
      </c>
      <c r="Q1625" s="1" t="s">
        <v>5191</v>
      </c>
      <c r="R1625">
        <v>50</v>
      </c>
      <c r="S1625" s="1" t="s">
        <v>5192</v>
      </c>
      <c r="T1625" t="b">
        <v>1</v>
      </c>
    </row>
    <row r="1626" spans="1:20" x14ac:dyDescent="0.25">
      <c r="A1626" s="1" t="s">
        <v>5193</v>
      </c>
      <c r="B1626" s="1" t="s">
        <v>328</v>
      </c>
      <c r="C1626" s="1" t="s">
        <v>693</v>
      </c>
      <c r="D1626" s="1" t="s">
        <v>595</v>
      </c>
      <c r="E1626" s="1" t="s">
        <v>57</v>
      </c>
      <c r="F1626" s="1" t="s">
        <v>66</v>
      </c>
      <c r="G1626" s="2">
        <v>44705</v>
      </c>
      <c r="H1626" s="2"/>
      <c r="I1626">
        <v>40</v>
      </c>
      <c r="J1626">
        <v>42</v>
      </c>
      <c r="K1626">
        <v>2</v>
      </c>
      <c r="L1626" s="1" t="s">
        <v>26</v>
      </c>
      <c r="M1626">
        <v>605.20000000000005</v>
      </c>
      <c r="N1626">
        <v>1662775.47</v>
      </c>
      <c r="O1626">
        <v>473134.66</v>
      </c>
      <c r="P1626">
        <v>327408.71999999997</v>
      </c>
      <c r="Q1626" s="1" t="s">
        <v>5194</v>
      </c>
      <c r="R1626">
        <v>22</v>
      </c>
      <c r="S1626" s="1" t="s">
        <v>5195</v>
      </c>
      <c r="T1626" t="b">
        <v>1</v>
      </c>
    </row>
    <row r="1627" spans="1:20" x14ac:dyDescent="0.25">
      <c r="A1627" s="1" t="s">
        <v>5196</v>
      </c>
      <c r="B1627" s="1" t="s">
        <v>30</v>
      </c>
      <c r="C1627" s="1" t="s">
        <v>267</v>
      </c>
      <c r="D1627" s="1" t="s">
        <v>95</v>
      </c>
      <c r="E1627" s="1" t="s">
        <v>33</v>
      </c>
      <c r="F1627" s="1" t="s">
        <v>25</v>
      </c>
      <c r="G1627" s="2">
        <v>45301</v>
      </c>
      <c r="H1627" s="2">
        <v>45318</v>
      </c>
      <c r="I1627">
        <v>12</v>
      </c>
      <c r="J1627">
        <v>17</v>
      </c>
      <c r="K1627">
        <v>5</v>
      </c>
      <c r="L1627" s="1" t="s">
        <v>42</v>
      </c>
      <c r="M1627">
        <v>191.1</v>
      </c>
      <c r="N1627">
        <v>479107.52</v>
      </c>
      <c r="O1627">
        <v>2975885.58</v>
      </c>
      <c r="P1627">
        <v>566134.11</v>
      </c>
      <c r="Q1627" s="1" t="s">
        <v>5197</v>
      </c>
      <c r="R1627">
        <v>49</v>
      </c>
      <c r="S1627" s="1" t="s">
        <v>5198</v>
      </c>
      <c r="T1627" t="b">
        <v>1</v>
      </c>
    </row>
    <row r="1628" spans="1:20" x14ac:dyDescent="0.25">
      <c r="A1628" s="1" t="s">
        <v>5199</v>
      </c>
      <c r="B1628" s="1" t="s">
        <v>334</v>
      </c>
      <c r="C1628" s="1" t="s">
        <v>745</v>
      </c>
      <c r="D1628" s="1" t="s">
        <v>244</v>
      </c>
      <c r="E1628" s="1" t="s">
        <v>41</v>
      </c>
      <c r="F1628" s="1" t="s">
        <v>25</v>
      </c>
      <c r="G1628" s="2">
        <v>45039</v>
      </c>
      <c r="H1628" s="2">
        <v>45054</v>
      </c>
      <c r="I1628">
        <v>9</v>
      </c>
      <c r="J1628">
        <v>15</v>
      </c>
      <c r="K1628">
        <v>6</v>
      </c>
      <c r="L1628" s="1" t="s">
        <v>58</v>
      </c>
      <c r="M1628">
        <v>85.4</v>
      </c>
      <c r="N1628">
        <v>198954.48</v>
      </c>
      <c r="O1628">
        <v>626221.04</v>
      </c>
      <c r="P1628">
        <v>142845.01</v>
      </c>
      <c r="Q1628" s="1" t="s">
        <v>2170</v>
      </c>
      <c r="R1628">
        <v>60</v>
      </c>
      <c r="S1628" s="1" t="s">
        <v>5200</v>
      </c>
      <c r="T1628" t="b">
        <v>1</v>
      </c>
    </row>
    <row r="1629" spans="1:20" x14ac:dyDescent="0.25">
      <c r="A1629" s="1" t="s">
        <v>5201</v>
      </c>
      <c r="B1629" s="1" t="s">
        <v>93</v>
      </c>
      <c r="C1629" s="1" t="s">
        <v>2583</v>
      </c>
      <c r="D1629" s="1" t="s">
        <v>113</v>
      </c>
      <c r="E1629" s="1" t="s">
        <v>24</v>
      </c>
      <c r="F1629" s="1" t="s">
        <v>25</v>
      </c>
      <c r="G1629" s="2">
        <v>45572</v>
      </c>
      <c r="H1629" s="2">
        <v>45577</v>
      </c>
      <c r="I1629">
        <v>3</v>
      </c>
      <c r="J1629">
        <v>5</v>
      </c>
      <c r="K1629">
        <v>2</v>
      </c>
      <c r="L1629" s="1" t="s">
        <v>26</v>
      </c>
      <c r="M1629">
        <v>65.3</v>
      </c>
      <c r="N1629">
        <v>121587.68</v>
      </c>
      <c r="O1629">
        <v>3311222.53</v>
      </c>
      <c r="P1629">
        <v>549499.11</v>
      </c>
      <c r="Q1629" s="1" t="s">
        <v>5202</v>
      </c>
      <c r="R1629">
        <v>58</v>
      </c>
      <c r="S1629" s="1" t="s">
        <v>5203</v>
      </c>
      <c r="T1629" t="b">
        <v>1</v>
      </c>
    </row>
    <row r="1630" spans="1:20" x14ac:dyDescent="0.25">
      <c r="A1630" s="1" t="s">
        <v>5204</v>
      </c>
      <c r="B1630" s="1" t="s">
        <v>70</v>
      </c>
      <c r="C1630" s="1" t="s">
        <v>1486</v>
      </c>
      <c r="D1630" s="1" t="s">
        <v>359</v>
      </c>
      <c r="E1630" s="1" t="s">
        <v>41</v>
      </c>
      <c r="F1630" s="1" t="s">
        <v>66</v>
      </c>
      <c r="G1630" s="2">
        <v>44805</v>
      </c>
      <c r="H1630" s="2"/>
      <c r="I1630">
        <v>9</v>
      </c>
      <c r="J1630">
        <v>3</v>
      </c>
      <c r="K1630">
        <v>0</v>
      </c>
      <c r="L1630" s="1" t="s">
        <v>26</v>
      </c>
      <c r="M1630">
        <v>25.8</v>
      </c>
      <c r="N1630">
        <v>108189.1</v>
      </c>
      <c r="O1630">
        <v>78064.009999999995</v>
      </c>
      <c r="P1630">
        <v>36360.81</v>
      </c>
      <c r="Q1630" s="1" t="s">
        <v>5205</v>
      </c>
      <c r="R1630">
        <v>31</v>
      </c>
      <c r="S1630" s="1" t="s">
        <v>5206</v>
      </c>
      <c r="T1630" t="b">
        <v>0</v>
      </c>
    </row>
    <row r="1631" spans="1:20" x14ac:dyDescent="0.25">
      <c r="A1631" s="1" t="s">
        <v>5207</v>
      </c>
      <c r="B1631" s="1" t="s">
        <v>545</v>
      </c>
      <c r="C1631" s="1" t="s">
        <v>1903</v>
      </c>
      <c r="D1631" s="1" t="s">
        <v>48</v>
      </c>
      <c r="E1631" s="1" t="s">
        <v>57</v>
      </c>
      <c r="F1631" s="1" t="s">
        <v>25</v>
      </c>
      <c r="G1631" s="2">
        <v>45429</v>
      </c>
      <c r="H1631" s="2">
        <v>45485</v>
      </c>
      <c r="I1631">
        <v>40</v>
      </c>
      <c r="J1631">
        <v>56</v>
      </c>
      <c r="K1631">
        <v>16</v>
      </c>
      <c r="L1631" s="1" t="s">
        <v>42</v>
      </c>
      <c r="M1631">
        <v>527.20000000000005</v>
      </c>
      <c r="N1631">
        <v>1289472.5</v>
      </c>
      <c r="O1631">
        <v>4726501.6100000003</v>
      </c>
      <c r="P1631">
        <v>1043637.37</v>
      </c>
      <c r="Q1631" s="1" t="s">
        <v>5208</v>
      </c>
      <c r="R1631">
        <v>70</v>
      </c>
      <c r="S1631" s="1" t="s">
        <v>5209</v>
      </c>
      <c r="T1631" t="b">
        <v>1</v>
      </c>
    </row>
    <row r="1632" spans="1:20" x14ac:dyDescent="0.25">
      <c r="A1632" s="1" t="s">
        <v>5210</v>
      </c>
      <c r="B1632" s="1" t="s">
        <v>30</v>
      </c>
      <c r="C1632" s="1" t="s">
        <v>1574</v>
      </c>
      <c r="D1632" s="1" t="s">
        <v>56</v>
      </c>
      <c r="E1632" s="1" t="s">
        <v>24</v>
      </c>
      <c r="F1632" s="1" t="s">
        <v>25</v>
      </c>
      <c r="G1632" s="2">
        <v>45129</v>
      </c>
      <c r="H1632" s="2">
        <v>45134</v>
      </c>
      <c r="I1632">
        <v>3</v>
      </c>
      <c r="J1632">
        <v>5</v>
      </c>
      <c r="K1632">
        <v>2</v>
      </c>
      <c r="L1632" s="1" t="s">
        <v>26</v>
      </c>
      <c r="M1632">
        <v>42</v>
      </c>
      <c r="N1632">
        <v>121867.97</v>
      </c>
      <c r="O1632">
        <v>3887094.23</v>
      </c>
      <c r="P1632">
        <v>599755.9</v>
      </c>
      <c r="Q1632" s="1" t="s">
        <v>5211</v>
      </c>
      <c r="R1632">
        <v>61</v>
      </c>
      <c r="S1632" s="1" t="s">
        <v>5212</v>
      </c>
      <c r="T1632" t="b">
        <v>0</v>
      </c>
    </row>
    <row r="1633" spans="1:20" x14ac:dyDescent="0.25">
      <c r="A1633" s="1" t="s">
        <v>5213</v>
      </c>
      <c r="B1633" s="1" t="s">
        <v>38</v>
      </c>
      <c r="C1633" s="1" t="s">
        <v>1790</v>
      </c>
      <c r="D1633" s="1" t="s">
        <v>297</v>
      </c>
      <c r="E1633" s="1" t="s">
        <v>24</v>
      </c>
      <c r="F1633" s="1" t="s">
        <v>25</v>
      </c>
      <c r="G1633" s="2">
        <v>45080</v>
      </c>
      <c r="H1633" s="2">
        <v>45083</v>
      </c>
      <c r="I1633">
        <v>3</v>
      </c>
      <c r="J1633">
        <v>3</v>
      </c>
      <c r="K1633">
        <v>0</v>
      </c>
      <c r="L1633" s="1" t="s">
        <v>26</v>
      </c>
      <c r="M1633">
        <v>23.9</v>
      </c>
      <c r="N1633">
        <v>47252.1</v>
      </c>
      <c r="O1633">
        <v>1910277.95</v>
      </c>
      <c r="P1633">
        <v>279757.94</v>
      </c>
      <c r="Q1633" s="1" t="s">
        <v>4161</v>
      </c>
      <c r="R1633">
        <v>75</v>
      </c>
      <c r="S1633" s="1" t="s">
        <v>5214</v>
      </c>
      <c r="T1633" t="b">
        <v>1</v>
      </c>
    </row>
    <row r="1634" spans="1:20" x14ac:dyDescent="0.25">
      <c r="A1634" s="1" t="s">
        <v>5215</v>
      </c>
      <c r="B1634" s="1" t="s">
        <v>174</v>
      </c>
      <c r="C1634" s="1" t="s">
        <v>1497</v>
      </c>
      <c r="D1634" s="1" t="s">
        <v>244</v>
      </c>
      <c r="E1634" s="1" t="s">
        <v>49</v>
      </c>
      <c r="F1634" s="1" t="s">
        <v>25</v>
      </c>
      <c r="G1634" s="2">
        <v>45110</v>
      </c>
      <c r="H1634" s="2">
        <v>45145</v>
      </c>
      <c r="I1634">
        <v>25</v>
      </c>
      <c r="J1634">
        <v>35</v>
      </c>
      <c r="K1634">
        <v>10</v>
      </c>
      <c r="L1634" s="1" t="s">
        <v>26</v>
      </c>
      <c r="M1634">
        <v>264.60000000000002</v>
      </c>
      <c r="N1634">
        <v>1005957.66</v>
      </c>
      <c r="O1634">
        <v>1150918.07</v>
      </c>
      <c r="P1634">
        <v>418386.16</v>
      </c>
      <c r="Q1634" s="1" t="s">
        <v>5216</v>
      </c>
      <c r="R1634">
        <v>51</v>
      </c>
      <c r="S1634" s="1" t="s">
        <v>5217</v>
      </c>
      <c r="T1634" t="b">
        <v>1</v>
      </c>
    </row>
    <row r="1635" spans="1:20" x14ac:dyDescent="0.25">
      <c r="A1635" s="1" t="s">
        <v>5218</v>
      </c>
      <c r="B1635" s="1" t="s">
        <v>451</v>
      </c>
      <c r="C1635" s="1" t="s">
        <v>1013</v>
      </c>
      <c r="D1635" s="1" t="s">
        <v>297</v>
      </c>
      <c r="E1635" s="1" t="s">
        <v>65</v>
      </c>
      <c r="F1635" s="1" t="s">
        <v>50</v>
      </c>
      <c r="G1635" s="2">
        <v>45451</v>
      </c>
      <c r="H1635" s="2"/>
      <c r="I1635">
        <v>4</v>
      </c>
      <c r="J1635">
        <v>5</v>
      </c>
      <c r="K1635">
        <v>0.5</v>
      </c>
      <c r="L1635" s="1" t="s">
        <v>26</v>
      </c>
      <c r="M1635">
        <v>51.1</v>
      </c>
      <c r="N1635">
        <v>125139.38</v>
      </c>
      <c r="O1635">
        <v>156199.69</v>
      </c>
      <c r="P1635">
        <v>46786.559999999998</v>
      </c>
      <c r="Q1635" s="1" t="s">
        <v>2134</v>
      </c>
      <c r="R1635">
        <v>52</v>
      </c>
      <c r="S1635" s="1" t="s">
        <v>5219</v>
      </c>
      <c r="T1635" t="b">
        <v>0</v>
      </c>
    </row>
    <row r="1636" spans="1:20" x14ac:dyDescent="0.25">
      <c r="A1636" s="1" t="s">
        <v>5220</v>
      </c>
      <c r="B1636" s="1" t="s">
        <v>286</v>
      </c>
      <c r="C1636" s="1" t="s">
        <v>83</v>
      </c>
      <c r="D1636" s="1" t="s">
        <v>32</v>
      </c>
      <c r="E1636" s="1" t="s">
        <v>57</v>
      </c>
      <c r="F1636" s="1" t="s">
        <v>50</v>
      </c>
      <c r="G1636" s="2">
        <v>45061</v>
      </c>
      <c r="H1636" s="2"/>
      <c r="I1636">
        <v>40</v>
      </c>
      <c r="J1636">
        <v>46</v>
      </c>
      <c r="K1636">
        <v>6</v>
      </c>
      <c r="L1636" s="1" t="s">
        <v>101</v>
      </c>
      <c r="M1636">
        <v>609.79999999999995</v>
      </c>
      <c r="N1636">
        <v>2102118.94</v>
      </c>
      <c r="O1636">
        <v>1100030.8899999999</v>
      </c>
      <c r="P1636">
        <v>585711.87</v>
      </c>
      <c r="Q1636" s="1" t="s">
        <v>5221</v>
      </c>
      <c r="R1636">
        <v>54</v>
      </c>
      <c r="S1636" s="1" t="s">
        <v>5222</v>
      </c>
      <c r="T1636" t="b">
        <v>1</v>
      </c>
    </row>
    <row r="1637" spans="1:20" x14ac:dyDescent="0.25">
      <c r="A1637" s="1" t="s">
        <v>5223</v>
      </c>
      <c r="B1637" s="1" t="s">
        <v>21</v>
      </c>
      <c r="C1637" s="1" t="s">
        <v>918</v>
      </c>
      <c r="D1637" s="1" t="s">
        <v>154</v>
      </c>
      <c r="E1637" s="1" t="s">
        <v>33</v>
      </c>
      <c r="F1637" s="1" t="s">
        <v>50</v>
      </c>
      <c r="G1637" s="2">
        <v>45291</v>
      </c>
      <c r="H1637" s="2"/>
      <c r="I1637">
        <v>12</v>
      </c>
      <c r="J1637">
        <v>17</v>
      </c>
      <c r="K1637">
        <v>5</v>
      </c>
      <c r="L1637" s="1" t="s">
        <v>330</v>
      </c>
      <c r="M1637">
        <v>229.3</v>
      </c>
      <c r="N1637">
        <v>610314.88</v>
      </c>
      <c r="O1637">
        <v>307271.19</v>
      </c>
      <c r="P1637">
        <v>183014.94</v>
      </c>
      <c r="Q1637" s="1" t="s">
        <v>5224</v>
      </c>
      <c r="R1637">
        <v>66</v>
      </c>
      <c r="S1637" s="1" t="s">
        <v>5225</v>
      </c>
      <c r="T1637" t="b">
        <v>1</v>
      </c>
    </row>
    <row r="1638" spans="1:20" x14ac:dyDescent="0.25">
      <c r="A1638" s="1" t="s">
        <v>5226</v>
      </c>
      <c r="B1638" s="1" t="s">
        <v>93</v>
      </c>
      <c r="C1638" s="1" t="s">
        <v>1635</v>
      </c>
      <c r="D1638" s="1" t="s">
        <v>181</v>
      </c>
      <c r="E1638" s="1" t="s">
        <v>65</v>
      </c>
      <c r="F1638" s="1" t="s">
        <v>25</v>
      </c>
      <c r="G1638" s="2">
        <v>44666</v>
      </c>
      <c r="H1638" s="2">
        <v>44671</v>
      </c>
      <c r="I1638">
        <v>4</v>
      </c>
      <c r="J1638">
        <v>5</v>
      </c>
      <c r="K1638">
        <v>0.5</v>
      </c>
      <c r="L1638" s="1" t="s">
        <v>26</v>
      </c>
      <c r="M1638">
        <v>30.3</v>
      </c>
      <c r="N1638">
        <v>135189.25</v>
      </c>
      <c r="O1638">
        <v>3021507.01</v>
      </c>
      <c r="P1638">
        <v>377588.55</v>
      </c>
      <c r="Q1638" s="1" t="s">
        <v>5227</v>
      </c>
      <c r="R1638">
        <v>29</v>
      </c>
      <c r="S1638" s="1" t="s">
        <v>5228</v>
      </c>
      <c r="T1638" t="b">
        <v>0</v>
      </c>
    </row>
    <row r="1639" spans="1:20" x14ac:dyDescent="0.25">
      <c r="A1639" s="1" t="s">
        <v>5229</v>
      </c>
      <c r="B1639" s="1" t="s">
        <v>228</v>
      </c>
      <c r="C1639" s="1" t="s">
        <v>2819</v>
      </c>
      <c r="D1639" s="1" t="s">
        <v>622</v>
      </c>
      <c r="E1639" s="1" t="s">
        <v>41</v>
      </c>
      <c r="F1639" s="1" t="s">
        <v>50</v>
      </c>
      <c r="G1639" s="2">
        <v>45114</v>
      </c>
      <c r="H1639" s="2"/>
      <c r="I1639">
        <v>9</v>
      </c>
      <c r="J1639">
        <v>8</v>
      </c>
      <c r="K1639">
        <v>0</v>
      </c>
      <c r="L1639" s="1" t="s">
        <v>26</v>
      </c>
      <c r="M1639">
        <v>96</v>
      </c>
      <c r="N1639">
        <v>424092.79</v>
      </c>
      <c r="O1639">
        <v>33888.019999999997</v>
      </c>
      <c r="P1639">
        <v>71547.05</v>
      </c>
      <c r="Q1639" s="1" t="s">
        <v>5230</v>
      </c>
      <c r="R1639">
        <v>27</v>
      </c>
      <c r="S1639" s="1" t="s">
        <v>5231</v>
      </c>
      <c r="T1639" t="b">
        <v>0</v>
      </c>
    </row>
    <row r="1640" spans="1:20" x14ac:dyDescent="0.25">
      <c r="A1640" s="1" t="s">
        <v>5232</v>
      </c>
      <c r="B1640" s="1" t="s">
        <v>76</v>
      </c>
      <c r="C1640" s="1" t="s">
        <v>112</v>
      </c>
      <c r="D1640" s="1" t="s">
        <v>268</v>
      </c>
      <c r="E1640" s="1" t="s">
        <v>41</v>
      </c>
      <c r="F1640" s="1" t="s">
        <v>25</v>
      </c>
      <c r="G1640" s="2">
        <v>44640</v>
      </c>
      <c r="H1640" s="2">
        <v>44654</v>
      </c>
      <c r="I1640">
        <v>9</v>
      </c>
      <c r="J1640">
        <v>14</v>
      </c>
      <c r="K1640">
        <v>5</v>
      </c>
      <c r="L1640" s="1" t="s">
        <v>330</v>
      </c>
      <c r="M1640">
        <v>173.1</v>
      </c>
      <c r="N1640">
        <v>313854.02</v>
      </c>
      <c r="O1640">
        <v>4962361.2699999996</v>
      </c>
      <c r="P1640">
        <v>539841.05000000005</v>
      </c>
      <c r="Q1640" s="1" t="s">
        <v>5233</v>
      </c>
      <c r="R1640">
        <v>76</v>
      </c>
      <c r="S1640" s="1" t="s">
        <v>5234</v>
      </c>
      <c r="T1640" t="b">
        <v>1</v>
      </c>
    </row>
    <row r="1641" spans="1:20" x14ac:dyDescent="0.25">
      <c r="A1641" s="1" t="s">
        <v>5235</v>
      </c>
      <c r="B1641" s="1" t="s">
        <v>228</v>
      </c>
      <c r="C1641" s="1" t="s">
        <v>2583</v>
      </c>
      <c r="D1641" s="1" t="s">
        <v>670</v>
      </c>
      <c r="E1641" s="1" t="s">
        <v>65</v>
      </c>
      <c r="F1641" s="1" t="s">
        <v>66</v>
      </c>
      <c r="G1641" s="2">
        <v>44847</v>
      </c>
      <c r="H1641" s="2"/>
      <c r="I1641">
        <v>4</v>
      </c>
      <c r="J1641">
        <v>5</v>
      </c>
      <c r="K1641">
        <v>0.5</v>
      </c>
      <c r="L1641" s="1" t="s">
        <v>26</v>
      </c>
      <c r="M1641">
        <v>66.3</v>
      </c>
      <c r="N1641">
        <v>242259.82</v>
      </c>
      <c r="O1641">
        <v>3425886.15</v>
      </c>
      <c r="P1641">
        <v>669203.41</v>
      </c>
      <c r="Q1641" s="1" t="s">
        <v>3219</v>
      </c>
      <c r="R1641">
        <v>71</v>
      </c>
      <c r="S1641" s="1" t="s">
        <v>5236</v>
      </c>
      <c r="T1641" t="b">
        <v>1</v>
      </c>
    </row>
    <row r="1642" spans="1:20" x14ac:dyDescent="0.25">
      <c r="A1642" s="1" t="s">
        <v>5237</v>
      </c>
      <c r="B1642" s="1" t="s">
        <v>242</v>
      </c>
      <c r="C1642" s="1" t="s">
        <v>858</v>
      </c>
      <c r="D1642" s="1" t="s">
        <v>202</v>
      </c>
      <c r="E1642" s="1" t="s">
        <v>57</v>
      </c>
      <c r="F1642" s="1" t="s">
        <v>25</v>
      </c>
      <c r="G1642" s="2">
        <v>44790</v>
      </c>
      <c r="H1642" s="2">
        <v>44832</v>
      </c>
      <c r="I1642">
        <v>40</v>
      </c>
      <c r="J1642">
        <v>42</v>
      </c>
      <c r="K1642">
        <v>2</v>
      </c>
      <c r="L1642" s="1" t="s">
        <v>26</v>
      </c>
      <c r="M1642">
        <v>458.4</v>
      </c>
      <c r="N1642">
        <v>1165198.8500000001</v>
      </c>
      <c r="O1642">
        <v>4345996.9400000004</v>
      </c>
      <c r="P1642">
        <v>772176.4</v>
      </c>
      <c r="Q1642" s="1" t="s">
        <v>5238</v>
      </c>
      <c r="R1642">
        <v>47</v>
      </c>
      <c r="S1642" s="1" t="s">
        <v>5239</v>
      </c>
      <c r="T1642" t="b">
        <v>0</v>
      </c>
    </row>
    <row r="1643" spans="1:20" x14ac:dyDescent="0.25">
      <c r="A1643" s="1" t="s">
        <v>5240</v>
      </c>
      <c r="B1643" s="1" t="s">
        <v>358</v>
      </c>
      <c r="C1643" s="1" t="s">
        <v>2977</v>
      </c>
      <c r="D1643" s="1" t="s">
        <v>207</v>
      </c>
      <c r="E1643" s="1" t="s">
        <v>41</v>
      </c>
      <c r="F1643" s="1" t="s">
        <v>25</v>
      </c>
      <c r="G1643" s="2">
        <v>44937</v>
      </c>
      <c r="H1643" s="2">
        <v>44941</v>
      </c>
      <c r="I1643">
        <v>9</v>
      </c>
      <c r="J1643">
        <v>4</v>
      </c>
      <c r="K1643">
        <v>0</v>
      </c>
      <c r="L1643" s="1" t="s">
        <v>26</v>
      </c>
      <c r="M1643">
        <v>49.2</v>
      </c>
      <c r="N1643">
        <v>158111.38</v>
      </c>
      <c r="O1643">
        <v>2484591.8199999998</v>
      </c>
      <c r="P1643">
        <v>403945.04</v>
      </c>
      <c r="Q1643" s="1" t="s">
        <v>5241</v>
      </c>
      <c r="R1643">
        <v>25</v>
      </c>
      <c r="S1643" s="1" t="s">
        <v>5242</v>
      </c>
      <c r="T1643" t="b">
        <v>0</v>
      </c>
    </row>
    <row r="1644" spans="1:20" x14ac:dyDescent="0.25">
      <c r="A1644" s="1" t="s">
        <v>5243</v>
      </c>
      <c r="B1644" s="1" t="s">
        <v>328</v>
      </c>
      <c r="C1644" s="1" t="s">
        <v>4940</v>
      </c>
      <c r="D1644" s="1" t="s">
        <v>244</v>
      </c>
      <c r="E1644" s="1" t="s">
        <v>33</v>
      </c>
      <c r="F1644" s="1" t="s">
        <v>50</v>
      </c>
      <c r="G1644" s="2">
        <v>45445</v>
      </c>
      <c r="H1644" s="2"/>
      <c r="I1644">
        <v>12</v>
      </c>
      <c r="J1644">
        <v>15</v>
      </c>
      <c r="K1644">
        <v>3</v>
      </c>
      <c r="L1644" s="1" t="s">
        <v>26</v>
      </c>
      <c r="M1644">
        <v>208.3</v>
      </c>
      <c r="N1644">
        <v>726901.6</v>
      </c>
      <c r="O1644">
        <v>2927155.58</v>
      </c>
      <c r="P1644">
        <v>483862.55</v>
      </c>
      <c r="Q1644" s="1" t="s">
        <v>5244</v>
      </c>
      <c r="R1644">
        <v>42</v>
      </c>
      <c r="S1644" s="1" t="s">
        <v>5245</v>
      </c>
      <c r="T1644" t="b">
        <v>0</v>
      </c>
    </row>
    <row r="1645" spans="1:20" x14ac:dyDescent="0.25">
      <c r="A1645" s="1" t="s">
        <v>5246</v>
      </c>
      <c r="B1645" s="1" t="s">
        <v>629</v>
      </c>
      <c r="C1645" s="1" t="s">
        <v>254</v>
      </c>
      <c r="D1645" s="1" t="s">
        <v>144</v>
      </c>
      <c r="E1645" s="1" t="s">
        <v>41</v>
      </c>
      <c r="F1645" s="1" t="s">
        <v>25</v>
      </c>
      <c r="G1645" s="2">
        <v>45012</v>
      </c>
      <c r="H1645" s="2">
        <v>45026</v>
      </c>
      <c r="I1645">
        <v>9</v>
      </c>
      <c r="J1645">
        <v>14</v>
      </c>
      <c r="K1645">
        <v>5</v>
      </c>
      <c r="L1645" s="1" t="s">
        <v>193</v>
      </c>
      <c r="M1645">
        <v>61.3</v>
      </c>
      <c r="N1645">
        <v>236933.43</v>
      </c>
      <c r="O1645">
        <v>687205.15</v>
      </c>
      <c r="P1645">
        <v>109646.92</v>
      </c>
      <c r="Q1645" s="1" t="s">
        <v>5247</v>
      </c>
      <c r="R1645">
        <v>44</v>
      </c>
      <c r="S1645" s="1" t="s">
        <v>5248</v>
      </c>
      <c r="T1645" t="b">
        <v>1</v>
      </c>
    </row>
    <row r="1646" spans="1:20" x14ac:dyDescent="0.25">
      <c r="A1646" s="1" t="s">
        <v>5249</v>
      </c>
      <c r="B1646" s="1" t="s">
        <v>286</v>
      </c>
      <c r="C1646" s="1" t="s">
        <v>577</v>
      </c>
      <c r="D1646" s="1" t="s">
        <v>48</v>
      </c>
      <c r="E1646" s="1" t="s">
        <v>33</v>
      </c>
      <c r="F1646" s="1" t="s">
        <v>34</v>
      </c>
      <c r="G1646" s="2">
        <v>44849</v>
      </c>
      <c r="H1646" s="2"/>
      <c r="I1646">
        <v>12</v>
      </c>
      <c r="J1646">
        <v>11</v>
      </c>
      <c r="K1646">
        <v>0</v>
      </c>
      <c r="L1646" s="1" t="s">
        <v>26</v>
      </c>
      <c r="M1646">
        <v>153.6</v>
      </c>
      <c r="N1646">
        <v>431814.12</v>
      </c>
      <c r="O1646">
        <v>2121660.27</v>
      </c>
      <c r="P1646">
        <v>439686.25</v>
      </c>
      <c r="Q1646" s="1" t="s">
        <v>5250</v>
      </c>
      <c r="R1646">
        <v>26</v>
      </c>
      <c r="S1646" s="1" t="s">
        <v>5251</v>
      </c>
      <c r="T1646" t="b">
        <v>1</v>
      </c>
    </row>
    <row r="1647" spans="1:20" x14ac:dyDescent="0.25">
      <c r="A1647" s="1" t="s">
        <v>5252</v>
      </c>
      <c r="B1647" s="1" t="s">
        <v>62</v>
      </c>
      <c r="C1647" s="1" t="s">
        <v>2232</v>
      </c>
      <c r="D1647" s="1" t="s">
        <v>420</v>
      </c>
      <c r="E1647" s="1" t="s">
        <v>33</v>
      </c>
      <c r="F1647" s="1" t="s">
        <v>66</v>
      </c>
      <c r="G1647" s="2">
        <v>45430</v>
      </c>
      <c r="H1647" s="2"/>
      <c r="I1647">
        <v>12</v>
      </c>
      <c r="J1647">
        <v>10</v>
      </c>
      <c r="K1647">
        <v>0</v>
      </c>
      <c r="L1647" s="1" t="s">
        <v>26</v>
      </c>
      <c r="M1647">
        <v>103.1</v>
      </c>
      <c r="N1647">
        <v>327872.71999999997</v>
      </c>
      <c r="O1647">
        <v>3919845.2</v>
      </c>
      <c r="P1647">
        <v>612552.97</v>
      </c>
      <c r="Q1647" s="1" t="s">
        <v>3611</v>
      </c>
      <c r="R1647">
        <v>34</v>
      </c>
      <c r="S1647" s="1" t="s">
        <v>5253</v>
      </c>
      <c r="T1647" t="b">
        <v>1</v>
      </c>
    </row>
    <row r="1648" spans="1:20" x14ac:dyDescent="0.25">
      <c r="A1648" s="1" t="s">
        <v>5254</v>
      </c>
      <c r="B1648" s="1" t="s">
        <v>228</v>
      </c>
      <c r="C1648" s="1" t="s">
        <v>721</v>
      </c>
      <c r="D1648" s="1" t="s">
        <v>405</v>
      </c>
      <c r="E1648" s="1" t="s">
        <v>57</v>
      </c>
      <c r="F1648" s="1" t="s">
        <v>25</v>
      </c>
      <c r="G1648" s="2">
        <v>45445</v>
      </c>
      <c r="H1648" s="2">
        <v>45480</v>
      </c>
      <c r="I1648">
        <v>40</v>
      </c>
      <c r="J1648">
        <v>35</v>
      </c>
      <c r="K1648">
        <v>0</v>
      </c>
      <c r="L1648" s="1" t="s">
        <v>26</v>
      </c>
      <c r="M1648">
        <v>527.6</v>
      </c>
      <c r="N1648">
        <v>1801133.96</v>
      </c>
      <c r="O1648">
        <v>4749603.68</v>
      </c>
      <c r="P1648">
        <v>940572.33</v>
      </c>
      <c r="Q1648" s="1" t="s">
        <v>5255</v>
      </c>
      <c r="R1648">
        <v>41</v>
      </c>
      <c r="S1648" s="1" t="s">
        <v>5256</v>
      </c>
      <c r="T1648" t="b">
        <v>1</v>
      </c>
    </row>
    <row r="1649" spans="1:20" x14ac:dyDescent="0.25">
      <c r="A1649" s="1" t="s">
        <v>5257</v>
      </c>
      <c r="B1649" s="1" t="s">
        <v>93</v>
      </c>
      <c r="C1649" s="1" t="s">
        <v>2617</v>
      </c>
      <c r="D1649" s="1" t="s">
        <v>181</v>
      </c>
      <c r="E1649" s="1" t="s">
        <v>41</v>
      </c>
      <c r="F1649" s="1" t="s">
        <v>34</v>
      </c>
      <c r="G1649" s="2">
        <v>44818</v>
      </c>
      <c r="H1649" s="2"/>
      <c r="I1649">
        <v>9</v>
      </c>
      <c r="J1649">
        <v>14</v>
      </c>
      <c r="K1649">
        <v>5</v>
      </c>
      <c r="L1649" s="1" t="s">
        <v>42</v>
      </c>
      <c r="M1649">
        <v>126.4</v>
      </c>
      <c r="N1649">
        <v>305183.05</v>
      </c>
      <c r="O1649">
        <v>4021106.79</v>
      </c>
      <c r="P1649">
        <v>842606.74</v>
      </c>
      <c r="Q1649" s="1" t="s">
        <v>5258</v>
      </c>
      <c r="R1649">
        <v>55</v>
      </c>
      <c r="S1649" s="1" t="s">
        <v>5259</v>
      </c>
      <c r="T1649" t="b">
        <v>1</v>
      </c>
    </row>
    <row r="1650" spans="1:20" x14ac:dyDescent="0.25">
      <c r="A1650" s="1" t="s">
        <v>5260</v>
      </c>
      <c r="B1650" s="1" t="s">
        <v>328</v>
      </c>
      <c r="C1650" s="1" t="s">
        <v>3244</v>
      </c>
      <c r="D1650" s="1" t="s">
        <v>582</v>
      </c>
      <c r="E1650" s="1" t="s">
        <v>49</v>
      </c>
      <c r="F1650" s="1" t="s">
        <v>25</v>
      </c>
      <c r="G1650" s="2">
        <v>45193</v>
      </c>
      <c r="H1650" s="2">
        <v>45230</v>
      </c>
      <c r="I1650">
        <v>25</v>
      </c>
      <c r="J1650">
        <v>37</v>
      </c>
      <c r="K1650">
        <v>12</v>
      </c>
      <c r="L1650" s="1" t="s">
        <v>26</v>
      </c>
      <c r="M1650">
        <v>563.5</v>
      </c>
      <c r="N1650">
        <v>2014760.93</v>
      </c>
      <c r="O1650">
        <v>3254562.33</v>
      </c>
      <c r="P1650">
        <v>557064.59</v>
      </c>
      <c r="Q1650" s="1" t="s">
        <v>5261</v>
      </c>
      <c r="R1650">
        <v>74</v>
      </c>
      <c r="S1650" s="1" t="s">
        <v>5262</v>
      </c>
      <c r="T1650" t="b">
        <v>1</v>
      </c>
    </row>
    <row r="1651" spans="1:20" x14ac:dyDescent="0.25">
      <c r="A1651" s="1" t="s">
        <v>5263</v>
      </c>
      <c r="B1651" s="1" t="s">
        <v>253</v>
      </c>
      <c r="C1651" s="1" t="s">
        <v>2987</v>
      </c>
      <c r="D1651" s="1" t="s">
        <v>1022</v>
      </c>
      <c r="E1651" s="1" t="s">
        <v>41</v>
      </c>
      <c r="F1651" s="1" t="s">
        <v>25</v>
      </c>
      <c r="G1651" s="2">
        <v>44921</v>
      </c>
      <c r="H1651" s="2">
        <v>44925</v>
      </c>
      <c r="I1651">
        <v>9</v>
      </c>
      <c r="J1651">
        <v>4</v>
      </c>
      <c r="K1651">
        <v>0</v>
      </c>
      <c r="L1651" s="1" t="s">
        <v>26</v>
      </c>
      <c r="M1651">
        <v>27.8</v>
      </c>
      <c r="N1651">
        <v>59986.55</v>
      </c>
      <c r="O1651">
        <v>1815441.33</v>
      </c>
      <c r="P1651">
        <v>257137.19</v>
      </c>
      <c r="Q1651" s="1" t="s">
        <v>5264</v>
      </c>
      <c r="R1651">
        <v>65</v>
      </c>
      <c r="S1651" s="1" t="s">
        <v>5265</v>
      </c>
      <c r="T1651" t="b">
        <v>0</v>
      </c>
    </row>
    <row r="1652" spans="1:20" x14ac:dyDescent="0.25">
      <c r="A1652" s="1" t="s">
        <v>5266</v>
      </c>
      <c r="B1652" s="1" t="s">
        <v>286</v>
      </c>
      <c r="C1652" s="1" t="s">
        <v>966</v>
      </c>
      <c r="D1652" s="1" t="s">
        <v>268</v>
      </c>
      <c r="E1652" s="1" t="s">
        <v>49</v>
      </c>
      <c r="F1652" s="1" t="s">
        <v>25</v>
      </c>
      <c r="G1652" s="2">
        <v>45161</v>
      </c>
      <c r="H1652" s="2">
        <v>45194</v>
      </c>
      <c r="I1652">
        <v>25</v>
      </c>
      <c r="J1652">
        <v>33</v>
      </c>
      <c r="K1652">
        <v>8</v>
      </c>
      <c r="L1652" s="1" t="s">
        <v>193</v>
      </c>
      <c r="M1652">
        <v>245</v>
      </c>
      <c r="N1652">
        <v>612170.27</v>
      </c>
      <c r="O1652">
        <v>4477547.5999999996</v>
      </c>
      <c r="P1652">
        <v>774317.76</v>
      </c>
      <c r="Q1652" s="1" t="s">
        <v>1803</v>
      </c>
      <c r="R1652">
        <v>78</v>
      </c>
      <c r="S1652" s="1" t="s">
        <v>5267</v>
      </c>
      <c r="T1652" t="b">
        <v>1</v>
      </c>
    </row>
    <row r="1653" spans="1:20" x14ac:dyDescent="0.25">
      <c r="A1653" s="1" t="s">
        <v>5268</v>
      </c>
      <c r="B1653" s="1" t="s">
        <v>471</v>
      </c>
      <c r="C1653" s="1" t="s">
        <v>896</v>
      </c>
      <c r="D1653" s="1" t="s">
        <v>1022</v>
      </c>
      <c r="E1653" s="1" t="s">
        <v>41</v>
      </c>
      <c r="F1653" s="1" t="s">
        <v>34</v>
      </c>
      <c r="G1653" s="2">
        <v>44640</v>
      </c>
      <c r="H1653" s="2"/>
      <c r="I1653">
        <v>9</v>
      </c>
      <c r="J1653">
        <v>5</v>
      </c>
      <c r="K1653">
        <v>0</v>
      </c>
      <c r="L1653" s="1" t="s">
        <v>26</v>
      </c>
      <c r="M1653">
        <v>59.9</v>
      </c>
      <c r="N1653">
        <v>202473.41</v>
      </c>
      <c r="O1653">
        <v>2423384.2000000002</v>
      </c>
      <c r="P1653">
        <v>440672.39</v>
      </c>
      <c r="Q1653" s="1" t="s">
        <v>5269</v>
      </c>
      <c r="R1653">
        <v>80</v>
      </c>
      <c r="S1653" s="1" t="s">
        <v>5270</v>
      </c>
      <c r="T1653" t="b">
        <v>0</v>
      </c>
    </row>
    <row r="1654" spans="1:20" x14ac:dyDescent="0.25">
      <c r="A1654" s="1" t="s">
        <v>5271</v>
      </c>
      <c r="B1654" s="1" t="s">
        <v>253</v>
      </c>
      <c r="C1654" s="1" t="s">
        <v>1769</v>
      </c>
      <c r="D1654" s="1" t="s">
        <v>288</v>
      </c>
      <c r="E1654" s="1" t="s">
        <v>65</v>
      </c>
      <c r="F1654" s="1" t="s">
        <v>50</v>
      </c>
      <c r="G1654" s="2">
        <v>44821</v>
      </c>
      <c r="H1654" s="2"/>
      <c r="I1654">
        <v>4</v>
      </c>
      <c r="J1654">
        <v>6</v>
      </c>
      <c r="K1654">
        <v>1.5</v>
      </c>
      <c r="L1654" s="1" t="s">
        <v>26</v>
      </c>
      <c r="M1654">
        <v>82.2</v>
      </c>
      <c r="N1654">
        <v>349859.26</v>
      </c>
      <c r="O1654">
        <v>1076011.05</v>
      </c>
      <c r="P1654">
        <v>165646.73000000001</v>
      </c>
      <c r="Q1654" s="1" t="s">
        <v>5272</v>
      </c>
      <c r="R1654">
        <v>23</v>
      </c>
      <c r="S1654" s="1" t="s">
        <v>5273</v>
      </c>
      <c r="T1654" t="b">
        <v>0</v>
      </c>
    </row>
    <row r="1655" spans="1:20" x14ac:dyDescent="0.25">
      <c r="A1655" s="1" t="s">
        <v>5274</v>
      </c>
      <c r="B1655" s="1" t="s">
        <v>418</v>
      </c>
      <c r="C1655" s="1" t="s">
        <v>1560</v>
      </c>
      <c r="D1655" s="1" t="s">
        <v>541</v>
      </c>
      <c r="E1655" s="1" t="s">
        <v>49</v>
      </c>
      <c r="F1655" s="1" t="s">
        <v>25</v>
      </c>
      <c r="G1655" s="2">
        <v>45030</v>
      </c>
      <c r="H1655" s="2">
        <v>45045</v>
      </c>
      <c r="I1655">
        <v>25</v>
      </c>
      <c r="J1655">
        <v>15</v>
      </c>
      <c r="K1655">
        <v>0</v>
      </c>
      <c r="L1655" s="1" t="s">
        <v>26</v>
      </c>
      <c r="M1655">
        <v>77.599999999999994</v>
      </c>
      <c r="N1655">
        <v>254904.46</v>
      </c>
      <c r="O1655">
        <v>1991380.35</v>
      </c>
      <c r="P1655">
        <v>426769.99</v>
      </c>
      <c r="Q1655" s="1" t="s">
        <v>5275</v>
      </c>
      <c r="R1655">
        <v>50</v>
      </c>
      <c r="S1655" s="1" t="s">
        <v>5276</v>
      </c>
      <c r="T1655" t="b">
        <v>1</v>
      </c>
    </row>
    <row r="1656" spans="1:20" x14ac:dyDescent="0.25">
      <c r="A1656" s="1" t="s">
        <v>5277</v>
      </c>
      <c r="B1656" s="1" t="s">
        <v>253</v>
      </c>
      <c r="C1656" s="1" t="s">
        <v>922</v>
      </c>
      <c r="D1656" s="1" t="s">
        <v>56</v>
      </c>
      <c r="E1656" s="1" t="s">
        <v>24</v>
      </c>
      <c r="F1656" s="1" t="s">
        <v>25</v>
      </c>
      <c r="G1656" s="2">
        <v>44617</v>
      </c>
      <c r="H1656" s="2">
        <v>44622</v>
      </c>
      <c r="I1656">
        <v>3</v>
      </c>
      <c r="J1656">
        <v>5</v>
      </c>
      <c r="K1656">
        <v>2</v>
      </c>
      <c r="L1656" s="1" t="s">
        <v>26</v>
      </c>
      <c r="M1656">
        <v>50.8</v>
      </c>
      <c r="N1656">
        <v>153329.46</v>
      </c>
      <c r="O1656">
        <v>14884.33</v>
      </c>
      <c r="P1656">
        <v>27645.42</v>
      </c>
      <c r="Q1656" s="1" t="s">
        <v>2533</v>
      </c>
      <c r="R1656">
        <v>75</v>
      </c>
      <c r="S1656" s="1" t="s">
        <v>5278</v>
      </c>
      <c r="T1656" t="b">
        <v>1</v>
      </c>
    </row>
    <row r="1657" spans="1:20" x14ac:dyDescent="0.25">
      <c r="A1657" s="1" t="s">
        <v>5279</v>
      </c>
      <c r="B1657" s="1" t="s">
        <v>403</v>
      </c>
      <c r="C1657" s="1" t="s">
        <v>2217</v>
      </c>
      <c r="D1657" s="1" t="s">
        <v>202</v>
      </c>
      <c r="E1657" s="1" t="s">
        <v>24</v>
      </c>
      <c r="F1657" s="1" t="s">
        <v>25</v>
      </c>
      <c r="G1657" s="2">
        <v>44677</v>
      </c>
      <c r="H1657" s="2">
        <v>44680</v>
      </c>
      <c r="I1657">
        <v>3</v>
      </c>
      <c r="J1657">
        <v>3</v>
      </c>
      <c r="K1657">
        <v>0</v>
      </c>
      <c r="L1657" s="1" t="s">
        <v>26</v>
      </c>
      <c r="M1657">
        <v>13.8</v>
      </c>
      <c r="N1657">
        <v>54978.29</v>
      </c>
      <c r="O1657">
        <v>896132.3</v>
      </c>
      <c r="P1657">
        <v>107564.15</v>
      </c>
      <c r="Q1657" s="1" t="s">
        <v>5280</v>
      </c>
      <c r="R1657">
        <v>51</v>
      </c>
      <c r="S1657" s="1" t="s">
        <v>5281</v>
      </c>
      <c r="T1657" t="b">
        <v>1</v>
      </c>
    </row>
    <row r="1658" spans="1:20" x14ac:dyDescent="0.25">
      <c r="A1658" s="1" t="s">
        <v>5282</v>
      </c>
      <c r="B1658" s="1" t="s">
        <v>62</v>
      </c>
      <c r="C1658" s="1" t="s">
        <v>738</v>
      </c>
      <c r="D1658" s="1" t="s">
        <v>192</v>
      </c>
      <c r="E1658" s="1" t="s">
        <v>41</v>
      </c>
      <c r="F1658" s="1" t="s">
        <v>25</v>
      </c>
      <c r="G1658" s="2">
        <v>44998</v>
      </c>
      <c r="H1658" s="2">
        <v>45011</v>
      </c>
      <c r="I1658">
        <v>9</v>
      </c>
      <c r="J1658">
        <v>13</v>
      </c>
      <c r="K1658">
        <v>4</v>
      </c>
      <c r="L1658" s="1" t="s">
        <v>193</v>
      </c>
      <c r="M1658">
        <v>106</v>
      </c>
      <c r="N1658">
        <v>206624.06</v>
      </c>
      <c r="O1658">
        <v>2976282.22</v>
      </c>
      <c r="P1658">
        <v>478390.47</v>
      </c>
      <c r="Q1658" s="1" t="s">
        <v>5283</v>
      </c>
      <c r="R1658">
        <v>58</v>
      </c>
      <c r="S1658" s="1" t="s">
        <v>5284</v>
      </c>
      <c r="T1658" t="b">
        <v>1</v>
      </c>
    </row>
    <row r="1659" spans="1:20" x14ac:dyDescent="0.25">
      <c r="A1659" s="1" t="s">
        <v>5285</v>
      </c>
      <c r="B1659" s="1" t="s">
        <v>334</v>
      </c>
      <c r="C1659" s="1" t="s">
        <v>819</v>
      </c>
      <c r="D1659" s="1" t="s">
        <v>582</v>
      </c>
      <c r="E1659" s="1" t="s">
        <v>65</v>
      </c>
      <c r="F1659" s="1" t="s">
        <v>34</v>
      </c>
      <c r="G1659" s="2">
        <v>45121</v>
      </c>
      <c r="H1659" s="2"/>
      <c r="I1659">
        <v>4</v>
      </c>
      <c r="J1659">
        <v>8</v>
      </c>
      <c r="K1659">
        <v>3.5</v>
      </c>
      <c r="L1659" s="1" t="s">
        <v>26</v>
      </c>
      <c r="M1659">
        <v>97.2</v>
      </c>
      <c r="N1659">
        <v>253061.47</v>
      </c>
      <c r="O1659">
        <v>353348.95</v>
      </c>
      <c r="P1659">
        <v>103755.81</v>
      </c>
      <c r="Q1659" s="1" t="s">
        <v>5286</v>
      </c>
      <c r="R1659">
        <v>24</v>
      </c>
      <c r="S1659" s="1" t="s">
        <v>5287</v>
      </c>
      <c r="T1659" t="b">
        <v>1</v>
      </c>
    </row>
    <row r="1660" spans="1:20" x14ac:dyDescent="0.25">
      <c r="A1660" s="1" t="s">
        <v>5288</v>
      </c>
      <c r="B1660" s="1" t="s">
        <v>328</v>
      </c>
      <c r="C1660" s="1" t="s">
        <v>343</v>
      </c>
      <c r="D1660" s="1" t="s">
        <v>306</v>
      </c>
      <c r="E1660" s="1" t="s">
        <v>65</v>
      </c>
      <c r="F1660" s="1" t="s">
        <v>25</v>
      </c>
      <c r="G1660" s="2">
        <v>44832</v>
      </c>
      <c r="H1660" s="2">
        <v>44834</v>
      </c>
      <c r="I1660">
        <v>4</v>
      </c>
      <c r="J1660">
        <v>2</v>
      </c>
      <c r="K1660">
        <v>0</v>
      </c>
      <c r="L1660" s="1" t="s">
        <v>26</v>
      </c>
      <c r="M1660">
        <v>9.1999999999999993</v>
      </c>
      <c r="N1660">
        <v>35198.51</v>
      </c>
      <c r="O1660">
        <v>509642.16</v>
      </c>
      <c r="P1660">
        <v>67809.08</v>
      </c>
      <c r="Q1660" s="1" t="s">
        <v>5289</v>
      </c>
      <c r="R1660">
        <v>20</v>
      </c>
      <c r="S1660" s="1" t="s">
        <v>5290</v>
      </c>
      <c r="T1660" t="b">
        <v>1</v>
      </c>
    </row>
    <row r="1661" spans="1:20" x14ac:dyDescent="0.25">
      <c r="A1661" s="1" t="s">
        <v>5291</v>
      </c>
      <c r="B1661" s="1" t="s">
        <v>82</v>
      </c>
      <c r="C1661" s="1" t="s">
        <v>349</v>
      </c>
      <c r="D1661" s="1" t="s">
        <v>655</v>
      </c>
      <c r="E1661" s="1" t="s">
        <v>49</v>
      </c>
      <c r="F1661" s="1" t="s">
        <v>34</v>
      </c>
      <c r="G1661" s="2">
        <v>45043</v>
      </c>
      <c r="H1661" s="2"/>
      <c r="I1661">
        <v>25</v>
      </c>
      <c r="J1661">
        <v>27</v>
      </c>
      <c r="K1661">
        <v>2</v>
      </c>
      <c r="L1661" s="1" t="s">
        <v>26</v>
      </c>
      <c r="M1661">
        <v>162.80000000000001</v>
      </c>
      <c r="N1661">
        <v>642971.18000000005</v>
      </c>
      <c r="O1661">
        <v>877324.98</v>
      </c>
      <c r="P1661">
        <v>269236.58</v>
      </c>
      <c r="Q1661" s="1" t="s">
        <v>5292</v>
      </c>
      <c r="R1661">
        <v>27</v>
      </c>
      <c r="S1661" s="1" t="s">
        <v>5293</v>
      </c>
      <c r="T1661" t="b">
        <v>0</v>
      </c>
    </row>
    <row r="1662" spans="1:20" x14ac:dyDescent="0.25">
      <c r="A1662" s="1" t="s">
        <v>5294</v>
      </c>
      <c r="B1662" s="1" t="s">
        <v>629</v>
      </c>
      <c r="C1662" s="1" t="s">
        <v>815</v>
      </c>
      <c r="D1662" s="1" t="s">
        <v>72</v>
      </c>
      <c r="E1662" s="1" t="s">
        <v>65</v>
      </c>
      <c r="F1662" s="1" t="s">
        <v>50</v>
      </c>
      <c r="G1662" s="2">
        <v>45017</v>
      </c>
      <c r="H1662" s="2"/>
      <c r="I1662">
        <v>4</v>
      </c>
      <c r="J1662">
        <v>1</v>
      </c>
      <c r="K1662">
        <v>0</v>
      </c>
      <c r="L1662" s="1" t="s">
        <v>26</v>
      </c>
      <c r="M1662">
        <v>6.9</v>
      </c>
      <c r="N1662">
        <v>22952.29</v>
      </c>
      <c r="O1662">
        <v>3341146.42</v>
      </c>
      <c r="P1662">
        <v>365325.54</v>
      </c>
      <c r="Q1662" s="1" t="s">
        <v>5295</v>
      </c>
      <c r="R1662">
        <v>20</v>
      </c>
      <c r="S1662" s="1" t="s">
        <v>5296</v>
      </c>
      <c r="T1662" t="b">
        <v>0</v>
      </c>
    </row>
    <row r="1663" spans="1:20" x14ac:dyDescent="0.25">
      <c r="A1663" s="1" t="s">
        <v>5297</v>
      </c>
      <c r="B1663" s="1" t="s">
        <v>148</v>
      </c>
      <c r="C1663" s="1" t="s">
        <v>685</v>
      </c>
      <c r="D1663" s="1" t="s">
        <v>350</v>
      </c>
      <c r="E1663" s="1" t="s">
        <v>49</v>
      </c>
      <c r="F1663" s="1" t="s">
        <v>34</v>
      </c>
      <c r="G1663" s="2">
        <v>45607</v>
      </c>
      <c r="H1663" s="2"/>
      <c r="I1663">
        <v>25</v>
      </c>
      <c r="J1663">
        <v>19</v>
      </c>
      <c r="K1663">
        <v>0</v>
      </c>
      <c r="L1663" s="1" t="s">
        <v>26</v>
      </c>
      <c r="M1663">
        <v>223.7</v>
      </c>
      <c r="N1663">
        <v>661415.76</v>
      </c>
      <c r="O1663">
        <v>929094.37</v>
      </c>
      <c r="P1663">
        <v>165849.13</v>
      </c>
      <c r="Q1663" s="1" t="s">
        <v>5298</v>
      </c>
      <c r="R1663">
        <v>78</v>
      </c>
      <c r="S1663" s="1" t="s">
        <v>5299</v>
      </c>
      <c r="T1663" t="b">
        <v>1</v>
      </c>
    </row>
    <row r="1664" spans="1:20" x14ac:dyDescent="0.25">
      <c r="A1664" s="1" t="s">
        <v>5300</v>
      </c>
      <c r="B1664" s="1" t="s">
        <v>545</v>
      </c>
      <c r="C1664" s="1" t="s">
        <v>2991</v>
      </c>
      <c r="D1664" s="1" t="s">
        <v>344</v>
      </c>
      <c r="E1664" s="1" t="s">
        <v>33</v>
      </c>
      <c r="F1664" s="1" t="s">
        <v>25</v>
      </c>
      <c r="G1664" s="2">
        <v>45497</v>
      </c>
      <c r="H1664" s="2">
        <v>45506</v>
      </c>
      <c r="I1664">
        <v>12</v>
      </c>
      <c r="J1664">
        <v>9</v>
      </c>
      <c r="K1664">
        <v>0</v>
      </c>
      <c r="L1664" s="1" t="s">
        <v>26</v>
      </c>
      <c r="M1664">
        <v>65.099999999999994</v>
      </c>
      <c r="N1664">
        <v>181368.37</v>
      </c>
      <c r="O1664">
        <v>3973442.48</v>
      </c>
      <c r="P1664">
        <v>745562.47</v>
      </c>
      <c r="Q1664" s="1" t="s">
        <v>5301</v>
      </c>
      <c r="R1664">
        <v>33</v>
      </c>
      <c r="S1664" s="1" t="s">
        <v>5302</v>
      </c>
      <c r="T1664" t="b">
        <v>0</v>
      </c>
    </row>
    <row r="1665" spans="1:20" x14ac:dyDescent="0.25">
      <c r="A1665" s="1" t="s">
        <v>5303</v>
      </c>
      <c r="B1665" s="1" t="s">
        <v>348</v>
      </c>
      <c r="C1665" s="1" t="s">
        <v>428</v>
      </c>
      <c r="D1665" s="1" t="s">
        <v>297</v>
      </c>
      <c r="E1665" s="1" t="s">
        <v>49</v>
      </c>
      <c r="F1665" s="1" t="s">
        <v>25</v>
      </c>
      <c r="G1665" s="2">
        <v>44575</v>
      </c>
      <c r="H1665" s="2">
        <v>44587</v>
      </c>
      <c r="I1665">
        <v>25</v>
      </c>
      <c r="J1665">
        <v>12</v>
      </c>
      <c r="K1665">
        <v>0</v>
      </c>
      <c r="L1665" s="1" t="s">
        <v>26</v>
      </c>
      <c r="M1665">
        <v>158.1</v>
      </c>
      <c r="N1665">
        <v>661144.42000000004</v>
      </c>
      <c r="O1665">
        <v>2924862.69</v>
      </c>
      <c r="P1665">
        <v>387469.26</v>
      </c>
      <c r="Q1665" s="1" t="s">
        <v>5304</v>
      </c>
      <c r="R1665">
        <v>43</v>
      </c>
      <c r="S1665" s="1" t="s">
        <v>5305</v>
      </c>
      <c r="T1665" t="b">
        <v>0</v>
      </c>
    </row>
    <row r="1666" spans="1:20" x14ac:dyDescent="0.25">
      <c r="A1666" s="1" t="s">
        <v>5306</v>
      </c>
      <c r="B1666" s="1" t="s">
        <v>169</v>
      </c>
      <c r="C1666" s="1" t="s">
        <v>950</v>
      </c>
      <c r="D1666" s="1" t="s">
        <v>410</v>
      </c>
      <c r="E1666" s="1" t="s">
        <v>57</v>
      </c>
      <c r="F1666" s="1" t="s">
        <v>66</v>
      </c>
      <c r="G1666" s="2">
        <v>45529</v>
      </c>
      <c r="H1666" s="2"/>
      <c r="I1666">
        <v>40</v>
      </c>
      <c r="J1666">
        <v>45</v>
      </c>
      <c r="K1666">
        <v>5</v>
      </c>
      <c r="L1666" s="1" t="s">
        <v>26</v>
      </c>
      <c r="M1666">
        <v>365.8</v>
      </c>
      <c r="N1666">
        <v>1043119.06</v>
      </c>
      <c r="O1666">
        <v>583269.6</v>
      </c>
      <c r="P1666">
        <v>192900.17</v>
      </c>
      <c r="Q1666" s="1" t="s">
        <v>5307</v>
      </c>
      <c r="R1666">
        <v>68</v>
      </c>
      <c r="S1666" s="1" t="s">
        <v>5308</v>
      </c>
      <c r="T1666" t="b">
        <v>0</v>
      </c>
    </row>
    <row r="1667" spans="1:20" x14ac:dyDescent="0.25">
      <c r="A1667" s="1" t="s">
        <v>5309</v>
      </c>
      <c r="B1667" s="1" t="s">
        <v>93</v>
      </c>
      <c r="C1667" s="1" t="s">
        <v>1827</v>
      </c>
      <c r="D1667" s="1" t="s">
        <v>56</v>
      </c>
      <c r="E1667" s="1" t="s">
        <v>65</v>
      </c>
      <c r="F1667" s="1" t="s">
        <v>25</v>
      </c>
      <c r="G1667" s="2">
        <v>44851</v>
      </c>
      <c r="H1667" s="2">
        <v>44857</v>
      </c>
      <c r="I1667">
        <v>4</v>
      </c>
      <c r="J1667">
        <v>6</v>
      </c>
      <c r="K1667">
        <v>1.5</v>
      </c>
      <c r="L1667" s="1" t="s">
        <v>26</v>
      </c>
      <c r="M1667">
        <v>52.9</v>
      </c>
      <c r="N1667">
        <v>114426.64</v>
      </c>
      <c r="O1667">
        <v>2014607.79</v>
      </c>
      <c r="P1667">
        <v>389438.96</v>
      </c>
      <c r="Q1667" s="1" t="s">
        <v>5310</v>
      </c>
      <c r="R1667">
        <v>43</v>
      </c>
      <c r="S1667" s="1" t="s">
        <v>5311</v>
      </c>
      <c r="T1667" t="b">
        <v>0</v>
      </c>
    </row>
    <row r="1668" spans="1:20" x14ac:dyDescent="0.25">
      <c r="A1668" s="1" t="s">
        <v>5312</v>
      </c>
      <c r="B1668" s="1" t="s">
        <v>70</v>
      </c>
      <c r="C1668" s="1" t="s">
        <v>3924</v>
      </c>
      <c r="D1668" s="1" t="s">
        <v>89</v>
      </c>
      <c r="E1668" s="1" t="s">
        <v>65</v>
      </c>
      <c r="F1668" s="1" t="s">
        <v>25</v>
      </c>
      <c r="G1668" s="2">
        <v>44986</v>
      </c>
      <c r="H1668" s="2">
        <v>44990</v>
      </c>
      <c r="I1668">
        <v>4</v>
      </c>
      <c r="J1668">
        <v>4</v>
      </c>
      <c r="K1668">
        <v>0</v>
      </c>
      <c r="L1668" s="1" t="s">
        <v>26</v>
      </c>
      <c r="M1668">
        <v>42.1</v>
      </c>
      <c r="N1668">
        <v>172635.08</v>
      </c>
      <c r="O1668">
        <v>2394358.5699999998</v>
      </c>
      <c r="P1668">
        <v>330242.58</v>
      </c>
      <c r="Q1668" s="1" t="s">
        <v>5313</v>
      </c>
      <c r="R1668">
        <v>61</v>
      </c>
      <c r="S1668" s="1" t="s">
        <v>5314</v>
      </c>
      <c r="T1668" t="b">
        <v>0</v>
      </c>
    </row>
    <row r="1669" spans="1:20" x14ac:dyDescent="0.25">
      <c r="A1669" s="1" t="s">
        <v>5315</v>
      </c>
      <c r="B1669" s="1" t="s">
        <v>105</v>
      </c>
      <c r="C1669" s="1" t="s">
        <v>287</v>
      </c>
      <c r="D1669" s="1" t="s">
        <v>165</v>
      </c>
      <c r="E1669" s="1" t="s">
        <v>33</v>
      </c>
      <c r="F1669" s="1" t="s">
        <v>25</v>
      </c>
      <c r="G1669" s="2">
        <v>45341</v>
      </c>
      <c r="H1669" s="2">
        <v>45351</v>
      </c>
      <c r="I1669">
        <v>12</v>
      </c>
      <c r="J1669">
        <v>10</v>
      </c>
      <c r="K1669">
        <v>0</v>
      </c>
      <c r="L1669" s="1" t="s">
        <v>26</v>
      </c>
      <c r="M1669">
        <v>134.5</v>
      </c>
      <c r="N1669">
        <v>563758.79</v>
      </c>
      <c r="O1669">
        <v>887784.69</v>
      </c>
      <c r="P1669">
        <v>206737.96</v>
      </c>
      <c r="Q1669" s="1" t="s">
        <v>3588</v>
      </c>
      <c r="R1669">
        <v>49</v>
      </c>
      <c r="S1669" s="1" t="s">
        <v>5316</v>
      </c>
      <c r="T1669" t="b">
        <v>0</v>
      </c>
    </row>
    <row r="1670" spans="1:20" x14ac:dyDescent="0.25">
      <c r="A1670" s="1" t="s">
        <v>5317</v>
      </c>
      <c r="B1670" s="1" t="s">
        <v>122</v>
      </c>
      <c r="C1670" s="1" t="s">
        <v>2485</v>
      </c>
      <c r="D1670" s="1" t="s">
        <v>372</v>
      </c>
      <c r="E1670" s="1" t="s">
        <v>41</v>
      </c>
      <c r="F1670" s="1" t="s">
        <v>25</v>
      </c>
      <c r="G1670" s="2">
        <v>44760</v>
      </c>
      <c r="H1670" s="2">
        <v>44765</v>
      </c>
      <c r="I1670">
        <v>9</v>
      </c>
      <c r="J1670">
        <v>5</v>
      </c>
      <c r="K1670">
        <v>0</v>
      </c>
      <c r="L1670" s="1" t="s">
        <v>26</v>
      </c>
      <c r="M1670">
        <v>57.6</v>
      </c>
      <c r="N1670">
        <v>119584.42</v>
      </c>
      <c r="O1670">
        <v>935988.44</v>
      </c>
      <c r="P1670">
        <v>159534.92000000001</v>
      </c>
      <c r="Q1670" s="1" t="s">
        <v>5318</v>
      </c>
      <c r="R1670">
        <v>76</v>
      </c>
      <c r="S1670" s="1" t="s">
        <v>5319</v>
      </c>
      <c r="T1670" t="b">
        <v>0</v>
      </c>
    </row>
    <row r="1671" spans="1:20" x14ac:dyDescent="0.25">
      <c r="A1671" s="1" t="s">
        <v>5320</v>
      </c>
      <c r="B1671" s="1" t="s">
        <v>54</v>
      </c>
      <c r="C1671" s="1" t="s">
        <v>215</v>
      </c>
      <c r="D1671" s="1" t="s">
        <v>293</v>
      </c>
      <c r="E1671" s="1" t="s">
        <v>65</v>
      </c>
      <c r="F1671" s="1" t="s">
        <v>25</v>
      </c>
      <c r="G1671" s="2">
        <v>45098</v>
      </c>
      <c r="H1671" s="2">
        <v>45103</v>
      </c>
      <c r="I1671">
        <v>4</v>
      </c>
      <c r="J1671">
        <v>5</v>
      </c>
      <c r="K1671">
        <v>0.5</v>
      </c>
      <c r="L1671" s="1" t="s">
        <v>26</v>
      </c>
      <c r="M1671">
        <v>43.3</v>
      </c>
      <c r="N1671">
        <v>122027.66</v>
      </c>
      <c r="O1671">
        <v>4885017.3499999996</v>
      </c>
      <c r="P1671">
        <v>694727.08</v>
      </c>
      <c r="Q1671" s="1" t="s">
        <v>5321</v>
      </c>
      <c r="R1671">
        <v>55</v>
      </c>
      <c r="S1671" s="1" t="s">
        <v>5322</v>
      </c>
      <c r="T1671" t="b">
        <v>1</v>
      </c>
    </row>
    <row r="1672" spans="1:20" x14ac:dyDescent="0.25">
      <c r="A1672" s="1" t="s">
        <v>5323</v>
      </c>
      <c r="B1672" s="1" t="s">
        <v>158</v>
      </c>
      <c r="C1672" s="1" t="s">
        <v>4940</v>
      </c>
      <c r="D1672" s="1" t="s">
        <v>420</v>
      </c>
      <c r="E1672" s="1" t="s">
        <v>33</v>
      </c>
      <c r="F1672" s="1" t="s">
        <v>25</v>
      </c>
      <c r="G1672" s="2">
        <v>44568</v>
      </c>
      <c r="H1672" s="2">
        <v>44582</v>
      </c>
      <c r="I1672">
        <v>12</v>
      </c>
      <c r="J1672">
        <v>14</v>
      </c>
      <c r="K1672">
        <v>2</v>
      </c>
      <c r="L1672" s="1" t="s">
        <v>26</v>
      </c>
      <c r="M1672">
        <v>92.9</v>
      </c>
      <c r="N1672">
        <v>338514.67</v>
      </c>
      <c r="O1672">
        <v>4603465.24</v>
      </c>
      <c r="P1672">
        <v>606794.75</v>
      </c>
      <c r="Q1672" s="1" t="s">
        <v>5324</v>
      </c>
      <c r="R1672">
        <v>31</v>
      </c>
      <c r="S1672" s="1" t="s">
        <v>5325</v>
      </c>
      <c r="T1672" t="b">
        <v>1</v>
      </c>
    </row>
    <row r="1673" spans="1:20" x14ac:dyDescent="0.25">
      <c r="A1673" s="1" t="s">
        <v>5326</v>
      </c>
      <c r="B1673" s="1" t="s">
        <v>62</v>
      </c>
      <c r="C1673" s="1" t="s">
        <v>197</v>
      </c>
      <c r="D1673" s="1" t="s">
        <v>288</v>
      </c>
      <c r="E1673" s="1" t="s">
        <v>41</v>
      </c>
      <c r="F1673" s="1" t="s">
        <v>34</v>
      </c>
      <c r="G1673" s="2">
        <v>44794</v>
      </c>
      <c r="H1673" s="2"/>
      <c r="I1673">
        <v>9</v>
      </c>
      <c r="J1673">
        <v>5</v>
      </c>
      <c r="K1673">
        <v>0</v>
      </c>
      <c r="L1673" s="1" t="s">
        <v>26</v>
      </c>
      <c r="M1673">
        <v>49</v>
      </c>
      <c r="N1673">
        <v>95827.24</v>
      </c>
      <c r="O1673">
        <v>1655854.47</v>
      </c>
      <c r="P1673">
        <v>214240.17</v>
      </c>
      <c r="Q1673" s="1" t="s">
        <v>1915</v>
      </c>
      <c r="R1673">
        <v>79</v>
      </c>
      <c r="S1673" s="1" t="s">
        <v>5327</v>
      </c>
      <c r="T1673" t="b">
        <v>1</v>
      </c>
    </row>
    <row r="1674" spans="1:20" x14ac:dyDescent="0.25">
      <c r="A1674" s="1" t="s">
        <v>5328</v>
      </c>
      <c r="B1674" s="1" t="s">
        <v>105</v>
      </c>
      <c r="C1674" s="1" t="s">
        <v>590</v>
      </c>
      <c r="D1674" s="1" t="s">
        <v>410</v>
      </c>
      <c r="E1674" s="1" t="s">
        <v>33</v>
      </c>
      <c r="F1674" s="1" t="s">
        <v>66</v>
      </c>
      <c r="G1674" s="2">
        <v>44754</v>
      </c>
      <c r="H1674" s="2"/>
      <c r="I1674">
        <v>12</v>
      </c>
      <c r="J1674">
        <v>13</v>
      </c>
      <c r="K1674">
        <v>1</v>
      </c>
      <c r="L1674" s="1" t="s">
        <v>26</v>
      </c>
      <c r="M1674">
        <v>78.599999999999994</v>
      </c>
      <c r="N1674">
        <v>250468.34</v>
      </c>
      <c r="O1674">
        <v>1411021.41</v>
      </c>
      <c r="P1674">
        <v>186764.28</v>
      </c>
      <c r="Q1674" s="1" t="s">
        <v>5329</v>
      </c>
      <c r="R1674">
        <v>57</v>
      </c>
      <c r="S1674" s="1" t="s">
        <v>5330</v>
      </c>
      <c r="T1674" t="b">
        <v>0</v>
      </c>
    </row>
    <row r="1675" spans="1:20" x14ac:dyDescent="0.25">
      <c r="A1675" s="1" t="s">
        <v>5331</v>
      </c>
      <c r="B1675" s="1" t="s">
        <v>220</v>
      </c>
      <c r="C1675" s="1" t="s">
        <v>2113</v>
      </c>
      <c r="D1675" s="1" t="s">
        <v>320</v>
      </c>
      <c r="E1675" s="1" t="s">
        <v>65</v>
      </c>
      <c r="F1675" s="1" t="s">
        <v>25</v>
      </c>
      <c r="G1675" s="2">
        <v>44671</v>
      </c>
      <c r="H1675" s="2">
        <v>44679</v>
      </c>
      <c r="I1675">
        <v>4</v>
      </c>
      <c r="J1675">
        <v>8</v>
      </c>
      <c r="K1675">
        <v>3.5</v>
      </c>
      <c r="L1675" s="1" t="s">
        <v>330</v>
      </c>
      <c r="M1675">
        <v>82.5</v>
      </c>
      <c r="N1675">
        <v>310906.65000000002</v>
      </c>
      <c r="O1675">
        <v>4184190.78</v>
      </c>
      <c r="P1675">
        <v>683542.39</v>
      </c>
      <c r="Q1675" s="1" t="s">
        <v>4958</v>
      </c>
      <c r="R1675">
        <v>58</v>
      </c>
      <c r="S1675" s="1" t="s">
        <v>5332</v>
      </c>
      <c r="T1675" t="b">
        <v>1</v>
      </c>
    </row>
    <row r="1676" spans="1:20" x14ac:dyDescent="0.25">
      <c r="A1676" s="1" t="s">
        <v>5333</v>
      </c>
      <c r="B1676" s="1" t="s">
        <v>358</v>
      </c>
      <c r="C1676" s="1" t="s">
        <v>409</v>
      </c>
      <c r="D1676" s="1" t="s">
        <v>288</v>
      </c>
      <c r="E1676" s="1" t="s">
        <v>57</v>
      </c>
      <c r="F1676" s="1" t="s">
        <v>50</v>
      </c>
      <c r="G1676" s="2">
        <v>45208</v>
      </c>
      <c r="H1676" s="2"/>
      <c r="I1676">
        <v>40</v>
      </c>
      <c r="J1676">
        <v>28</v>
      </c>
      <c r="K1676">
        <v>0</v>
      </c>
      <c r="L1676" s="1" t="s">
        <v>26</v>
      </c>
      <c r="M1676">
        <v>147.80000000000001</v>
      </c>
      <c r="N1676">
        <v>315618.74</v>
      </c>
      <c r="O1676">
        <v>1403005.15</v>
      </c>
      <c r="P1676">
        <v>318575.69</v>
      </c>
      <c r="Q1676" s="1" t="s">
        <v>5310</v>
      </c>
      <c r="R1676">
        <v>26</v>
      </c>
      <c r="S1676" s="1" t="s">
        <v>5334</v>
      </c>
      <c r="T1676" t="b">
        <v>1</v>
      </c>
    </row>
    <row r="1677" spans="1:20" x14ac:dyDescent="0.25">
      <c r="A1677" s="1" t="s">
        <v>5335</v>
      </c>
      <c r="B1677" s="1" t="s">
        <v>38</v>
      </c>
      <c r="C1677" s="1" t="s">
        <v>123</v>
      </c>
      <c r="D1677" s="1" t="s">
        <v>244</v>
      </c>
      <c r="E1677" s="1" t="s">
        <v>65</v>
      </c>
      <c r="F1677" s="1" t="s">
        <v>25</v>
      </c>
      <c r="G1677" s="2">
        <v>44581</v>
      </c>
      <c r="H1677" s="2">
        <v>44589</v>
      </c>
      <c r="I1677">
        <v>4</v>
      </c>
      <c r="J1677">
        <v>8</v>
      </c>
      <c r="K1677">
        <v>3.5</v>
      </c>
      <c r="L1677" s="1" t="s">
        <v>58</v>
      </c>
      <c r="M1677">
        <v>52.3</v>
      </c>
      <c r="N1677">
        <v>207219.37</v>
      </c>
      <c r="O1677">
        <v>4272238.1900000004</v>
      </c>
      <c r="P1677">
        <v>835534.12</v>
      </c>
      <c r="Q1677" s="1" t="s">
        <v>542</v>
      </c>
      <c r="R1677">
        <v>26</v>
      </c>
      <c r="S1677" s="1" t="s">
        <v>5336</v>
      </c>
      <c r="T1677" t="b">
        <v>1</v>
      </c>
    </row>
    <row r="1678" spans="1:20" x14ac:dyDescent="0.25">
      <c r="A1678" s="1" t="s">
        <v>5337</v>
      </c>
      <c r="B1678" s="1" t="s">
        <v>38</v>
      </c>
      <c r="C1678" s="1" t="s">
        <v>3924</v>
      </c>
      <c r="D1678" s="1" t="s">
        <v>263</v>
      </c>
      <c r="E1678" s="1" t="s">
        <v>24</v>
      </c>
      <c r="F1678" s="1" t="s">
        <v>50</v>
      </c>
      <c r="G1678" s="2">
        <v>45506</v>
      </c>
      <c r="H1678" s="2"/>
      <c r="I1678">
        <v>3</v>
      </c>
      <c r="J1678">
        <v>3</v>
      </c>
      <c r="K1678">
        <v>0</v>
      </c>
      <c r="L1678" s="1" t="s">
        <v>26</v>
      </c>
      <c r="M1678">
        <v>28.2</v>
      </c>
      <c r="N1678">
        <v>64313.57</v>
      </c>
      <c r="O1678">
        <v>4335002.8600000003</v>
      </c>
      <c r="P1678">
        <v>622247.12</v>
      </c>
      <c r="Q1678" s="1" t="s">
        <v>5338</v>
      </c>
      <c r="R1678">
        <v>78</v>
      </c>
      <c r="S1678" s="1" t="s">
        <v>5339</v>
      </c>
      <c r="T1678" t="b">
        <v>1</v>
      </c>
    </row>
    <row r="1679" spans="1:20" x14ac:dyDescent="0.25">
      <c r="A1679" s="1" t="s">
        <v>5340</v>
      </c>
      <c r="B1679" s="1" t="s">
        <v>174</v>
      </c>
      <c r="C1679" s="1" t="s">
        <v>986</v>
      </c>
      <c r="D1679" s="1" t="s">
        <v>1022</v>
      </c>
      <c r="E1679" s="1" t="s">
        <v>49</v>
      </c>
      <c r="F1679" s="1" t="s">
        <v>50</v>
      </c>
      <c r="G1679" s="2">
        <v>44743</v>
      </c>
      <c r="H1679" s="2"/>
      <c r="I1679">
        <v>25</v>
      </c>
      <c r="J1679">
        <v>38</v>
      </c>
      <c r="K1679">
        <v>13</v>
      </c>
      <c r="L1679" s="1" t="s">
        <v>26</v>
      </c>
      <c r="M1679">
        <v>248.3</v>
      </c>
      <c r="N1679">
        <v>1018763.26</v>
      </c>
      <c r="O1679">
        <v>3555531.44</v>
      </c>
      <c r="P1679">
        <v>753967.39</v>
      </c>
      <c r="Q1679" s="1" t="s">
        <v>5341</v>
      </c>
      <c r="R1679">
        <v>68</v>
      </c>
      <c r="S1679" s="1" t="s">
        <v>5342</v>
      </c>
      <c r="T1679" t="b">
        <v>1</v>
      </c>
    </row>
    <row r="1680" spans="1:20" x14ac:dyDescent="0.25">
      <c r="A1680" s="1" t="s">
        <v>5343</v>
      </c>
      <c r="B1680" s="1" t="s">
        <v>111</v>
      </c>
      <c r="C1680" s="1" t="s">
        <v>2485</v>
      </c>
      <c r="D1680" s="1" t="s">
        <v>181</v>
      </c>
      <c r="E1680" s="1" t="s">
        <v>65</v>
      </c>
      <c r="F1680" s="1" t="s">
        <v>25</v>
      </c>
      <c r="G1680" s="2">
        <v>44588</v>
      </c>
      <c r="H1680" s="2">
        <v>44595</v>
      </c>
      <c r="I1680">
        <v>4</v>
      </c>
      <c r="J1680">
        <v>7</v>
      </c>
      <c r="K1680">
        <v>2.5</v>
      </c>
      <c r="L1680" s="1" t="s">
        <v>26</v>
      </c>
      <c r="M1680">
        <v>111.3</v>
      </c>
      <c r="N1680">
        <v>304935.21000000002</v>
      </c>
      <c r="O1680">
        <v>3978769.61</v>
      </c>
      <c r="P1680">
        <v>726348.13</v>
      </c>
      <c r="Q1680" s="1" t="s">
        <v>5344</v>
      </c>
      <c r="R1680">
        <v>27</v>
      </c>
      <c r="S1680" s="1" t="s">
        <v>5345</v>
      </c>
      <c r="T1680" t="b">
        <v>1</v>
      </c>
    </row>
    <row r="1681" spans="1:20" x14ac:dyDescent="0.25">
      <c r="A1681" s="1" t="s">
        <v>5346</v>
      </c>
      <c r="B1681" s="1" t="s">
        <v>451</v>
      </c>
      <c r="C1681" s="1" t="s">
        <v>63</v>
      </c>
      <c r="D1681" s="1" t="s">
        <v>72</v>
      </c>
      <c r="E1681" s="1" t="s">
        <v>65</v>
      </c>
      <c r="F1681" s="1" t="s">
        <v>66</v>
      </c>
      <c r="G1681" s="2">
        <v>44719</v>
      </c>
      <c r="H1681" s="2"/>
      <c r="I1681">
        <v>4</v>
      </c>
      <c r="J1681">
        <v>6</v>
      </c>
      <c r="K1681">
        <v>1.5</v>
      </c>
      <c r="L1681" s="1" t="s">
        <v>26</v>
      </c>
      <c r="M1681">
        <v>43.3</v>
      </c>
      <c r="N1681">
        <v>82222.53</v>
      </c>
      <c r="O1681">
        <v>4240944.76</v>
      </c>
      <c r="P1681">
        <v>566539.09</v>
      </c>
      <c r="Q1681" s="1" t="s">
        <v>5347</v>
      </c>
      <c r="R1681">
        <v>42</v>
      </c>
      <c r="S1681" s="1" t="s">
        <v>5348</v>
      </c>
      <c r="T1681" t="b">
        <v>0</v>
      </c>
    </row>
    <row r="1682" spans="1:20" x14ac:dyDescent="0.25">
      <c r="A1682" s="1" t="s">
        <v>5349</v>
      </c>
      <c r="B1682" s="1" t="s">
        <v>220</v>
      </c>
      <c r="C1682" s="1" t="s">
        <v>143</v>
      </c>
      <c r="D1682" s="1" t="s">
        <v>40</v>
      </c>
      <c r="E1682" s="1" t="s">
        <v>49</v>
      </c>
      <c r="F1682" s="1" t="s">
        <v>50</v>
      </c>
      <c r="G1682" s="2">
        <v>45322</v>
      </c>
      <c r="H1682" s="2"/>
      <c r="I1682">
        <v>25</v>
      </c>
      <c r="J1682">
        <v>20</v>
      </c>
      <c r="K1682">
        <v>0</v>
      </c>
      <c r="L1682" s="1" t="s">
        <v>26</v>
      </c>
      <c r="M1682">
        <v>200.8</v>
      </c>
      <c r="N1682">
        <v>546721.21</v>
      </c>
      <c r="O1682">
        <v>2111278.87</v>
      </c>
      <c r="P1682">
        <v>523010.92</v>
      </c>
      <c r="Q1682" s="1" t="s">
        <v>5350</v>
      </c>
      <c r="R1682">
        <v>73</v>
      </c>
      <c r="S1682" s="1" t="s">
        <v>5351</v>
      </c>
      <c r="T1682" t="b">
        <v>1</v>
      </c>
    </row>
    <row r="1683" spans="1:20" x14ac:dyDescent="0.25">
      <c r="A1683" s="1" t="s">
        <v>5352</v>
      </c>
      <c r="B1683" s="1" t="s">
        <v>228</v>
      </c>
      <c r="C1683" s="1" t="s">
        <v>757</v>
      </c>
      <c r="D1683" s="1" t="s">
        <v>230</v>
      </c>
      <c r="E1683" s="1" t="s">
        <v>65</v>
      </c>
      <c r="F1683" s="1" t="s">
        <v>50</v>
      </c>
      <c r="G1683" s="2">
        <v>44875</v>
      </c>
      <c r="H1683" s="2"/>
      <c r="I1683">
        <v>4</v>
      </c>
      <c r="J1683">
        <v>5</v>
      </c>
      <c r="K1683">
        <v>0.5</v>
      </c>
      <c r="L1683" s="1" t="s">
        <v>26</v>
      </c>
      <c r="M1683">
        <v>80</v>
      </c>
      <c r="N1683">
        <v>191050.69</v>
      </c>
      <c r="O1683">
        <v>3164266.68</v>
      </c>
      <c r="P1683">
        <v>384351.58</v>
      </c>
      <c r="Q1683" s="1" t="s">
        <v>5353</v>
      </c>
      <c r="R1683">
        <v>71</v>
      </c>
      <c r="S1683" s="1" t="s">
        <v>5354</v>
      </c>
      <c r="T1683" t="b">
        <v>0</v>
      </c>
    </row>
    <row r="1684" spans="1:20" x14ac:dyDescent="0.25">
      <c r="A1684" s="1" t="s">
        <v>5355</v>
      </c>
      <c r="B1684" s="1" t="s">
        <v>242</v>
      </c>
      <c r="C1684" s="1" t="s">
        <v>1021</v>
      </c>
      <c r="D1684" s="1" t="s">
        <v>32</v>
      </c>
      <c r="E1684" s="1" t="s">
        <v>49</v>
      </c>
      <c r="F1684" s="1" t="s">
        <v>34</v>
      </c>
      <c r="G1684" s="2">
        <v>44704</v>
      </c>
      <c r="H1684" s="2"/>
      <c r="I1684">
        <v>25</v>
      </c>
      <c r="J1684">
        <v>33</v>
      </c>
      <c r="K1684">
        <v>8</v>
      </c>
      <c r="L1684" s="1" t="s">
        <v>42</v>
      </c>
      <c r="M1684">
        <v>205</v>
      </c>
      <c r="N1684">
        <v>677660.09</v>
      </c>
      <c r="O1684">
        <v>4392055.6500000004</v>
      </c>
      <c r="P1684">
        <v>826034.28</v>
      </c>
      <c r="Q1684" s="1" t="s">
        <v>5356</v>
      </c>
      <c r="R1684">
        <v>46</v>
      </c>
      <c r="S1684" s="1" t="s">
        <v>5357</v>
      </c>
      <c r="T1684" t="b">
        <v>1</v>
      </c>
    </row>
    <row r="1685" spans="1:20" x14ac:dyDescent="0.25">
      <c r="A1685" s="1" t="s">
        <v>5358</v>
      </c>
      <c r="B1685" s="1" t="s">
        <v>242</v>
      </c>
      <c r="C1685" s="1" t="s">
        <v>31</v>
      </c>
      <c r="D1685" s="1" t="s">
        <v>336</v>
      </c>
      <c r="E1685" s="1" t="s">
        <v>41</v>
      </c>
      <c r="F1685" s="1" t="s">
        <v>25</v>
      </c>
      <c r="G1685" s="2">
        <v>44779</v>
      </c>
      <c r="H1685" s="2">
        <v>44793</v>
      </c>
      <c r="I1685">
        <v>9</v>
      </c>
      <c r="J1685">
        <v>14</v>
      </c>
      <c r="K1685">
        <v>5</v>
      </c>
      <c r="L1685" s="1" t="s">
        <v>330</v>
      </c>
      <c r="M1685">
        <v>87.6</v>
      </c>
      <c r="N1685">
        <v>349520.92</v>
      </c>
      <c r="O1685">
        <v>616356.30000000005</v>
      </c>
      <c r="P1685">
        <v>148938.26999999999</v>
      </c>
      <c r="Q1685" s="1" t="s">
        <v>2427</v>
      </c>
      <c r="R1685">
        <v>33</v>
      </c>
      <c r="S1685" s="1" t="s">
        <v>5359</v>
      </c>
      <c r="T1685" t="b">
        <v>0</v>
      </c>
    </row>
    <row r="1686" spans="1:20" x14ac:dyDescent="0.25">
      <c r="A1686" s="1" t="s">
        <v>5360</v>
      </c>
      <c r="B1686" s="1" t="s">
        <v>21</v>
      </c>
      <c r="C1686" s="1" t="s">
        <v>517</v>
      </c>
      <c r="D1686" s="1" t="s">
        <v>187</v>
      </c>
      <c r="E1686" s="1" t="s">
        <v>57</v>
      </c>
      <c r="F1686" s="1" t="s">
        <v>25</v>
      </c>
      <c r="G1686" s="2">
        <v>45213</v>
      </c>
      <c r="H1686" s="2">
        <v>45253</v>
      </c>
      <c r="I1686">
        <v>40</v>
      </c>
      <c r="J1686">
        <v>40</v>
      </c>
      <c r="K1686">
        <v>0</v>
      </c>
      <c r="L1686" s="1" t="s">
        <v>26</v>
      </c>
      <c r="M1686">
        <v>347</v>
      </c>
      <c r="N1686">
        <v>1351616.48</v>
      </c>
      <c r="O1686">
        <v>3019507.65</v>
      </c>
      <c r="P1686">
        <v>440905.22</v>
      </c>
      <c r="Q1686" s="1" t="s">
        <v>4492</v>
      </c>
      <c r="R1686">
        <v>67</v>
      </c>
      <c r="S1686" s="1" t="s">
        <v>5361</v>
      </c>
      <c r="T1686" t="b">
        <v>0</v>
      </c>
    </row>
    <row r="1687" spans="1:20" x14ac:dyDescent="0.25">
      <c r="A1687" s="1" t="s">
        <v>5362</v>
      </c>
      <c r="B1687" s="1" t="s">
        <v>138</v>
      </c>
      <c r="C1687" s="1" t="s">
        <v>1267</v>
      </c>
      <c r="D1687" s="1" t="s">
        <v>288</v>
      </c>
      <c r="E1687" s="1" t="s">
        <v>41</v>
      </c>
      <c r="F1687" s="1" t="s">
        <v>66</v>
      </c>
      <c r="G1687" s="2">
        <v>44656</v>
      </c>
      <c r="H1687" s="2"/>
      <c r="I1687">
        <v>9</v>
      </c>
      <c r="J1687">
        <v>9</v>
      </c>
      <c r="K1687">
        <v>0</v>
      </c>
      <c r="L1687" s="1" t="s">
        <v>26</v>
      </c>
      <c r="M1687">
        <v>111.1</v>
      </c>
      <c r="N1687">
        <v>291726.98</v>
      </c>
      <c r="O1687">
        <v>4410827.13</v>
      </c>
      <c r="P1687">
        <v>742671.95</v>
      </c>
      <c r="Q1687" s="1" t="s">
        <v>5363</v>
      </c>
      <c r="R1687">
        <v>59</v>
      </c>
      <c r="S1687" s="1" t="s">
        <v>5364</v>
      </c>
      <c r="T1687" t="b">
        <v>1</v>
      </c>
    </row>
    <row r="1688" spans="1:20" x14ac:dyDescent="0.25">
      <c r="A1688" s="1" t="s">
        <v>5365</v>
      </c>
      <c r="B1688" s="1" t="s">
        <v>76</v>
      </c>
      <c r="C1688" s="1" t="s">
        <v>215</v>
      </c>
      <c r="D1688" s="1" t="s">
        <v>320</v>
      </c>
      <c r="E1688" s="1" t="s">
        <v>65</v>
      </c>
      <c r="F1688" s="1" t="s">
        <v>25</v>
      </c>
      <c r="G1688" s="2">
        <v>44782</v>
      </c>
      <c r="H1688" s="2">
        <v>44786</v>
      </c>
      <c r="I1688">
        <v>4</v>
      </c>
      <c r="J1688">
        <v>4</v>
      </c>
      <c r="K1688">
        <v>0</v>
      </c>
      <c r="L1688" s="1" t="s">
        <v>26</v>
      </c>
      <c r="M1688">
        <v>31.8</v>
      </c>
      <c r="N1688">
        <v>138438.49</v>
      </c>
      <c r="O1688">
        <v>4629389.12</v>
      </c>
      <c r="P1688">
        <v>676334.01</v>
      </c>
      <c r="Q1688" s="1" t="s">
        <v>5366</v>
      </c>
      <c r="R1688">
        <v>50</v>
      </c>
      <c r="S1688" s="1" t="s">
        <v>5367</v>
      </c>
      <c r="T1688" t="b">
        <v>1</v>
      </c>
    </row>
    <row r="1689" spans="1:20" x14ac:dyDescent="0.25">
      <c r="A1689" s="1" t="s">
        <v>5368</v>
      </c>
      <c r="B1689" s="1" t="s">
        <v>328</v>
      </c>
      <c r="C1689" s="1" t="s">
        <v>730</v>
      </c>
      <c r="D1689" s="1" t="s">
        <v>315</v>
      </c>
      <c r="E1689" s="1" t="s">
        <v>65</v>
      </c>
      <c r="F1689" s="1" t="s">
        <v>25</v>
      </c>
      <c r="G1689" s="2">
        <v>45440</v>
      </c>
      <c r="H1689" s="2">
        <v>45448</v>
      </c>
      <c r="I1689">
        <v>4</v>
      </c>
      <c r="J1689">
        <v>8</v>
      </c>
      <c r="K1689">
        <v>3.5</v>
      </c>
      <c r="L1689" s="1" t="s">
        <v>193</v>
      </c>
      <c r="M1689">
        <v>98.5</v>
      </c>
      <c r="N1689">
        <v>209486.3</v>
      </c>
      <c r="O1689">
        <v>3287742.98</v>
      </c>
      <c r="P1689">
        <v>596841.49</v>
      </c>
      <c r="Q1689" s="1" t="s">
        <v>5369</v>
      </c>
      <c r="R1689">
        <v>30</v>
      </c>
      <c r="S1689" s="1" t="s">
        <v>5370</v>
      </c>
      <c r="T1689" t="b">
        <v>1</v>
      </c>
    </row>
    <row r="1690" spans="1:20" x14ac:dyDescent="0.25">
      <c r="A1690" s="1" t="s">
        <v>5371</v>
      </c>
      <c r="B1690" s="1" t="s">
        <v>629</v>
      </c>
      <c r="C1690" s="1" t="s">
        <v>1570</v>
      </c>
      <c r="D1690" s="1" t="s">
        <v>124</v>
      </c>
      <c r="E1690" s="1" t="s">
        <v>33</v>
      </c>
      <c r="F1690" s="1" t="s">
        <v>34</v>
      </c>
      <c r="G1690" s="2">
        <v>45115</v>
      </c>
      <c r="H1690" s="2"/>
      <c r="I1690">
        <v>12</v>
      </c>
      <c r="J1690">
        <v>15</v>
      </c>
      <c r="K1690">
        <v>3</v>
      </c>
      <c r="L1690" s="1" t="s">
        <v>26</v>
      </c>
      <c r="M1690">
        <v>154.5</v>
      </c>
      <c r="N1690">
        <v>608446.36</v>
      </c>
      <c r="O1690">
        <v>3612001.99</v>
      </c>
      <c r="P1690">
        <v>764221.23</v>
      </c>
      <c r="Q1690" s="1" t="s">
        <v>5372</v>
      </c>
      <c r="R1690">
        <v>35</v>
      </c>
      <c r="S1690" s="1" t="s">
        <v>5373</v>
      </c>
      <c r="T1690" t="b">
        <v>0</v>
      </c>
    </row>
    <row r="1691" spans="1:20" x14ac:dyDescent="0.25">
      <c r="A1691" s="1" t="s">
        <v>5374</v>
      </c>
      <c r="B1691" s="1" t="s">
        <v>99</v>
      </c>
      <c r="C1691" s="1" t="s">
        <v>455</v>
      </c>
      <c r="D1691" s="1" t="s">
        <v>306</v>
      </c>
      <c r="E1691" s="1" t="s">
        <v>24</v>
      </c>
      <c r="F1691" s="1" t="s">
        <v>25</v>
      </c>
      <c r="G1691" s="2">
        <v>45202</v>
      </c>
      <c r="H1691" s="2">
        <v>45203</v>
      </c>
      <c r="I1691">
        <v>3</v>
      </c>
      <c r="J1691">
        <v>1</v>
      </c>
      <c r="K1691">
        <v>0</v>
      </c>
      <c r="L1691" s="1" t="s">
        <v>26</v>
      </c>
      <c r="M1691">
        <v>14.7</v>
      </c>
      <c r="N1691">
        <v>30424.16</v>
      </c>
      <c r="O1691">
        <v>3956604.32</v>
      </c>
      <c r="P1691">
        <v>514402.14</v>
      </c>
      <c r="Q1691" s="1" t="s">
        <v>5375</v>
      </c>
      <c r="R1691">
        <v>62</v>
      </c>
      <c r="S1691" s="1" t="s">
        <v>5376</v>
      </c>
      <c r="T1691" t="b">
        <v>1</v>
      </c>
    </row>
    <row r="1692" spans="1:20" x14ac:dyDescent="0.25">
      <c r="A1692" s="1" t="s">
        <v>5377</v>
      </c>
      <c r="B1692" s="1" t="s">
        <v>158</v>
      </c>
      <c r="C1692" s="1" t="s">
        <v>1706</v>
      </c>
      <c r="D1692" s="1" t="s">
        <v>187</v>
      </c>
      <c r="E1692" s="1" t="s">
        <v>41</v>
      </c>
      <c r="F1692" s="1" t="s">
        <v>25</v>
      </c>
      <c r="G1692" s="2">
        <v>44884</v>
      </c>
      <c r="H1692" s="2">
        <v>44890</v>
      </c>
      <c r="I1692">
        <v>9</v>
      </c>
      <c r="J1692">
        <v>6</v>
      </c>
      <c r="K1692">
        <v>0</v>
      </c>
      <c r="L1692" s="1" t="s">
        <v>26</v>
      </c>
      <c r="M1692">
        <v>82.2</v>
      </c>
      <c r="N1692">
        <v>315288.94</v>
      </c>
      <c r="O1692">
        <v>46541.11</v>
      </c>
      <c r="P1692">
        <v>57926.2</v>
      </c>
      <c r="Q1692" s="1" t="s">
        <v>5378</v>
      </c>
      <c r="R1692">
        <v>67</v>
      </c>
      <c r="S1692" s="1" t="s">
        <v>5379</v>
      </c>
      <c r="T1692" t="b">
        <v>0</v>
      </c>
    </row>
    <row r="1693" spans="1:20" x14ac:dyDescent="0.25">
      <c r="A1693" s="1" t="s">
        <v>5380</v>
      </c>
      <c r="B1693" s="1" t="s">
        <v>253</v>
      </c>
      <c r="C1693" s="1" t="s">
        <v>717</v>
      </c>
      <c r="D1693" s="1" t="s">
        <v>713</v>
      </c>
      <c r="E1693" s="1" t="s">
        <v>24</v>
      </c>
      <c r="F1693" s="1" t="s">
        <v>25</v>
      </c>
      <c r="G1693" s="2">
        <v>44695</v>
      </c>
      <c r="H1693" s="2">
        <v>44698</v>
      </c>
      <c r="I1693">
        <v>3</v>
      </c>
      <c r="J1693">
        <v>3</v>
      </c>
      <c r="K1693">
        <v>0</v>
      </c>
      <c r="L1693" s="1" t="s">
        <v>26</v>
      </c>
      <c r="M1693">
        <v>12.3</v>
      </c>
      <c r="N1693">
        <v>48797.89</v>
      </c>
      <c r="O1693">
        <v>1432185.68</v>
      </c>
      <c r="P1693">
        <v>193850.28</v>
      </c>
      <c r="Q1693" s="1" t="s">
        <v>5381</v>
      </c>
      <c r="R1693">
        <v>32</v>
      </c>
      <c r="S1693" s="1" t="s">
        <v>5382</v>
      </c>
      <c r="T1693" t="b">
        <v>0</v>
      </c>
    </row>
    <row r="1694" spans="1:20" x14ac:dyDescent="0.25">
      <c r="A1694" s="1" t="s">
        <v>5383</v>
      </c>
      <c r="B1694" s="1" t="s">
        <v>46</v>
      </c>
      <c r="C1694" s="1" t="s">
        <v>2849</v>
      </c>
      <c r="D1694" s="1" t="s">
        <v>32</v>
      </c>
      <c r="E1694" s="1" t="s">
        <v>24</v>
      </c>
      <c r="F1694" s="1" t="s">
        <v>25</v>
      </c>
      <c r="G1694" s="2">
        <v>44641</v>
      </c>
      <c r="H1694" s="2">
        <v>44643</v>
      </c>
      <c r="I1694">
        <v>3</v>
      </c>
      <c r="J1694">
        <v>2</v>
      </c>
      <c r="K1694">
        <v>0</v>
      </c>
      <c r="L1694" s="1" t="s">
        <v>26</v>
      </c>
      <c r="M1694">
        <v>15.2</v>
      </c>
      <c r="N1694">
        <v>40689.300000000003</v>
      </c>
      <c r="O1694">
        <v>475760.13</v>
      </c>
      <c r="P1694">
        <v>84358.8</v>
      </c>
      <c r="Q1694" s="1" t="s">
        <v>5384</v>
      </c>
      <c r="R1694">
        <v>24</v>
      </c>
      <c r="S1694" s="1" t="s">
        <v>5385</v>
      </c>
      <c r="T1694" t="b">
        <v>1</v>
      </c>
    </row>
    <row r="1695" spans="1:20" x14ac:dyDescent="0.25">
      <c r="A1695" s="1" t="s">
        <v>5386</v>
      </c>
      <c r="B1695" s="1" t="s">
        <v>46</v>
      </c>
      <c r="C1695" s="1" t="s">
        <v>55</v>
      </c>
      <c r="D1695" s="1" t="s">
        <v>350</v>
      </c>
      <c r="E1695" s="1" t="s">
        <v>41</v>
      </c>
      <c r="F1695" s="1" t="s">
        <v>25</v>
      </c>
      <c r="G1695" s="2">
        <v>44617</v>
      </c>
      <c r="H1695" s="2">
        <v>44625</v>
      </c>
      <c r="I1695">
        <v>9</v>
      </c>
      <c r="J1695">
        <v>8</v>
      </c>
      <c r="K1695">
        <v>0</v>
      </c>
      <c r="L1695" s="1" t="s">
        <v>26</v>
      </c>
      <c r="M1695">
        <v>68.8</v>
      </c>
      <c r="N1695">
        <v>238361.58</v>
      </c>
      <c r="O1695">
        <v>914380.6</v>
      </c>
      <c r="P1695">
        <v>181892.02</v>
      </c>
      <c r="Q1695" s="1" t="s">
        <v>5387</v>
      </c>
      <c r="R1695">
        <v>44</v>
      </c>
      <c r="S1695" s="1" t="s">
        <v>5388</v>
      </c>
      <c r="T1695" t="b">
        <v>0</v>
      </c>
    </row>
    <row r="1696" spans="1:20" x14ac:dyDescent="0.25">
      <c r="A1696" s="1" t="s">
        <v>5389</v>
      </c>
      <c r="B1696" s="1" t="s">
        <v>185</v>
      </c>
      <c r="C1696" s="1" t="s">
        <v>827</v>
      </c>
      <c r="D1696" s="1" t="s">
        <v>670</v>
      </c>
      <c r="E1696" s="1" t="s">
        <v>49</v>
      </c>
      <c r="F1696" s="1" t="s">
        <v>34</v>
      </c>
      <c r="G1696" s="2">
        <v>45448</v>
      </c>
      <c r="H1696" s="2"/>
      <c r="I1696">
        <v>25</v>
      </c>
      <c r="J1696">
        <v>39</v>
      </c>
      <c r="K1696">
        <v>14</v>
      </c>
      <c r="L1696" s="1" t="s">
        <v>58</v>
      </c>
      <c r="M1696">
        <v>623.5</v>
      </c>
      <c r="N1696">
        <v>2132283.1</v>
      </c>
      <c r="O1696">
        <v>3879084.98</v>
      </c>
      <c r="P1696">
        <v>943693.06</v>
      </c>
      <c r="Q1696" s="1" t="s">
        <v>5390</v>
      </c>
      <c r="R1696">
        <v>73</v>
      </c>
      <c r="S1696" s="1" t="s">
        <v>5391</v>
      </c>
      <c r="T1696" t="b">
        <v>1</v>
      </c>
    </row>
    <row r="1697" spans="1:20" x14ac:dyDescent="0.25">
      <c r="A1697" s="1" t="s">
        <v>5392</v>
      </c>
      <c r="B1697" s="1" t="s">
        <v>471</v>
      </c>
      <c r="C1697" s="1" t="s">
        <v>229</v>
      </c>
      <c r="D1697" s="1" t="s">
        <v>192</v>
      </c>
      <c r="E1697" s="1" t="s">
        <v>49</v>
      </c>
      <c r="F1697" s="1" t="s">
        <v>34</v>
      </c>
      <c r="G1697" s="2">
        <v>44954</v>
      </c>
      <c r="H1697" s="2"/>
      <c r="I1697">
        <v>25</v>
      </c>
      <c r="J1697">
        <v>10</v>
      </c>
      <c r="K1697">
        <v>0</v>
      </c>
      <c r="L1697" s="1" t="s">
        <v>26</v>
      </c>
      <c r="M1697">
        <v>140.30000000000001</v>
      </c>
      <c r="N1697">
        <v>552955.1</v>
      </c>
      <c r="O1697">
        <v>3919373.82</v>
      </c>
      <c r="P1697">
        <v>583882.11</v>
      </c>
      <c r="Q1697" s="1" t="s">
        <v>5393</v>
      </c>
      <c r="R1697">
        <v>44</v>
      </c>
      <c r="S1697" s="1" t="s">
        <v>5394</v>
      </c>
      <c r="T1697" t="b">
        <v>0</v>
      </c>
    </row>
    <row r="1698" spans="1:20" x14ac:dyDescent="0.25">
      <c r="A1698" s="1" t="s">
        <v>5395</v>
      </c>
      <c r="B1698" s="1" t="s">
        <v>629</v>
      </c>
      <c r="C1698" s="1" t="s">
        <v>577</v>
      </c>
      <c r="D1698" s="1" t="s">
        <v>372</v>
      </c>
      <c r="E1698" s="1" t="s">
        <v>49</v>
      </c>
      <c r="F1698" s="1" t="s">
        <v>34</v>
      </c>
      <c r="G1698" s="2">
        <v>44925</v>
      </c>
      <c r="H1698" s="2"/>
      <c r="I1698">
        <v>25</v>
      </c>
      <c r="J1698">
        <v>16</v>
      </c>
      <c r="K1698">
        <v>0</v>
      </c>
      <c r="L1698" s="1" t="s">
        <v>26</v>
      </c>
      <c r="M1698">
        <v>115.9</v>
      </c>
      <c r="N1698">
        <v>268488.34000000003</v>
      </c>
      <c r="O1698">
        <v>4031707.58</v>
      </c>
      <c r="P1698">
        <v>720087.51</v>
      </c>
      <c r="Q1698" s="1" t="s">
        <v>5396</v>
      </c>
      <c r="R1698">
        <v>50</v>
      </c>
      <c r="S1698" s="1" t="s">
        <v>5397</v>
      </c>
      <c r="T1698" t="b">
        <v>0</v>
      </c>
    </row>
    <row r="1699" spans="1:20" x14ac:dyDescent="0.25">
      <c r="A1699" s="1" t="s">
        <v>5398</v>
      </c>
      <c r="B1699" s="1" t="s">
        <v>163</v>
      </c>
      <c r="C1699" s="1" t="s">
        <v>354</v>
      </c>
      <c r="D1699" s="1" t="s">
        <v>238</v>
      </c>
      <c r="E1699" s="1" t="s">
        <v>41</v>
      </c>
      <c r="F1699" s="1" t="s">
        <v>66</v>
      </c>
      <c r="G1699" s="2">
        <v>44771</v>
      </c>
      <c r="H1699" s="2"/>
      <c r="I1699">
        <v>9</v>
      </c>
      <c r="J1699">
        <v>9</v>
      </c>
      <c r="K1699">
        <v>0</v>
      </c>
      <c r="L1699" s="1" t="s">
        <v>26</v>
      </c>
      <c r="M1699">
        <v>83.1</v>
      </c>
      <c r="N1699">
        <v>286960.40999999997</v>
      </c>
      <c r="O1699">
        <v>3660957.12</v>
      </c>
      <c r="P1699">
        <v>595239.51</v>
      </c>
      <c r="Q1699" s="1" t="s">
        <v>3101</v>
      </c>
      <c r="R1699">
        <v>35</v>
      </c>
      <c r="S1699" s="1" t="s">
        <v>5399</v>
      </c>
      <c r="T1699" t="b">
        <v>1</v>
      </c>
    </row>
    <row r="1700" spans="1:20" x14ac:dyDescent="0.25">
      <c r="A1700" s="1" t="s">
        <v>5400</v>
      </c>
      <c r="B1700" s="1" t="s">
        <v>358</v>
      </c>
      <c r="C1700" s="1" t="s">
        <v>63</v>
      </c>
      <c r="D1700" s="1" t="s">
        <v>40</v>
      </c>
      <c r="E1700" s="1" t="s">
        <v>49</v>
      </c>
      <c r="F1700" s="1" t="s">
        <v>25</v>
      </c>
      <c r="G1700" s="2">
        <v>45347</v>
      </c>
      <c r="H1700" s="2">
        <v>45374</v>
      </c>
      <c r="I1700">
        <v>25</v>
      </c>
      <c r="J1700">
        <v>27</v>
      </c>
      <c r="K1700">
        <v>2</v>
      </c>
      <c r="L1700" s="1" t="s">
        <v>26</v>
      </c>
      <c r="M1700">
        <v>214.8</v>
      </c>
      <c r="N1700">
        <v>398716.83</v>
      </c>
      <c r="O1700">
        <v>1352252.94</v>
      </c>
      <c r="P1700">
        <v>234634.47</v>
      </c>
      <c r="Q1700" s="1" t="s">
        <v>5401</v>
      </c>
      <c r="R1700">
        <v>74</v>
      </c>
      <c r="S1700" s="1" t="s">
        <v>5402</v>
      </c>
      <c r="T1700" t="b">
        <v>0</v>
      </c>
    </row>
    <row r="1701" spans="1:20" x14ac:dyDescent="0.25">
      <c r="A1701" s="1" t="s">
        <v>5403</v>
      </c>
      <c r="B1701" s="1" t="s">
        <v>545</v>
      </c>
      <c r="C1701" s="1" t="s">
        <v>819</v>
      </c>
      <c r="D1701" s="1" t="s">
        <v>244</v>
      </c>
      <c r="E1701" s="1" t="s">
        <v>65</v>
      </c>
      <c r="F1701" s="1" t="s">
        <v>50</v>
      </c>
      <c r="G1701" s="2">
        <v>45119</v>
      </c>
      <c r="H1701" s="2"/>
      <c r="I1701">
        <v>4</v>
      </c>
      <c r="J1701">
        <v>1</v>
      </c>
      <c r="K1701">
        <v>0</v>
      </c>
      <c r="L1701" s="1" t="s">
        <v>26</v>
      </c>
      <c r="M1701">
        <v>7</v>
      </c>
      <c r="N1701">
        <v>20668.79</v>
      </c>
      <c r="O1701">
        <v>4522492.7</v>
      </c>
      <c r="P1701">
        <v>851217.87</v>
      </c>
      <c r="Q1701" s="1" t="s">
        <v>5404</v>
      </c>
      <c r="R1701">
        <v>75</v>
      </c>
      <c r="S1701" s="1" t="s">
        <v>5405</v>
      </c>
      <c r="T1701" t="b">
        <v>0</v>
      </c>
    </row>
    <row r="1702" spans="1:20" x14ac:dyDescent="0.25">
      <c r="A1702" s="1" t="s">
        <v>5406</v>
      </c>
      <c r="B1702" s="1" t="s">
        <v>228</v>
      </c>
      <c r="C1702" s="1" t="s">
        <v>804</v>
      </c>
      <c r="D1702" s="1" t="s">
        <v>176</v>
      </c>
      <c r="E1702" s="1" t="s">
        <v>24</v>
      </c>
      <c r="F1702" s="1" t="s">
        <v>25</v>
      </c>
      <c r="G1702" s="2">
        <v>45391</v>
      </c>
      <c r="H1702" s="2">
        <v>45394</v>
      </c>
      <c r="I1702">
        <v>3</v>
      </c>
      <c r="J1702">
        <v>3</v>
      </c>
      <c r="K1702">
        <v>0</v>
      </c>
      <c r="L1702" s="1" t="s">
        <v>26</v>
      </c>
      <c r="M1702">
        <v>28.5</v>
      </c>
      <c r="N1702">
        <v>113057.59</v>
      </c>
      <c r="O1702">
        <v>2619938.06</v>
      </c>
      <c r="P1702">
        <v>274537.67</v>
      </c>
      <c r="Q1702" s="1" t="s">
        <v>5208</v>
      </c>
      <c r="R1702">
        <v>55</v>
      </c>
      <c r="S1702" s="1" t="s">
        <v>5407</v>
      </c>
      <c r="T1702" t="b">
        <v>0</v>
      </c>
    </row>
    <row r="1703" spans="1:20" x14ac:dyDescent="0.25">
      <c r="A1703" s="1" t="s">
        <v>5408</v>
      </c>
      <c r="B1703" s="1" t="s">
        <v>220</v>
      </c>
      <c r="C1703" s="1" t="s">
        <v>428</v>
      </c>
      <c r="D1703" s="1" t="s">
        <v>216</v>
      </c>
      <c r="E1703" s="1" t="s">
        <v>24</v>
      </c>
      <c r="F1703" s="1" t="s">
        <v>25</v>
      </c>
      <c r="G1703" s="2">
        <v>44996</v>
      </c>
      <c r="H1703" s="2">
        <v>45001</v>
      </c>
      <c r="I1703">
        <v>3</v>
      </c>
      <c r="J1703">
        <v>5</v>
      </c>
      <c r="K1703">
        <v>2</v>
      </c>
      <c r="L1703" s="1" t="s">
        <v>26</v>
      </c>
      <c r="M1703">
        <v>58.7</v>
      </c>
      <c r="N1703">
        <v>211366.81</v>
      </c>
      <c r="O1703">
        <v>2586560.59</v>
      </c>
      <c r="P1703">
        <v>401121.58</v>
      </c>
      <c r="Q1703" s="1" t="s">
        <v>5409</v>
      </c>
      <c r="R1703">
        <v>21</v>
      </c>
      <c r="S1703" s="1" t="s">
        <v>5410</v>
      </c>
      <c r="T1703" t="b">
        <v>0</v>
      </c>
    </row>
    <row r="1704" spans="1:20" x14ac:dyDescent="0.25">
      <c r="A1704" s="1" t="s">
        <v>5411</v>
      </c>
      <c r="B1704" s="1" t="s">
        <v>158</v>
      </c>
      <c r="C1704" s="1" t="s">
        <v>922</v>
      </c>
      <c r="D1704" s="1" t="s">
        <v>505</v>
      </c>
      <c r="E1704" s="1" t="s">
        <v>65</v>
      </c>
      <c r="F1704" s="1" t="s">
        <v>34</v>
      </c>
      <c r="G1704" s="2">
        <v>44780</v>
      </c>
      <c r="H1704" s="2"/>
      <c r="I1704">
        <v>4</v>
      </c>
      <c r="J1704">
        <v>1</v>
      </c>
      <c r="K1704">
        <v>0</v>
      </c>
      <c r="L1704" s="1" t="s">
        <v>26</v>
      </c>
      <c r="M1704">
        <v>14.5</v>
      </c>
      <c r="N1704">
        <v>60024.92</v>
      </c>
      <c r="O1704">
        <v>2171819.0499999998</v>
      </c>
      <c r="P1704">
        <v>234676.22</v>
      </c>
      <c r="Q1704" s="1" t="s">
        <v>2066</v>
      </c>
      <c r="R1704">
        <v>68</v>
      </c>
      <c r="S1704" s="1" t="s">
        <v>5412</v>
      </c>
      <c r="T1704" t="b">
        <v>1</v>
      </c>
    </row>
    <row r="1705" spans="1:20" x14ac:dyDescent="0.25">
      <c r="A1705" s="1" t="s">
        <v>5413</v>
      </c>
      <c r="B1705" s="1" t="s">
        <v>228</v>
      </c>
      <c r="C1705" s="1" t="s">
        <v>936</v>
      </c>
      <c r="D1705" s="1" t="s">
        <v>282</v>
      </c>
      <c r="E1705" s="1" t="s">
        <v>24</v>
      </c>
      <c r="F1705" s="1" t="s">
        <v>50</v>
      </c>
      <c r="G1705" s="2">
        <v>45634</v>
      </c>
      <c r="H1705" s="2"/>
      <c r="I1705">
        <v>3</v>
      </c>
      <c r="J1705">
        <v>4</v>
      </c>
      <c r="K1705">
        <v>1</v>
      </c>
      <c r="L1705" s="1" t="s">
        <v>26</v>
      </c>
      <c r="M1705">
        <v>20.9</v>
      </c>
      <c r="N1705">
        <v>59751.22</v>
      </c>
      <c r="O1705">
        <v>4148053.7</v>
      </c>
      <c r="P1705">
        <v>597016.54</v>
      </c>
      <c r="Q1705" s="1" t="s">
        <v>5414</v>
      </c>
      <c r="R1705">
        <v>66</v>
      </c>
      <c r="S1705" s="1" t="s">
        <v>5415</v>
      </c>
      <c r="T1705" t="b">
        <v>0</v>
      </c>
    </row>
    <row r="1706" spans="1:20" x14ac:dyDescent="0.25">
      <c r="A1706" s="1" t="s">
        <v>5416</v>
      </c>
      <c r="B1706" s="1" t="s">
        <v>76</v>
      </c>
      <c r="C1706" s="1" t="s">
        <v>3385</v>
      </c>
      <c r="D1706" s="1" t="s">
        <v>320</v>
      </c>
      <c r="E1706" s="1" t="s">
        <v>41</v>
      </c>
      <c r="F1706" s="1" t="s">
        <v>25</v>
      </c>
      <c r="G1706" s="2">
        <v>44602</v>
      </c>
      <c r="H1706" s="2">
        <v>44611</v>
      </c>
      <c r="I1706">
        <v>9</v>
      </c>
      <c r="J1706">
        <v>9</v>
      </c>
      <c r="K1706">
        <v>0</v>
      </c>
      <c r="L1706" s="1" t="s">
        <v>26</v>
      </c>
      <c r="M1706">
        <v>89.1</v>
      </c>
      <c r="N1706">
        <v>230754.22</v>
      </c>
      <c r="O1706">
        <v>2819245.86</v>
      </c>
      <c r="P1706">
        <v>525577.39</v>
      </c>
      <c r="Q1706" s="1" t="s">
        <v>5417</v>
      </c>
      <c r="R1706">
        <v>76</v>
      </c>
      <c r="S1706" s="1" t="s">
        <v>5418</v>
      </c>
      <c r="T1706" t="b">
        <v>0</v>
      </c>
    </row>
    <row r="1707" spans="1:20" x14ac:dyDescent="0.25">
      <c r="A1707" s="1" t="s">
        <v>5419</v>
      </c>
      <c r="B1707" s="1" t="s">
        <v>93</v>
      </c>
      <c r="C1707" s="1" t="s">
        <v>39</v>
      </c>
      <c r="D1707" s="1" t="s">
        <v>207</v>
      </c>
      <c r="E1707" s="1" t="s">
        <v>24</v>
      </c>
      <c r="F1707" s="1" t="s">
        <v>25</v>
      </c>
      <c r="G1707" s="2">
        <v>45621</v>
      </c>
      <c r="H1707" s="2">
        <v>45624</v>
      </c>
      <c r="I1707">
        <v>3</v>
      </c>
      <c r="J1707">
        <v>3</v>
      </c>
      <c r="K1707">
        <v>0</v>
      </c>
      <c r="L1707" s="1" t="s">
        <v>26</v>
      </c>
      <c r="M1707">
        <v>23.7</v>
      </c>
      <c r="N1707">
        <v>100848.1</v>
      </c>
      <c r="O1707">
        <v>3232107.93</v>
      </c>
      <c r="P1707">
        <v>593779.39</v>
      </c>
      <c r="Q1707" s="1" t="s">
        <v>383</v>
      </c>
      <c r="R1707">
        <v>39</v>
      </c>
      <c r="S1707" s="1" t="s">
        <v>5420</v>
      </c>
      <c r="T1707" t="b">
        <v>1</v>
      </c>
    </row>
    <row r="1708" spans="1:20" x14ac:dyDescent="0.25">
      <c r="A1708" s="1" t="s">
        <v>5421</v>
      </c>
      <c r="B1708" s="1" t="s">
        <v>228</v>
      </c>
      <c r="C1708" s="1" t="s">
        <v>590</v>
      </c>
      <c r="D1708" s="1" t="s">
        <v>1022</v>
      </c>
      <c r="E1708" s="1" t="s">
        <v>41</v>
      </c>
      <c r="F1708" s="1" t="s">
        <v>34</v>
      </c>
      <c r="G1708" s="2">
        <v>44839</v>
      </c>
      <c r="H1708" s="2"/>
      <c r="I1708">
        <v>9</v>
      </c>
      <c r="J1708">
        <v>7</v>
      </c>
      <c r="K1708">
        <v>0</v>
      </c>
      <c r="L1708" s="1" t="s">
        <v>26</v>
      </c>
      <c r="M1708">
        <v>103.7</v>
      </c>
      <c r="N1708">
        <v>409365.39</v>
      </c>
      <c r="O1708">
        <v>2178821.21</v>
      </c>
      <c r="P1708">
        <v>380885.01</v>
      </c>
      <c r="Q1708" s="1" t="s">
        <v>5422</v>
      </c>
      <c r="R1708">
        <v>39</v>
      </c>
      <c r="S1708" s="1" t="s">
        <v>5423</v>
      </c>
      <c r="T1708" t="b">
        <v>1</v>
      </c>
    </row>
    <row r="1709" spans="1:20" x14ac:dyDescent="0.25">
      <c r="A1709" s="1" t="s">
        <v>5424</v>
      </c>
      <c r="B1709" s="1" t="s">
        <v>328</v>
      </c>
      <c r="C1709" s="1" t="s">
        <v>1212</v>
      </c>
      <c r="D1709" s="1" t="s">
        <v>359</v>
      </c>
      <c r="E1709" s="1" t="s">
        <v>24</v>
      </c>
      <c r="F1709" s="1" t="s">
        <v>25</v>
      </c>
      <c r="G1709" s="2">
        <v>44828</v>
      </c>
      <c r="H1709" s="2">
        <v>44830</v>
      </c>
      <c r="I1709">
        <v>3</v>
      </c>
      <c r="J1709">
        <v>2</v>
      </c>
      <c r="K1709">
        <v>0</v>
      </c>
      <c r="L1709" s="1" t="s">
        <v>26</v>
      </c>
      <c r="M1709">
        <v>20.9</v>
      </c>
      <c r="N1709">
        <v>86787.08</v>
      </c>
      <c r="O1709">
        <v>4994969.8600000003</v>
      </c>
      <c r="P1709">
        <v>725589.81</v>
      </c>
      <c r="Q1709" s="1" t="s">
        <v>2253</v>
      </c>
      <c r="R1709">
        <v>24</v>
      </c>
      <c r="S1709" s="1" t="s">
        <v>5425</v>
      </c>
      <c r="T1709" t="b">
        <v>0</v>
      </c>
    </row>
    <row r="1710" spans="1:20" x14ac:dyDescent="0.25">
      <c r="A1710" s="1" t="s">
        <v>5426</v>
      </c>
      <c r="B1710" s="1" t="s">
        <v>545</v>
      </c>
      <c r="C1710" s="1" t="s">
        <v>310</v>
      </c>
      <c r="D1710" s="1" t="s">
        <v>622</v>
      </c>
      <c r="E1710" s="1" t="s">
        <v>49</v>
      </c>
      <c r="F1710" s="1" t="s">
        <v>34</v>
      </c>
      <c r="G1710" s="2">
        <v>45072</v>
      </c>
      <c r="H1710" s="2"/>
      <c r="I1710">
        <v>25</v>
      </c>
      <c r="J1710">
        <v>19</v>
      </c>
      <c r="K1710">
        <v>0</v>
      </c>
      <c r="L1710" s="1" t="s">
        <v>26</v>
      </c>
      <c r="M1710">
        <v>206.6</v>
      </c>
      <c r="N1710">
        <v>795120.87</v>
      </c>
      <c r="O1710">
        <v>2041947.44</v>
      </c>
      <c r="P1710">
        <v>442380.56</v>
      </c>
      <c r="Q1710" s="1" t="s">
        <v>5427</v>
      </c>
      <c r="R1710">
        <v>34</v>
      </c>
      <c r="S1710" s="1" t="s">
        <v>5428</v>
      </c>
      <c r="T1710" t="b">
        <v>1</v>
      </c>
    </row>
    <row r="1711" spans="1:20" x14ac:dyDescent="0.25">
      <c r="A1711" s="1" t="s">
        <v>5429</v>
      </c>
      <c r="B1711" s="1" t="s">
        <v>253</v>
      </c>
      <c r="C1711" s="1" t="s">
        <v>1574</v>
      </c>
      <c r="D1711" s="1" t="s">
        <v>192</v>
      </c>
      <c r="E1711" s="1" t="s">
        <v>33</v>
      </c>
      <c r="F1711" s="1" t="s">
        <v>50</v>
      </c>
      <c r="G1711" s="2">
        <v>44735</v>
      </c>
      <c r="H1711" s="2"/>
      <c r="I1711">
        <v>12</v>
      </c>
      <c r="J1711">
        <v>7</v>
      </c>
      <c r="K1711">
        <v>0</v>
      </c>
      <c r="L1711" s="1" t="s">
        <v>26</v>
      </c>
      <c r="M1711">
        <v>99.4</v>
      </c>
      <c r="N1711">
        <v>216842.67</v>
      </c>
      <c r="O1711">
        <v>2750864.7</v>
      </c>
      <c r="P1711">
        <v>408763.85</v>
      </c>
      <c r="Q1711" s="1" t="s">
        <v>5430</v>
      </c>
      <c r="R1711">
        <v>68</v>
      </c>
      <c r="S1711" s="1" t="s">
        <v>5431</v>
      </c>
      <c r="T1711" t="b">
        <v>0</v>
      </c>
    </row>
    <row r="1712" spans="1:20" x14ac:dyDescent="0.25">
      <c r="A1712" s="1" t="s">
        <v>5432</v>
      </c>
      <c r="B1712" s="1" t="s">
        <v>471</v>
      </c>
      <c r="C1712" s="1" t="s">
        <v>1639</v>
      </c>
      <c r="D1712" s="1" t="s">
        <v>513</v>
      </c>
      <c r="E1712" s="1" t="s">
        <v>24</v>
      </c>
      <c r="F1712" s="1" t="s">
        <v>25</v>
      </c>
      <c r="G1712" s="2">
        <v>45593</v>
      </c>
      <c r="H1712" s="2">
        <v>45597</v>
      </c>
      <c r="I1712">
        <v>3</v>
      </c>
      <c r="J1712">
        <v>4</v>
      </c>
      <c r="K1712">
        <v>1</v>
      </c>
      <c r="L1712" s="1" t="s">
        <v>26</v>
      </c>
      <c r="M1712">
        <v>38.1</v>
      </c>
      <c r="N1712">
        <v>122502.49</v>
      </c>
      <c r="O1712">
        <v>3797343.56</v>
      </c>
      <c r="P1712">
        <v>411102.73</v>
      </c>
      <c r="Q1712" s="1" t="s">
        <v>5433</v>
      </c>
      <c r="R1712">
        <v>67</v>
      </c>
      <c r="S1712" s="1" t="s">
        <v>5434</v>
      </c>
      <c r="T1712" t="b">
        <v>0</v>
      </c>
    </row>
    <row r="1713" spans="1:20" x14ac:dyDescent="0.25">
      <c r="A1713" s="1" t="s">
        <v>5435</v>
      </c>
      <c r="B1713" s="1" t="s">
        <v>629</v>
      </c>
      <c r="C1713" s="1" t="s">
        <v>701</v>
      </c>
      <c r="D1713" s="1" t="s">
        <v>686</v>
      </c>
      <c r="E1713" s="1" t="s">
        <v>24</v>
      </c>
      <c r="F1713" s="1" t="s">
        <v>25</v>
      </c>
      <c r="G1713" s="2">
        <v>45003</v>
      </c>
      <c r="H1713" s="2">
        <v>45006</v>
      </c>
      <c r="I1713">
        <v>3</v>
      </c>
      <c r="J1713">
        <v>3</v>
      </c>
      <c r="K1713">
        <v>0</v>
      </c>
      <c r="L1713" s="1" t="s">
        <v>26</v>
      </c>
      <c r="M1713">
        <v>19.600000000000001</v>
      </c>
      <c r="N1713">
        <v>66774.460000000006</v>
      </c>
      <c r="O1713">
        <v>2020802.03</v>
      </c>
      <c r="P1713">
        <v>371772.95</v>
      </c>
      <c r="Q1713" s="1" t="s">
        <v>3043</v>
      </c>
      <c r="R1713">
        <v>54</v>
      </c>
      <c r="S1713" s="1" t="s">
        <v>5436</v>
      </c>
      <c r="T1713" t="b">
        <v>1</v>
      </c>
    </row>
    <row r="1714" spans="1:20" x14ac:dyDescent="0.25">
      <c r="A1714" s="1" t="s">
        <v>5437</v>
      </c>
      <c r="B1714" s="1" t="s">
        <v>93</v>
      </c>
      <c r="C1714" s="1" t="s">
        <v>1765</v>
      </c>
      <c r="D1714" s="1" t="s">
        <v>48</v>
      </c>
      <c r="E1714" s="1" t="s">
        <v>57</v>
      </c>
      <c r="F1714" s="1" t="s">
        <v>25</v>
      </c>
      <c r="G1714" s="2">
        <v>44870</v>
      </c>
      <c r="H1714" s="2">
        <v>44913</v>
      </c>
      <c r="I1714">
        <v>40</v>
      </c>
      <c r="J1714">
        <v>43</v>
      </c>
      <c r="K1714">
        <v>3</v>
      </c>
      <c r="L1714" s="1" t="s">
        <v>26</v>
      </c>
      <c r="M1714">
        <v>398.9</v>
      </c>
      <c r="N1714">
        <v>1172180.8600000001</v>
      </c>
      <c r="O1714">
        <v>2389121.17</v>
      </c>
      <c r="P1714">
        <v>656067.4</v>
      </c>
      <c r="Q1714" s="1" t="s">
        <v>5438</v>
      </c>
      <c r="R1714">
        <v>48</v>
      </c>
      <c r="S1714" s="1" t="s">
        <v>5439</v>
      </c>
      <c r="T1714" t="b">
        <v>0</v>
      </c>
    </row>
    <row r="1715" spans="1:20" x14ac:dyDescent="0.25">
      <c r="A1715" s="1" t="s">
        <v>5440</v>
      </c>
      <c r="B1715" s="1" t="s">
        <v>122</v>
      </c>
      <c r="C1715" s="1" t="s">
        <v>1394</v>
      </c>
      <c r="D1715" s="1" t="s">
        <v>410</v>
      </c>
      <c r="E1715" s="1" t="s">
        <v>24</v>
      </c>
      <c r="F1715" s="1" t="s">
        <v>25</v>
      </c>
      <c r="G1715" s="2">
        <v>45135</v>
      </c>
      <c r="H1715" s="2">
        <v>45139</v>
      </c>
      <c r="I1715">
        <v>3</v>
      </c>
      <c r="J1715">
        <v>4</v>
      </c>
      <c r="K1715">
        <v>1</v>
      </c>
      <c r="L1715" s="1" t="s">
        <v>26</v>
      </c>
      <c r="M1715">
        <v>58.5</v>
      </c>
      <c r="N1715">
        <v>132634.72</v>
      </c>
      <c r="O1715">
        <v>2073247.42</v>
      </c>
      <c r="P1715">
        <v>250567.23</v>
      </c>
      <c r="Q1715" s="1" t="s">
        <v>5441</v>
      </c>
      <c r="R1715">
        <v>22</v>
      </c>
      <c r="S1715" s="1" t="s">
        <v>5442</v>
      </c>
      <c r="T1715" t="b">
        <v>0</v>
      </c>
    </row>
    <row r="1716" spans="1:20" x14ac:dyDescent="0.25">
      <c r="A1716" s="1" t="s">
        <v>5443</v>
      </c>
      <c r="B1716" s="1" t="s">
        <v>334</v>
      </c>
      <c r="C1716" s="1" t="s">
        <v>888</v>
      </c>
      <c r="D1716" s="1" t="s">
        <v>176</v>
      </c>
      <c r="E1716" s="1" t="s">
        <v>24</v>
      </c>
      <c r="F1716" s="1" t="s">
        <v>50</v>
      </c>
      <c r="G1716" s="2">
        <v>45577</v>
      </c>
      <c r="H1716" s="2"/>
      <c r="I1716">
        <v>3</v>
      </c>
      <c r="J1716">
        <v>4</v>
      </c>
      <c r="K1716">
        <v>1</v>
      </c>
      <c r="L1716" s="1" t="s">
        <v>26</v>
      </c>
      <c r="M1716">
        <v>62.4</v>
      </c>
      <c r="N1716">
        <v>256992.12</v>
      </c>
      <c r="O1716">
        <v>3070245.9</v>
      </c>
      <c r="P1716">
        <v>560352.91</v>
      </c>
      <c r="Q1716" s="1" t="s">
        <v>5444</v>
      </c>
      <c r="R1716">
        <v>57</v>
      </c>
      <c r="S1716" s="1" t="s">
        <v>5445</v>
      </c>
      <c r="T1716" t="b">
        <v>0</v>
      </c>
    </row>
    <row r="1717" spans="1:20" x14ac:dyDescent="0.25">
      <c r="A1717" s="1" t="s">
        <v>5446</v>
      </c>
      <c r="B1717" s="1" t="s">
        <v>38</v>
      </c>
      <c r="C1717" s="1" t="s">
        <v>2273</v>
      </c>
      <c r="D1717" s="1" t="s">
        <v>350</v>
      </c>
      <c r="E1717" s="1" t="s">
        <v>65</v>
      </c>
      <c r="F1717" s="1" t="s">
        <v>34</v>
      </c>
      <c r="G1717" s="2">
        <v>44951</v>
      </c>
      <c r="H1717" s="2"/>
      <c r="I1717">
        <v>4</v>
      </c>
      <c r="J1717">
        <v>8</v>
      </c>
      <c r="K1717">
        <v>3.5</v>
      </c>
      <c r="L1717" s="1" t="s">
        <v>26</v>
      </c>
      <c r="M1717">
        <v>107.6</v>
      </c>
      <c r="N1717">
        <v>448808.16</v>
      </c>
      <c r="O1717">
        <v>4347372.42</v>
      </c>
      <c r="P1717">
        <v>941155.99</v>
      </c>
      <c r="Q1717" s="1" t="s">
        <v>5447</v>
      </c>
      <c r="R1717">
        <v>38</v>
      </c>
      <c r="S1717" s="1" t="s">
        <v>5448</v>
      </c>
      <c r="T1717" t="b">
        <v>1</v>
      </c>
    </row>
    <row r="1718" spans="1:20" x14ac:dyDescent="0.25">
      <c r="A1718" s="1" t="s">
        <v>5449</v>
      </c>
      <c r="B1718" s="1" t="s">
        <v>451</v>
      </c>
      <c r="C1718" s="1" t="s">
        <v>1574</v>
      </c>
      <c r="D1718" s="1" t="s">
        <v>315</v>
      </c>
      <c r="E1718" s="1" t="s">
        <v>57</v>
      </c>
      <c r="F1718" s="1" t="s">
        <v>25</v>
      </c>
      <c r="G1718" s="2">
        <v>45105</v>
      </c>
      <c r="H1718" s="2">
        <v>45155</v>
      </c>
      <c r="I1718">
        <v>40</v>
      </c>
      <c r="J1718">
        <v>50</v>
      </c>
      <c r="K1718">
        <v>10</v>
      </c>
      <c r="L1718" s="1" t="s">
        <v>330</v>
      </c>
      <c r="M1718">
        <v>452.8</v>
      </c>
      <c r="N1718">
        <v>1248671.6200000001</v>
      </c>
      <c r="O1718">
        <v>1547545.65</v>
      </c>
      <c r="P1718">
        <v>404095.94</v>
      </c>
      <c r="Q1718" s="1" t="s">
        <v>5450</v>
      </c>
      <c r="R1718">
        <v>69</v>
      </c>
      <c r="S1718" s="1" t="s">
        <v>5451</v>
      </c>
      <c r="T1718" t="b">
        <v>1</v>
      </c>
    </row>
    <row r="1719" spans="1:20" x14ac:dyDescent="0.25">
      <c r="A1719" s="1" t="s">
        <v>5452</v>
      </c>
      <c r="B1719" s="1" t="s">
        <v>348</v>
      </c>
      <c r="C1719" s="1" t="s">
        <v>1776</v>
      </c>
      <c r="D1719" s="1" t="s">
        <v>622</v>
      </c>
      <c r="E1719" s="1" t="s">
        <v>49</v>
      </c>
      <c r="F1719" s="1" t="s">
        <v>66</v>
      </c>
      <c r="G1719" s="2">
        <v>44683</v>
      </c>
      <c r="H1719" s="2"/>
      <c r="I1719">
        <v>25</v>
      </c>
      <c r="J1719">
        <v>11</v>
      </c>
      <c r="K1719">
        <v>0</v>
      </c>
      <c r="L1719" s="1" t="s">
        <v>26</v>
      </c>
      <c r="M1719">
        <v>148.1</v>
      </c>
      <c r="N1719">
        <v>523836.26</v>
      </c>
      <c r="O1719">
        <v>242091.37</v>
      </c>
      <c r="P1719">
        <v>141781.31</v>
      </c>
      <c r="Q1719" s="1" t="s">
        <v>5453</v>
      </c>
      <c r="R1719">
        <v>66</v>
      </c>
      <c r="S1719" s="1" t="s">
        <v>5454</v>
      </c>
      <c r="T1719" t="b">
        <v>1</v>
      </c>
    </row>
    <row r="1720" spans="1:20" x14ac:dyDescent="0.25">
      <c r="A1720" s="1" t="s">
        <v>5455</v>
      </c>
      <c r="B1720" s="1" t="s">
        <v>228</v>
      </c>
      <c r="C1720" s="1" t="s">
        <v>512</v>
      </c>
      <c r="D1720" s="1" t="s">
        <v>181</v>
      </c>
      <c r="E1720" s="1" t="s">
        <v>41</v>
      </c>
      <c r="F1720" s="1" t="s">
        <v>25</v>
      </c>
      <c r="G1720" s="2">
        <v>45057</v>
      </c>
      <c r="H1720" s="2">
        <v>45071</v>
      </c>
      <c r="I1720">
        <v>9</v>
      </c>
      <c r="J1720">
        <v>14</v>
      </c>
      <c r="K1720">
        <v>5</v>
      </c>
      <c r="L1720" s="1" t="s">
        <v>193</v>
      </c>
      <c r="M1720">
        <v>100.2</v>
      </c>
      <c r="N1720">
        <v>246416.71</v>
      </c>
      <c r="O1720">
        <v>4916122.8600000003</v>
      </c>
      <c r="P1720">
        <v>929510.19</v>
      </c>
      <c r="Q1720" s="1" t="s">
        <v>5456</v>
      </c>
      <c r="R1720">
        <v>32</v>
      </c>
      <c r="S1720" s="1" t="s">
        <v>5457</v>
      </c>
      <c r="T1720" t="b">
        <v>1</v>
      </c>
    </row>
    <row r="1721" spans="1:20" x14ac:dyDescent="0.25">
      <c r="A1721" s="1" t="s">
        <v>5458</v>
      </c>
      <c r="B1721" s="1" t="s">
        <v>62</v>
      </c>
      <c r="C1721" s="1" t="s">
        <v>2304</v>
      </c>
      <c r="D1721" s="1" t="s">
        <v>336</v>
      </c>
      <c r="E1721" s="1" t="s">
        <v>65</v>
      </c>
      <c r="F1721" s="1" t="s">
        <v>25</v>
      </c>
      <c r="G1721" s="2">
        <v>45404</v>
      </c>
      <c r="H1721" s="2">
        <v>45405</v>
      </c>
      <c r="I1721">
        <v>4</v>
      </c>
      <c r="J1721">
        <v>1</v>
      </c>
      <c r="K1721">
        <v>0</v>
      </c>
      <c r="L1721" s="1" t="s">
        <v>26</v>
      </c>
      <c r="M1721">
        <v>14.3</v>
      </c>
      <c r="N1721">
        <v>27161.59</v>
      </c>
      <c r="O1721">
        <v>2337411.09</v>
      </c>
      <c r="P1721">
        <v>438738.71</v>
      </c>
      <c r="Q1721" s="1" t="s">
        <v>5459</v>
      </c>
      <c r="R1721">
        <v>39</v>
      </c>
      <c r="S1721" s="1" t="s">
        <v>5460</v>
      </c>
      <c r="T1721" t="b">
        <v>0</v>
      </c>
    </row>
    <row r="1722" spans="1:20" x14ac:dyDescent="0.25">
      <c r="A1722" s="1" t="s">
        <v>5461</v>
      </c>
      <c r="B1722" s="1" t="s">
        <v>158</v>
      </c>
      <c r="C1722" s="1" t="s">
        <v>143</v>
      </c>
      <c r="D1722" s="1" t="s">
        <v>686</v>
      </c>
      <c r="E1722" s="1" t="s">
        <v>33</v>
      </c>
      <c r="F1722" s="1" t="s">
        <v>25</v>
      </c>
      <c r="G1722" s="2">
        <v>45425</v>
      </c>
      <c r="H1722" s="2">
        <v>45440</v>
      </c>
      <c r="I1722">
        <v>12</v>
      </c>
      <c r="J1722">
        <v>15</v>
      </c>
      <c r="K1722">
        <v>3</v>
      </c>
      <c r="L1722" s="1" t="s">
        <v>26</v>
      </c>
      <c r="M1722">
        <v>184.1</v>
      </c>
      <c r="N1722">
        <v>628555.34</v>
      </c>
      <c r="O1722">
        <v>2842806.17</v>
      </c>
      <c r="P1722">
        <v>602488.91</v>
      </c>
      <c r="Q1722" s="1" t="s">
        <v>5462</v>
      </c>
      <c r="R1722">
        <v>63</v>
      </c>
      <c r="S1722" s="1" t="s">
        <v>5463</v>
      </c>
      <c r="T1722" t="b">
        <v>0</v>
      </c>
    </row>
    <row r="1723" spans="1:20" x14ac:dyDescent="0.25">
      <c r="A1723" s="1" t="s">
        <v>5464</v>
      </c>
      <c r="B1723" s="1" t="s">
        <v>334</v>
      </c>
      <c r="C1723" s="1" t="s">
        <v>546</v>
      </c>
      <c r="D1723" s="1" t="s">
        <v>726</v>
      </c>
      <c r="E1723" s="1" t="s">
        <v>57</v>
      </c>
      <c r="F1723" s="1" t="s">
        <v>34</v>
      </c>
      <c r="G1723" s="2">
        <v>45590</v>
      </c>
      <c r="H1723" s="2"/>
      <c r="I1723">
        <v>40</v>
      </c>
      <c r="J1723">
        <v>48</v>
      </c>
      <c r="K1723">
        <v>8</v>
      </c>
      <c r="L1723" s="1" t="s">
        <v>58</v>
      </c>
      <c r="M1723">
        <v>645.6</v>
      </c>
      <c r="N1723">
        <v>1644369.62</v>
      </c>
      <c r="O1723">
        <v>2137662.27</v>
      </c>
      <c r="P1723">
        <v>496187.06</v>
      </c>
      <c r="Q1723" s="1" t="s">
        <v>5465</v>
      </c>
      <c r="R1723">
        <v>51</v>
      </c>
      <c r="S1723" s="1" t="s">
        <v>5466</v>
      </c>
      <c r="T1723" t="b">
        <v>1</v>
      </c>
    </row>
    <row r="1724" spans="1:20" x14ac:dyDescent="0.25">
      <c r="A1724" s="1" t="s">
        <v>5467</v>
      </c>
      <c r="B1724" s="1" t="s">
        <v>253</v>
      </c>
      <c r="C1724" s="1" t="s">
        <v>784</v>
      </c>
      <c r="D1724" s="1" t="s">
        <v>288</v>
      </c>
      <c r="E1724" s="1" t="s">
        <v>41</v>
      </c>
      <c r="F1724" s="1" t="s">
        <v>25</v>
      </c>
      <c r="G1724" s="2">
        <v>45136</v>
      </c>
      <c r="H1724" s="2">
        <v>45150</v>
      </c>
      <c r="I1724">
        <v>9</v>
      </c>
      <c r="J1724">
        <v>14</v>
      </c>
      <c r="K1724">
        <v>5</v>
      </c>
      <c r="L1724" s="1" t="s">
        <v>101</v>
      </c>
      <c r="M1724">
        <v>154</v>
      </c>
      <c r="N1724">
        <v>443476.46</v>
      </c>
      <c r="O1724">
        <v>3257983.55</v>
      </c>
      <c r="P1724">
        <v>659590.32999999996</v>
      </c>
      <c r="Q1724" s="1" t="s">
        <v>5468</v>
      </c>
      <c r="R1724">
        <v>43</v>
      </c>
      <c r="S1724" s="1" t="s">
        <v>5469</v>
      </c>
      <c r="T1724" t="b">
        <v>1</v>
      </c>
    </row>
    <row r="1725" spans="1:20" x14ac:dyDescent="0.25">
      <c r="A1725" s="1" t="s">
        <v>5470</v>
      </c>
      <c r="B1725" s="1" t="s">
        <v>272</v>
      </c>
      <c r="C1725" s="1" t="s">
        <v>512</v>
      </c>
      <c r="D1725" s="1" t="s">
        <v>420</v>
      </c>
      <c r="E1725" s="1" t="s">
        <v>65</v>
      </c>
      <c r="F1725" s="1" t="s">
        <v>25</v>
      </c>
      <c r="G1725" s="2">
        <v>45317</v>
      </c>
      <c r="H1725" s="2">
        <v>45323</v>
      </c>
      <c r="I1725">
        <v>4</v>
      </c>
      <c r="J1725">
        <v>6</v>
      </c>
      <c r="K1725">
        <v>1.5</v>
      </c>
      <c r="L1725" s="1" t="s">
        <v>26</v>
      </c>
      <c r="M1725">
        <v>25.2</v>
      </c>
      <c r="N1725">
        <v>89035.14</v>
      </c>
      <c r="O1725">
        <v>348319.04</v>
      </c>
      <c r="P1725">
        <v>75151.839999999997</v>
      </c>
      <c r="Q1725" s="1" t="s">
        <v>5471</v>
      </c>
      <c r="R1725">
        <v>65</v>
      </c>
      <c r="S1725" s="1" t="s">
        <v>5472</v>
      </c>
      <c r="T1725" t="b">
        <v>1</v>
      </c>
    </row>
    <row r="1726" spans="1:20" x14ac:dyDescent="0.25">
      <c r="A1726" s="1" t="s">
        <v>5473</v>
      </c>
      <c r="B1726" s="1" t="s">
        <v>82</v>
      </c>
      <c r="C1726" s="1" t="s">
        <v>2635</v>
      </c>
      <c r="D1726" s="1" t="s">
        <v>107</v>
      </c>
      <c r="E1726" s="1" t="s">
        <v>65</v>
      </c>
      <c r="F1726" s="1" t="s">
        <v>25</v>
      </c>
      <c r="G1726" s="2">
        <v>45578</v>
      </c>
      <c r="H1726" s="2">
        <v>45579</v>
      </c>
      <c r="I1726">
        <v>4</v>
      </c>
      <c r="J1726">
        <v>1</v>
      </c>
      <c r="K1726">
        <v>0</v>
      </c>
      <c r="L1726" s="1" t="s">
        <v>26</v>
      </c>
      <c r="M1726">
        <v>7.8</v>
      </c>
      <c r="N1726">
        <v>31691.98</v>
      </c>
      <c r="O1726">
        <v>3405241.44</v>
      </c>
      <c r="P1726">
        <v>557863.01</v>
      </c>
      <c r="Q1726" s="1" t="s">
        <v>5474</v>
      </c>
      <c r="R1726">
        <v>42</v>
      </c>
      <c r="S1726" s="1" t="s">
        <v>5475</v>
      </c>
      <c r="T1726" t="b">
        <v>1</v>
      </c>
    </row>
    <row r="1727" spans="1:20" x14ac:dyDescent="0.25">
      <c r="A1727" s="1" t="s">
        <v>5476</v>
      </c>
      <c r="B1727" s="1" t="s">
        <v>158</v>
      </c>
      <c r="C1727" s="1" t="s">
        <v>2635</v>
      </c>
      <c r="D1727" s="1" t="s">
        <v>216</v>
      </c>
      <c r="E1727" s="1" t="s">
        <v>33</v>
      </c>
      <c r="F1727" s="1" t="s">
        <v>66</v>
      </c>
      <c r="G1727" s="2">
        <v>45004</v>
      </c>
      <c r="H1727" s="2"/>
      <c r="I1727">
        <v>12</v>
      </c>
      <c r="J1727">
        <v>12</v>
      </c>
      <c r="K1727">
        <v>0</v>
      </c>
      <c r="L1727" s="1" t="s">
        <v>26</v>
      </c>
      <c r="M1727">
        <v>102.2</v>
      </c>
      <c r="N1727">
        <v>269039.75</v>
      </c>
      <c r="O1727">
        <v>1544566.36</v>
      </c>
      <c r="P1727">
        <v>338711.77</v>
      </c>
      <c r="Q1727" s="1" t="s">
        <v>5477</v>
      </c>
      <c r="R1727">
        <v>66</v>
      </c>
      <c r="S1727" s="1" t="s">
        <v>5478</v>
      </c>
      <c r="T1727" t="b">
        <v>0</v>
      </c>
    </row>
    <row r="1728" spans="1:20" x14ac:dyDescent="0.25">
      <c r="A1728" s="1" t="s">
        <v>5479</v>
      </c>
      <c r="B1728" s="1" t="s">
        <v>174</v>
      </c>
      <c r="C1728" s="1" t="s">
        <v>1983</v>
      </c>
      <c r="D1728" s="1" t="s">
        <v>359</v>
      </c>
      <c r="E1728" s="1" t="s">
        <v>24</v>
      </c>
      <c r="F1728" s="1" t="s">
        <v>25</v>
      </c>
      <c r="G1728" s="2">
        <v>44905</v>
      </c>
      <c r="H1728" s="2">
        <v>44908</v>
      </c>
      <c r="I1728">
        <v>3</v>
      </c>
      <c r="J1728">
        <v>3</v>
      </c>
      <c r="K1728">
        <v>0</v>
      </c>
      <c r="L1728" s="1" t="s">
        <v>26</v>
      </c>
      <c r="M1728">
        <v>43.1</v>
      </c>
      <c r="N1728">
        <v>173889.42</v>
      </c>
      <c r="O1728">
        <v>23287.16</v>
      </c>
      <c r="P1728">
        <v>26171.53</v>
      </c>
      <c r="Q1728" s="1" t="s">
        <v>5480</v>
      </c>
      <c r="R1728">
        <v>52</v>
      </c>
      <c r="S1728" s="1" t="s">
        <v>5481</v>
      </c>
      <c r="T1728" t="b">
        <v>0</v>
      </c>
    </row>
    <row r="1729" spans="1:20" x14ac:dyDescent="0.25">
      <c r="A1729" s="1" t="s">
        <v>5482</v>
      </c>
      <c r="B1729" s="1" t="s">
        <v>30</v>
      </c>
      <c r="C1729" s="1" t="s">
        <v>914</v>
      </c>
      <c r="D1729" s="1" t="s">
        <v>78</v>
      </c>
      <c r="E1729" s="1" t="s">
        <v>24</v>
      </c>
      <c r="F1729" s="1" t="s">
        <v>25</v>
      </c>
      <c r="G1729" s="2">
        <v>45024</v>
      </c>
      <c r="H1729" s="2">
        <v>45029</v>
      </c>
      <c r="I1729">
        <v>3</v>
      </c>
      <c r="J1729">
        <v>5</v>
      </c>
      <c r="K1729">
        <v>2</v>
      </c>
      <c r="L1729" s="1" t="s">
        <v>26</v>
      </c>
      <c r="M1729">
        <v>74.900000000000006</v>
      </c>
      <c r="N1729">
        <v>272732.49</v>
      </c>
      <c r="O1729">
        <v>3776363.13</v>
      </c>
      <c r="P1729">
        <v>569419.16</v>
      </c>
      <c r="Q1729" s="1" t="s">
        <v>5483</v>
      </c>
      <c r="R1729">
        <v>26</v>
      </c>
      <c r="S1729" s="1" t="s">
        <v>5484</v>
      </c>
      <c r="T1729" t="b">
        <v>1</v>
      </c>
    </row>
    <row r="1730" spans="1:20" x14ac:dyDescent="0.25">
      <c r="A1730" s="1" t="s">
        <v>5485</v>
      </c>
      <c r="B1730" s="1" t="s">
        <v>38</v>
      </c>
      <c r="C1730" s="1" t="s">
        <v>3623</v>
      </c>
      <c r="D1730" s="1" t="s">
        <v>282</v>
      </c>
      <c r="E1730" s="1" t="s">
        <v>57</v>
      </c>
      <c r="F1730" s="1" t="s">
        <v>25</v>
      </c>
      <c r="G1730" s="2">
        <v>44746</v>
      </c>
      <c r="H1730" s="2">
        <v>44770</v>
      </c>
      <c r="I1730">
        <v>40</v>
      </c>
      <c r="J1730">
        <v>24</v>
      </c>
      <c r="K1730">
        <v>0</v>
      </c>
      <c r="L1730" s="1" t="s">
        <v>26</v>
      </c>
      <c r="M1730">
        <v>241.6</v>
      </c>
      <c r="N1730">
        <v>557449.94999999995</v>
      </c>
      <c r="O1730">
        <v>715357.67</v>
      </c>
      <c r="P1730">
        <v>192717.93</v>
      </c>
      <c r="Q1730" s="1" t="s">
        <v>5486</v>
      </c>
      <c r="R1730">
        <v>72</v>
      </c>
      <c r="S1730" s="1" t="s">
        <v>5487</v>
      </c>
      <c r="T1730" t="b">
        <v>1</v>
      </c>
    </row>
    <row r="1731" spans="1:20" x14ac:dyDescent="0.25">
      <c r="A1731" s="1" t="s">
        <v>5488</v>
      </c>
      <c r="B1731" s="1" t="s">
        <v>253</v>
      </c>
      <c r="C1731" s="1" t="s">
        <v>3212</v>
      </c>
      <c r="D1731" s="1" t="s">
        <v>165</v>
      </c>
      <c r="E1731" s="1" t="s">
        <v>57</v>
      </c>
      <c r="F1731" s="1" t="s">
        <v>66</v>
      </c>
      <c r="G1731" s="2">
        <v>45277</v>
      </c>
      <c r="H1731" s="2"/>
      <c r="I1731">
        <v>40</v>
      </c>
      <c r="J1731">
        <v>53</v>
      </c>
      <c r="K1731">
        <v>13</v>
      </c>
      <c r="L1731" s="1" t="s">
        <v>26</v>
      </c>
      <c r="M1731">
        <v>705.4</v>
      </c>
      <c r="N1731">
        <v>1964282.06</v>
      </c>
      <c r="O1731">
        <v>847259.8</v>
      </c>
      <c r="P1731">
        <v>314591.12</v>
      </c>
      <c r="Q1731" s="1" t="s">
        <v>5489</v>
      </c>
      <c r="R1731">
        <v>56</v>
      </c>
      <c r="S1731" s="1" t="s">
        <v>5490</v>
      </c>
      <c r="T1731" t="b">
        <v>0</v>
      </c>
    </row>
    <row r="1732" spans="1:20" x14ac:dyDescent="0.25">
      <c r="A1732" s="1" t="s">
        <v>5491</v>
      </c>
      <c r="B1732" s="1" t="s">
        <v>253</v>
      </c>
      <c r="C1732" s="1" t="s">
        <v>665</v>
      </c>
      <c r="D1732" s="1" t="s">
        <v>372</v>
      </c>
      <c r="E1732" s="1" t="s">
        <v>57</v>
      </c>
      <c r="F1732" s="1" t="s">
        <v>66</v>
      </c>
      <c r="G1732" s="2">
        <v>44717</v>
      </c>
      <c r="H1732" s="2"/>
      <c r="I1732">
        <v>40</v>
      </c>
      <c r="J1732">
        <v>44</v>
      </c>
      <c r="K1732">
        <v>4</v>
      </c>
      <c r="L1732" s="1" t="s">
        <v>42</v>
      </c>
      <c r="M1732">
        <v>350.4</v>
      </c>
      <c r="N1732">
        <v>1394822.52</v>
      </c>
      <c r="O1732">
        <v>4199121.03</v>
      </c>
      <c r="P1732">
        <v>1103685.78</v>
      </c>
      <c r="Q1732" s="1" t="s">
        <v>5492</v>
      </c>
      <c r="R1732">
        <v>54</v>
      </c>
      <c r="S1732" s="1" t="s">
        <v>5493</v>
      </c>
      <c r="T1732" t="b">
        <v>1</v>
      </c>
    </row>
    <row r="1733" spans="1:20" x14ac:dyDescent="0.25">
      <c r="A1733" s="1" t="s">
        <v>5494</v>
      </c>
      <c r="B1733" s="1" t="s">
        <v>111</v>
      </c>
      <c r="C1733" s="1" t="s">
        <v>932</v>
      </c>
      <c r="D1733" s="1" t="s">
        <v>159</v>
      </c>
      <c r="E1733" s="1" t="s">
        <v>49</v>
      </c>
      <c r="F1733" s="1" t="s">
        <v>25</v>
      </c>
      <c r="G1733" s="2">
        <v>44760</v>
      </c>
      <c r="H1733" s="2">
        <v>44779</v>
      </c>
      <c r="I1733">
        <v>25</v>
      </c>
      <c r="J1733">
        <v>19</v>
      </c>
      <c r="K1733">
        <v>0</v>
      </c>
      <c r="L1733" s="1" t="s">
        <v>26</v>
      </c>
      <c r="M1733">
        <v>197.4</v>
      </c>
      <c r="N1733">
        <v>864099.46</v>
      </c>
      <c r="O1733">
        <v>467582.29</v>
      </c>
      <c r="P1733">
        <v>251891.41</v>
      </c>
      <c r="Q1733" s="1" t="s">
        <v>5495</v>
      </c>
      <c r="R1733">
        <v>72</v>
      </c>
      <c r="S1733" s="1" t="s">
        <v>5496</v>
      </c>
      <c r="T1733" t="b">
        <v>0</v>
      </c>
    </row>
    <row r="1734" spans="1:20" x14ac:dyDescent="0.25">
      <c r="A1734" s="1" t="s">
        <v>5497</v>
      </c>
      <c r="B1734" s="1" t="s">
        <v>348</v>
      </c>
      <c r="C1734" s="1" t="s">
        <v>424</v>
      </c>
      <c r="D1734" s="1" t="s">
        <v>216</v>
      </c>
      <c r="E1734" s="1" t="s">
        <v>57</v>
      </c>
      <c r="F1734" s="1" t="s">
        <v>25</v>
      </c>
      <c r="G1734" s="2">
        <v>45350</v>
      </c>
      <c r="H1734" s="2">
        <v>45378</v>
      </c>
      <c r="I1734">
        <v>40</v>
      </c>
      <c r="J1734">
        <v>28</v>
      </c>
      <c r="K1734">
        <v>0</v>
      </c>
      <c r="L1734" s="1" t="s">
        <v>26</v>
      </c>
      <c r="M1734">
        <v>348.4</v>
      </c>
      <c r="N1734">
        <v>1550895.6</v>
      </c>
      <c r="O1734">
        <v>873516.47</v>
      </c>
      <c r="P1734">
        <v>464208.94</v>
      </c>
      <c r="Q1734" s="1" t="s">
        <v>5498</v>
      </c>
      <c r="R1734">
        <v>67</v>
      </c>
      <c r="S1734" s="1" t="s">
        <v>5499</v>
      </c>
      <c r="T1734" t="b">
        <v>1</v>
      </c>
    </row>
    <row r="1735" spans="1:20" x14ac:dyDescent="0.25">
      <c r="A1735" s="1" t="s">
        <v>5500</v>
      </c>
      <c r="B1735" s="1" t="s">
        <v>163</v>
      </c>
      <c r="C1735" s="1" t="s">
        <v>4467</v>
      </c>
      <c r="D1735" s="1" t="s">
        <v>670</v>
      </c>
      <c r="E1735" s="1" t="s">
        <v>49</v>
      </c>
      <c r="F1735" s="1" t="s">
        <v>34</v>
      </c>
      <c r="G1735" s="2">
        <v>44668</v>
      </c>
      <c r="H1735" s="2"/>
      <c r="I1735">
        <v>25</v>
      </c>
      <c r="J1735">
        <v>39</v>
      </c>
      <c r="K1735">
        <v>14</v>
      </c>
      <c r="L1735" s="1" t="s">
        <v>58</v>
      </c>
      <c r="M1735">
        <v>203.6</v>
      </c>
      <c r="N1735">
        <v>401285.09</v>
      </c>
      <c r="O1735">
        <v>1578830.07</v>
      </c>
      <c r="P1735">
        <v>291508.96999999997</v>
      </c>
      <c r="Q1735" s="1" t="s">
        <v>1261</v>
      </c>
      <c r="R1735">
        <v>32</v>
      </c>
      <c r="S1735" s="1" t="s">
        <v>5501</v>
      </c>
      <c r="T1735" t="b">
        <v>1</v>
      </c>
    </row>
    <row r="1736" spans="1:20" x14ac:dyDescent="0.25">
      <c r="A1736" s="1" t="s">
        <v>5502</v>
      </c>
      <c r="B1736" s="1" t="s">
        <v>328</v>
      </c>
      <c r="C1736" s="1" t="s">
        <v>153</v>
      </c>
      <c r="D1736" s="1" t="s">
        <v>192</v>
      </c>
      <c r="E1736" s="1" t="s">
        <v>24</v>
      </c>
      <c r="F1736" s="1" t="s">
        <v>34</v>
      </c>
      <c r="G1736" s="2">
        <v>44733</v>
      </c>
      <c r="H1736" s="2"/>
      <c r="I1736">
        <v>3</v>
      </c>
      <c r="J1736">
        <v>3</v>
      </c>
      <c r="K1736">
        <v>0</v>
      </c>
      <c r="L1736" s="1" t="s">
        <v>26</v>
      </c>
      <c r="M1736">
        <v>25</v>
      </c>
      <c r="N1736">
        <v>102305.8</v>
      </c>
      <c r="O1736">
        <v>4761826.82</v>
      </c>
      <c r="P1736">
        <v>642419.51</v>
      </c>
      <c r="Q1736" s="1" t="s">
        <v>5503</v>
      </c>
      <c r="R1736">
        <v>48</v>
      </c>
      <c r="S1736" s="1" t="s">
        <v>5504</v>
      </c>
      <c r="T1736" t="b">
        <v>0</v>
      </c>
    </row>
    <row r="1737" spans="1:20" x14ac:dyDescent="0.25">
      <c r="A1737" s="1" t="s">
        <v>5505</v>
      </c>
      <c r="B1737" s="1" t="s">
        <v>545</v>
      </c>
      <c r="C1737" s="1" t="s">
        <v>88</v>
      </c>
      <c r="D1737" s="1" t="s">
        <v>216</v>
      </c>
      <c r="E1737" s="1" t="s">
        <v>33</v>
      </c>
      <c r="F1737" s="1" t="s">
        <v>34</v>
      </c>
      <c r="G1737" s="2">
        <v>45653</v>
      </c>
      <c r="H1737" s="2"/>
      <c r="I1737">
        <v>12</v>
      </c>
      <c r="J1737">
        <v>17</v>
      </c>
      <c r="K1737">
        <v>5</v>
      </c>
      <c r="L1737" s="1" t="s">
        <v>101</v>
      </c>
      <c r="M1737">
        <v>88.4</v>
      </c>
      <c r="N1737">
        <v>170445.99</v>
      </c>
      <c r="O1737">
        <v>4999083.92</v>
      </c>
      <c r="P1737">
        <v>899706.04</v>
      </c>
      <c r="Q1737" s="1" t="s">
        <v>5506</v>
      </c>
      <c r="R1737">
        <v>46</v>
      </c>
      <c r="S1737" s="1" t="s">
        <v>5507</v>
      </c>
      <c r="T1737" t="b">
        <v>0</v>
      </c>
    </row>
    <row r="1738" spans="1:20" x14ac:dyDescent="0.25">
      <c r="A1738" s="1" t="s">
        <v>5508</v>
      </c>
      <c r="B1738" s="1" t="s">
        <v>148</v>
      </c>
      <c r="C1738" s="1" t="s">
        <v>610</v>
      </c>
      <c r="D1738" s="1" t="s">
        <v>113</v>
      </c>
      <c r="E1738" s="1" t="s">
        <v>41</v>
      </c>
      <c r="F1738" s="1" t="s">
        <v>50</v>
      </c>
      <c r="G1738" s="2">
        <v>45048</v>
      </c>
      <c r="H1738" s="2"/>
      <c r="I1738">
        <v>9</v>
      </c>
      <c r="J1738">
        <v>7</v>
      </c>
      <c r="K1738">
        <v>0</v>
      </c>
      <c r="L1738" s="1" t="s">
        <v>26</v>
      </c>
      <c r="M1738">
        <v>55.3</v>
      </c>
      <c r="N1738">
        <v>231880.21</v>
      </c>
      <c r="O1738">
        <v>607199.97</v>
      </c>
      <c r="P1738">
        <v>130759.05</v>
      </c>
      <c r="Q1738" s="1" t="s">
        <v>5509</v>
      </c>
      <c r="R1738">
        <v>80</v>
      </c>
      <c r="S1738" s="1" t="s">
        <v>5510</v>
      </c>
      <c r="T1738" t="b">
        <v>0</v>
      </c>
    </row>
    <row r="1739" spans="1:20" x14ac:dyDescent="0.25">
      <c r="A1739" s="1" t="s">
        <v>5511</v>
      </c>
      <c r="B1739" s="1" t="s">
        <v>128</v>
      </c>
      <c r="C1739" s="1" t="s">
        <v>815</v>
      </c>
      <c r="D1739" s="1" t="s">
        <v>410</v>
      </c>
      <c r="E1739" s="1" t="s">
        <v>57</v>
      </c>
      <c r="F1739" s="1" t="s">
        <v>25</v>
      </c>
      <c r="G1739" s="2">
        <v>45260</v>
      </c>
      <c r="H1739" s="2">
        <v>45306</v>
      </c>
      <c r="I1739">
        <v>40</v>
      </c>
      <c r="J1739">
        <v>46</v>
      </c>
      <c r="K1739">
        <v>6</v>
      </c>
      <c r="L1739" s="1" t="s">
        <v>58</v>
      </c>
      <c r="M1739">
        <v>353.3</v>
      </c>
      <c r="N1739">
        <v>714193.14</v>
      </c>
      <c r="O1739">
        <v>3094437.01</v>
      </c>
      <c r="P1739">
        <v>660318.42000000004</v>
      </c>
      <c r="Q1739" s="1" t="s">
        <v>5512</v>
      </c>
      <c r="R1739">
        <v>59</v>
      </c>
      <c r="S1739" s="1" t="s">
        <v>5513</v>
      </c>
      <c r="T1739" t="b">
        <v>1</v>
      </c>
    </row>
    <row r="1740" spans="1:20" x14ac:dyDescent="0.25">
      <c r="A1740" s="1" t="s">
        <v>5514</v>
      </c>
      <c r="B1740" s="1" t="s">
        <v>471</v>
      </c>
      <c r="C1740" s="1" t="s">
        <v>1497</v>
      </c>
      <c r="D1740" s="1" t="s">
        <v>336</v>
      </c>
      <c r="E1740" s="1" t="s">
        <v>33</v>
      </c>
      <c r="F1740" s="1" t="s">
        <v>50</v>
      </c>
      <c r="G1740" s="2">
        <v>44597</v>
      </c>
      <c r="H1740" s="2"/>
      <c r="I1740">
        <v>12</v>
      </c>
      <c r="J1740">
        <v>17</v>
      </c>
      <c r="K1740">
        <v>5</v>
      </c>
      <c r="L1740" s="1" t="s">
        <v>26</v>
      </c>
      <c r="M1740">
        <v>216.2</v>
      </c>
      <c r="N1740">
        <v>760680.29</v>
      </c>
      <c r="O1740">
        <v>808586.12</v>
      </c>
      <c r="P1740">
        <v>196167.52</v>
      </c>
      <c r="Q1740" s="1" t="s">
        <v>5515</v>
      </c>
      <c r="R1740">
        <v>52</v>
      </c>
      <c r="S1740" s="1" t="s">
        <v>5516</v>
      </c>
      <c r="T1740" t="b">
        <v>1</v>
      </c>
    </row>
    <row r="1741" spans="1:20" x14ac:dyDescent="0.25">
      <c r="A1741" s="1" t="s">
        <v>5517</v>
      </c>
      <c r="B1741" s="1" t="s">
        <v>128</v>
      </c>
      <c r="C1741" s="1" t="s">
        <v>243</v>
      </c>
      <c r="D1741" s="1" t="s">
        <v>505</v>
      </c>
      <c r="E1741" s="1" t="s">
        <v>41</v>
      </c>
      <c r="F1741" s="1" t="s">
        <v>25</v>
      </c>
      <c r="G1741" s="2">
        <v>44873</v>
      </c>
      <c r="H1741" s="2">
        <v>44886</v>
      </c>
      <c r="I1741">
        <v>9</v>
      </c>
      <c r="J1741">
        <v>13</v>
      </c>
      <c r="K1741">
        <v>4</v>
      </c>
      <c r="L1741" s="1" t="s">
        <v>26</v>
      </c>
      <c r="M1741">
        <v>178.4</v>
      </c>
      <c r="N1741">
        <v>492520.84</v>
      </c>
      <c r="O1741">
        <v>3193802.62</v>
      </c>
      <c r="P1741">
        <v>431483.87</v>
      </c>
      <c r="Q1741" s="1" t="s">
        <v>5518</v>
      </c>
      <c r="R1741">
        <v>53</v>
      </c>
      <c r="S1741" s="1" t="s">
        <v>5519</v>
      </c>
      <c r="T1741" t="b">
        <v>1</v>
      </c>
    </row>
    <row r="1742" spans="1:20" x14ac:dyDescent="0.25">
      <c r="A1742" s="1" t="s">
        <v>5520</v>
      </c>
      <c r="B1742" s="1" t="s">
        <v>358</v>
      </c>
      <c r="C1742" s="1" t="s">
        <v>1021</v>
      </c>
      <c r="D1742" s="1" t="s">
        <v>176</v>
      </c>
      <c r="E1742" s="1" t="s">
        <v>65</v>
      </c>
      <c r="F1742" s="1" t="s">
        <v>66</v>
      </c>
      <c r="G1742" s="2">
        <v>45116</v>
      </c>
      <c r="H1742" s="2"/>
      <c r="I1742">
        <v>4</v>
      </c>
      <c r="J1742">
        <v>2</v>
      </c>
      <c r="K1742">
        <v>0</v>
      </c>
      <c r="L1742" s="1" t="s">
        <v>26</v>
      </c>
      <c r="M1742">
        <v>25.9</v>
      </c>
      <c r="N1742">
        <v>47397.79</v>
      </c>
      <c r="O1742">
        <v>2847828.29</v>
      </c>
      <c r="P1742">
        <v>329810.34999999998</v>
      </c>
      <c r="Q1742" s="1" t="s">
        <v>5521</v>
      </c>
      <c r="R1742">
        <v>68</v>
      </c>
      <c r="S1742" s="1" t="s">
        <v>5522</v>
      </c>
      <c r="T1742" t="b">
        <v>1</v>
      </c>
    </row>
    <row r="1743" spans="1:20" x14ac:dyDescent="0.25">
      <c r="A1743" s="1" t="s">
        <v>5523</v>
      </c>
      <c r="B1743" s="1" t="s">
        <v>228</v>
      </c>
      <c r="C1743" s="1" t="s">
        <v>1021</v>
      </c>
      <c r="D1743" s="1" t="s">
        <v>288</v>
      </c>
      <c r="E1743" s="1" t="s">
        <v>33</v>
      </c>
      <c r="F1743" s="1" t="s">
        <v>34</v>
      </c>
      <c r="G1743" s="2">
        <v>45495</v>
      </c>
      <c r="H1743" s="2"/>
      <c r="I1743">
        <v>12</v>
      </c>
      <c r="J1743">
        <v>9</v>
      </c>
      <c r="K1743">
        <v>0</v>
      </c>
      <c r="L1743" s="1" t="s">
        <v>26</v>
      </c>
      <c r="M1743">
        <v>53.1</v>
      </c>
      <c r="N1743">
        <v>99953.58</v>
      </c>
      <c r="O1743">
        <v>4801213.9000000004</v>
      </c>
      <c r="P1743">
        <v>814087.92</v>
      </c>
      <c r="Q1743" s="1" t="s">
        <v>5524</v>
      </c>
      <c r="R1743">
        <v>28</v>
      </c>
      <c r="S1743" s="1" t="s">
        <v>5525</v>
      </c>
      <c r="T1743" t="b">
        <v>0</v>
      </c>
    </row>
    <row r="1744" spans="1:20" x14ac:dyDescent="0.25">
      <c r="A1744" s="1" t="s">
        <v>5526</v>
      </c>
      <c r="B1744" s="1" t="s">
        <v>334</v>
      </c>
      <c r="C1744" s="1" t="s">
        <v>573</v>
      </c>
      <c r="D1744" s="1" t="s">
        <v>405</v>
      </c>
      <c r="E1744" s="1" t="s">
        <v>49</v>
      </c>
      <c r="F1744" s="1" t="s">
        <v>25</v>
      </c>
      <c r="G1744" s="2">
        <v>44953</v>
      </c>
      <c r="H1744" s="2">
        <v>44993</v>
      </c>
      <c r="I1744">
        <v>25</v>
      </c>
      <c r="J1744">
        <v>40</v>
      </c>
      <c r="K1744">
        <v>15</v>
      </c>
      <c r="L1744" s="1" t="s">
        <v>330</v>
      </c>
      <c r="M1744">
        <v>218.6</v>
      </c>
      <c r="N1744">
        <v>753549.74</v>
      </c>
      <c r="O1744">
        <v>450977.81</v>
      </c>
      <c r="P1744">
        <v>160765.54</v>
      </c>
      <c r="Q1744" s="1" t="s">
        <v>5527</v>
      </c>
      <c r="R1744">
        <v>79</v>
      </c>
      <c r="S1744" s="1" t="s">
        <v>5528</v>
      </c>
      <c r="T1744" t="b">
        <v>1</v>
      </c>
    </row>
    <row r="1745" spans="1:20" x14ac:dyDescent="0.25">
      <c r="A1745" s="1" t="s">
        <v>5529</v>
      </c>
      <c r="B1745" s="1" t="s">
        <v>358</v>
      </c>
      <c r="C1745" s="1" t="s">
        <v>581</v>
      </c>
      <c r="D1745" s="1" t="s">
        <v>48</v>
      </c>
      <c r="E1745" s="1" t="s">
        <v>65</v>
      </c>
      <c r="F1745" s="1" t="s">
        <v>25</v>
      </c>
      <c r="G1745" s="2">
        <v>45618</v>
      </c>
      <c r="H1745" s="2">
        <v>45625</v>
      </c>
      <c r="I1745">
        <v>4</v>
      </c>
      <c r="J1745">
        <v>7</v>
      </c>
      <c r="K1745">
        <v>2.5</v>
      </c>
      <c r="L1745" s="1" t="s">
        <v>26</v>
      </c>
      <c r="M1745">
        <v>31.7</v>
      </c>
      <c r="N1745">
        <v>104341.46</v>
      </c>
      <c r="O1745">
        <v>875777.53</v>
      </c>
      <c r="P1745">
        <v>189682.7</v>
      </c>
      <c r="Q1745" s="1" t="s">
        <v>5530</v>
      </c>
      <c r="R1745">
        <v>50</v>
      </c>
      <c r="S1745" s="1" t="s">
        <v>5531</v>
      </c>
      <c r="T1745" t="b">
        <v>0</v>
      </c>
    </row>
    <row r="1746" spans="1:20" x14ac:dyDescent="0.25">
      <c r="A1746" s="1" t="s">
        <v>5532</v>
      </c>
      <c r="B1746" s="1" t="s">
        <v>334</v>
      </c>
      <c r="C1746" s="1" t="s">
        <v>2318</v>
      </c>
      <c r="D1746" s="1" t="s">
        <v>595</v>
      </c>
      <c r="E1746" s="1" t="s">
        <v>65</v>
      </c>
      <c r="F1746" s="1" t="s">
        <v>34</v>
      </c>
      <c r="G1746" s="2">
        <v>45485</v>
      </c>
      <c r="H1746" s="2"/>
      <c r="I1746">
        <v>4</v>
      </c>
      <c r="J1746">
        <v>6</v>
      </c>
      <c r="K1746">
        <v>1.5</v>
      </c>
      <c r="L1746" s="1" t="s">
        <v>26</v>
      </c>
      <c r="M1746">
        <v>27</v>
      </c>
      <c r="N1746">
        <v>90850.79</v>
      </c>
      <c r="O1746">
        <v>1293306.51</v>
      </c>
      <c r="P1746">
        <v>149963.97</v>
      </c>
      <c r="Q1746" s="1" t="s">
        <v>5533</v>
      </c>
      <c r="R1746">
        <v>45</v>
      </c>
      <c r="S1746" s="1" t="s">
        <v>5534</v>
      </c>
      <c r="T1746" t="b">
        <v>0</v>
      </c>
    </row>
    <row r="1747" spans="1:20" x14ac:dyDescent="0.25">
      <c r="A1747" s="1" t="s">
        <v>5535</v>
      </c>
      <c r="B1747" s="1" t="s">
        <v>334</v>
      </c>
      <c r="C1747" s="1" t="s">
        <v>149</v>
      </c>
      <c r="D1747" s="1" t="s">
        <v>230</v>
      </c>
      <c r="E1747" s="1" t="s">
        <v>33</v>
      </c>
      <c r="F1747" s="1" t="s">
        <v>25</v>
      </c>
      <c r="G1747" s="2">
        <v>44980</v>
      </c>
      <c r="H1747" s="2">
        <v>44992</v>
      </c>
      <c r="I1747">
        <v>12</v>
      </c>
      <c r="J1747">
        <v>12</v>
      </c>
      <c r="K1747">
        <v>0</v>
      </c>
      <c r="L1747" s="1" t="s">
        <v>26</v>
      </c>
      <c r="M1747">
        <v>95.4</v>
      </c>
      <c r="N1747">
        <v>388344.17</v>
      </c>
      <c r="O1747">
        <v>2162761.73</v>
      </c>
      <c r="P1747">
        <v>289432.46000000002</v>
      </c>
      <c r="Q1747" s="1" t="s">
        <v>5536</v>
      </c>
      <c r="R1747">
        <v>66</v>
      </c>
      <c r="S1747" s="1" t="s">
        <v>5537</v>
      </c>
      <c r="T1747" t="b">
        <v>0</v>
      </c>
    </row>
    <row r="1748" spans="1:20" x14ac:dyDescent="0.25">
      <c r="A1748" s="1" t="s">
        <v>5538</v>
      </c>
      <c r="B1748" s="1" t="s">
        <v>220</v>
      </c>
      <c r="C1748" s="1" t="s">
        <v>573</v>
      </c>
      <c r="D1748" s="1" t="s">
        <v>48</v>
      </c>
      <c r="E1748" s="1" t="s">
        <v>65</v>
      </c>
      <c r="F1748" s="1" t="s">
        <v>34</v>
      </c>
      <c r="G1748" s="2">
        <v>45273</v>
      </c>
      <c r="H1748" s="2"/>
      <c r="I1748">
        <v>4</v>
      </c>
      <c r="J1748">
        <v>4</v>
      </c>
      <c r="K1748">
        <v>0</v>
      </c>
      <c r="L1748" s="1" t="s">
        <v>26</v>
      </c>
      <c r="M1748">
        <v>19.600000000000001</v>
      </c>
      <c r="N1748">
        <v>55884.55</v>
      </c>
      <c r="O1748">
        <v>4795318.13</v>
      </c>
      <c r="P1748">
        <v>687265.26</v>
      </c>
      <c r="Q1748" s="1" t="s">
        <v>1453</v>
      </c>
      <c r="R1748">
        <v>25</v>
      </c>
      <c r="S1748" s="1" t="s">
        <v>5539</v>
      </c>
      <c r="T1748" t="b">
        <v>1</v>
      </c>
    </row>
    <row r="1749" spans="1:20" x14ac:dyDescent="0.25">
      <c r="A1749" s="1" t="s">
        <v>5540</v>
      </c>
      <c r="B1749" s="1" t="s">
        <v>185</v>
      </c>
      <c r="C1749" s="1" t="s">
        <v>1794</v>
      </c>
      <c r="D1749" s="1" t="s">
        <v>372</v>
      </c>
      <c r="E1749" s="1" t="s">
        <v>49</v>
      </c>
      <c r="F1749" s="1" t="s">
        <v>25</v>
      </c>
      <c r="G1749" s="2">
        <v>44958</v>
      </c>
      <c r="H1749" s="2">
        <v>44968</v>
      </c>
      <c r="I1749">
        <v>25</v>
      </c>
      <c r="J1749">
        <v>10</v>
      </c>
      <c r="K1749">
        <v>0</v>
      </c>
      <c r="L1749" s="1" t="s">
        <v>26</v>
      </c>
      <c r="M1749">
        <v>150.69999999999999</v>
      </c>
      <c r="N1749">
        <v>467378.7</v>
      </c>
      <c r="O1749">
        <v>2949717.33</v>
      </c>
      <c r="P1749">
        <v>569086.30000000005</v>
      </c>
      <c r="Q1749" s="1" t="s">
        <v>5541</v>
      </c>
      <c r="R1749">
        <v>52</v>
      </c>
      <c r="S1749" s="1" t="s">
        <v>5542</v>
      </c>
      <c r="T1749" t="b">
        <v>1</v>
      </c>
    </row>
    <row r="1750" spans="1:20" x14ac:dyDescent="0.25">
      <c r="A1750" s="1" t="s">
        <v>5543</v>
      </c>
      <c r="B1750" s="1" t="s">
        <v>185</v>
      </c>
      <c r="C1750" s="1" t="s">
        <v>234</v>
      </c>
      <c r="D1750" s="1" t="s">
        <v>78</v>
      </c>
      <c r="E1750" s="1" t="s">
        <v>24</v>
      </c>
      <c r="F1750" s="1" t="s">
        <v>25</v>
      </c>
      <c r="G1750" s="2">
        <v>44986</v>
      </c>
      <c r="H1750" s="2">
        <v>44989</v>
      </c>
      <c r="I1750">
        <v>3</v>
      </c>
      <c r="J1750">
        <v>3</v>
      </c>
      <c r="K1750">
        <v>0</v>
      </c>
      <c r="L1750" s="1" t="s">
        <v>26</v>
      </c>
      <c r="M1750">
        <v>42.8</v>
      </c>
      <c r="N1750">
        <v>137253.16</v>
      </c>
      <c r="O1750">
        <v>3990218.23</v>
      </c>
      <c r="P1750">
        <v>728621.13</v>
      </c>
      <c r="Q1750" s="1" t="s">
        <v>3874</v>
      </c>
      <c r="R1750">
        <v>24</v>
      </c>
      <c r="S1750" s="1" t="s">
        <v>5544</v>
      </c>
      <c r="T1750" t="b">
        <v>1</v>
      </c>
    </row>
    <row r="1751" spans="1:20" x14ac:dyDescent="0.25">
      <c r="A1751" s="1" t="s">
        <v>5545</v>
      </c>
      <c r="B1751" s="1" t="s">
        <v>38</v>
      </c>
      <c r="C1751" s="1" t="s">
        <v>800</v>
      </c>
      <c r="D1751" s="1" t="s">
        <v>372</v>
      </c>
      <c r="E1751" s="1" t="s">
        <v>65</v>
      </c>
      <c r="F1751" s="1" t="s">
        <v>50</v>
      </c>
      <c r="G1751" s="2">
        <v>45093</v>
      </c>
      <c r="H1751" s="2"/>
      <c r="I1751">
        <v>4</v>
      </c>
      <c r="J1751">
        <v>1</v>
      </c>
      <c r="K1751">
        <v>0</v>
      </c>
      <c r="L1751" s="1" t="s">
        <v>26</v>
      </c>
      <c r="M1751">
        <v>15.5</v>
      </c>
      <c r="N1751">
        <v>37666.050000000003</v>
      </c>
      <c r="O1751">
        <v>2208093.81</v>
      </c>
      <c r="P1751">
        <v>350516.91</v>
      </c>
      <c r="Q1751" s="1" t="s">
        <v>5546</v>
      </c>
      <c r="R1751">
        <v>60</v>
      </c>
      <c r="S1751" s="1" t="s">
        <v>5547</v>
      </c>
      <c r="T1751" t="b">
        <v>1</v>
      </c>
    </row>
    <row r="1752" spans="1:20" x14ac:dyDescent="0.25">
      <c r="A1752" s="1" t="s">
        <v>5548</v>
      </c>
      <c r="B1752" s="1" t="s">
        <v>21</v>
      </c>
      <c r="C1752" s="1" t="s">
        <v>808</v>
      </c>
      <c r="D1752" s="1" t="s">
        <v>288</v>
      </c>
      <c r="E1752" s="1" t="s">
        <v>41</v>
      </c>
      <c r="F1752" s="1" t="s">
        <v>25</v>
      </c>
      <c r="G1752" s="2">
        <v>45240</v>
      </c>
      <c r="H1752" s="2">
        <v>45245</v>
      </c>
      <c r="I1752">
        <v>9</v>
      </c>
      <c r="J1752">
        <v>5</v>
      </c>
      <c r="K1752">
        <v>0</v>
      </c>
      <c r="L1752" s="1" t="s">
        <v>26</v>
      </c>
      <c r="M1752">
        <v>59.5</v>
      </c>
      <c r="N1752">
        <v>170370.91</v>
      </c>
      <c r="O1752">
        <v>49054.41</v>
      </c>
      <c r="P1752">
        <v>34155.599999999999</v>
      </c>
      <c r="Q1752" s="1" t="s">
        <v>1781</v>
      </c>
      <c r="R1752">
        <v>69</v>
      </c>
      <c r="S1752" s="1" t="s">
        <v>5549</v>
      </c>
      <c r="T1752" t="b">
        <v>0</v>
      </c>
    </row>
    <row r="1753" spans="1:20" x14ac:dyDescent="0.25">
      <c r="A1753" s="1" t="s">
        <v>5550</v>
      </c>
      <c r="B1753" s="1" t="s">
        <v>174</v>
      </c>
      <c r="C1753" s="1" t="s">
        <v>693</v>
      </c>
      <c r="D1753" s="1" t="s">
        <v>713</v>
      </c>
      <c r="E1753" s="1" t="s">
        <v>65</v>
      </c>
      <c r="F1753" s="1" t="s">
        <v>34</v>
      </c>
      <c r="G1753" s="2">
        <v>45241</v>
      </c>
      <c r="H1753" s="2"/>
      <c r="I1753">
        <v>4</v>
      </c>
      <c r="J1753">
        <v>3</v>
      </c>
      <c r="K1753">
        <v>0</v>
      </c>
      <c r="L1753" s="1" t="s">
        <v>26</v>
      </c>
      <c r="M1753">
        <v>33.299999999999997</v>
      </c>
      <c r="N1753">
        <v>74936.899999999994</v>
      </c>
      <c r="O1753">
        <v>3873748.85</v>
      </c>
      <c r="P1753">
        <v>765753.25</v>
      </c>
      <c r="Q1753" s="1" t="s">
        <v>1446</v>
      </c>
      <c r="R1753">
        <v>30</v>
      </c>
      <c r="S1753" s="1" t="s">
        <v>5551</v>
      </c>
      <c r="T1753" t="b">
        <v>1</v>
      </c>
    </row>
    <row r="1754" spans="1:20" x14ac:dyDescent="0.25">
      <c r="A1754" s="1" t="s">
        <v>5552</v>
      </c>
      <c r="B1754" s="1" t="s">
        <v>328</v>
      </c>
      <c r="C1754" s="1" t="s">
        <v>1321</v>
      </c>
      <c r="D1754" s="1" t="s">
        <v>263</v>
      </c>
      <c r="E1754" s="1" t="s">
        <v>49</v>
      </c>
      <c r="F1754" s="1" t="s">
        <v>25</v>
      </c>
      <c r="G1754" s="2">
        <v>44788</v>
      </c>
      <c r="H1754" s="2">
        <v>44802</v>
      </c>
      <c r="I1754">
        <v>25</v>
      </c>
      <c r="J1754">
        <v>14</v>
      </c>
      <c r="K1754">
        <v>0</v>
      </c>
      <c r="L1754" s="1" t="s">
        <v>26</v>
      </c>
      <c r="M1754">
        <v>97.2</v>
      </c>
      <c r="N1754">
        <v>229985.42</v>
      </c>
      <c r="O1754">
        <v>2189580.0699999998</v>
      </c>
      <c r="P1754">
        <v>365343.08</v>
      </c>
      <c r="Q1754" s="1" t="s">
        <v>5553</v>
      </c>
      <c r="R1754">
        <v>78</v>
      </c>
      <c r="S1754" s="1" t="s">
        <v>5554</v>
      </c>
      <c r="T1754" t="b">
        <v>0</v>
      </c>
    </row>
    <row r="1755" spans="1:20" x14ac:dyDescent="0.25">
      <c r="A1755" s="1" t="s">
        <v>5555</v>
      </c>
      <c r="B1755" s="1" t="s">
        <v>545</v>
      </c>
      <c r="C1755" s="1" t="s">
        <v>424</v>
      </c>
      <c r="D1755" s="1" t="s">
        <v>350</v>
      </c>
      <c r="E1755" s="1" t="s">
        <v>49</v>
      </c>
      <c r="F1755" s="1" t="s">
        <v>25</v>
      </c>
      <c r="G1755" s="2">
        <v>45576</v>
      </c>
      <c r="H1755" s="2">
        <v>45605</v>
      </c>
      <c r="I1755">
        <v>25</v>
      </c>
      <c r="J1755">
        <v>29</v>
      </c>
      <c r="K1755">
        <v>4</v>
      </c>
      <c r="L1755" s="1" t="s">
        <v>26</v>
      </c>
      <c r="M1755">
        <v>446.3</v>
      </c>
      <c r="N1755">
        <v>1138985.75</v>
      </c>
      <c r="O1755">
        <v>4010533.71</v>
      </c>
      <c r="P1755">
        <v>627629.04</v>
      </c>
      <c r="Q1755" s="1" t="s">
        <v>5556</v>
      </c>
      <c r="R1755">
        <v>41</v>
      </c>
      <c r="S1755" s="1" t="s">
        <v>5557</v>
      </c>
      <c r="T1755" t="b">
        <v>1</v>
      </c>
    </row>
    <row r="1756" spans="1:20" x14ac:dyDescent="0.25">
      <c r="A1756" s="1" t="s">
        <v>5558</v>
      </c>
      <c r="B1756" s="1" t="s">
        <v>174</v>
      </c>
      <c r="C1756" s="1" t="s">
        <v>129</v>
      </c>
      <c r="D1756" s="1" t="s">
        <v>410</v>
      </c>
      <c r="E1756" s="1" t="s">
        <v>57</v>
      </c>
      <c r="F1756" s="1" t="s">
        <v>25</v>
      </c>
      <c r="G1756" s="2">
        <v>44724</v>
      </c>
      <c r="H1756" s="2">
        <v>44784</v>
      </c>
      <c r="I1756">
        <v>40</v>
      </c>
      <c r="J1756">
        <v>60</v>
      </c>
      <c r="K1756">
        <v>20</v>
      </c>
      <c r="L1756" s="1" t="s">
        <v>101</v>
      </c>
      <c r="M1756">
        <v>384.5</v>
      </c>
      <c r="N1756">
        <v>1665498.8</v>
      </c>
      <c r="O1756">
        <v>1618662.32</v>
      </c>
      <c r="P1756">
        <v>441592.55</v>
      </c>
      <c r="Q1756" s="1" t="s">
        <v>5559</v>
      </c>
      <c r="R1756">
        <v>59</v>
      </c>
      <c r="S1756" s="1" t="s">
        <v>5560</v>
      </c>
      <c r="T1756" t="b">
        <v>0</v>
      </c>
    </row>
    <row r="1757" spans="1:20" x14ac:dyDescent="0.25">
      <c r="A1757" s="1" t="s">
        <v>5561</v>
      </c>
      <c r="B1757" s="1" t="s">
        <v>174</v>
      </c>
      <c r="C1757" s="1" t="s">
        <v>258</v>
      </c>
      <c r="D1757" s="1" t="s">
        <v>230</v>
      </c>
      <c r="E1757" s="1" t="s">
        <v>49</v>
      </c>
      <c r="F1757" s="1" t="s">
        <v>34</v>
      </c>
      <c r="G1757" s="2">
        <v>45124</v>
      </c>
      <c r="H1757" s="2"/>
      <c r="I1757">
        <v>25</v>
      </c>
      <c r="J1757">
        <v>24</v>
      </c>
      <c r="K1757">
        <v>0</v>
      </c>
      <c r="L1757" s="1" t="s">
        <v>26</v>
      </c>
      <c r="M1757">
        <v>374</v>
      </c>
      <c r="N1757">
        <v>761038.05</v>
      </c>
      <c r="O1757">
        <v>3432297.82</v>
      </c>
      <c r="P1757">
        <v>715279.98</v>
      </c>
      <c r="Q1757" s="1" t="s">
        <v>4738</v>
      </c>
      <c r="R1757">
        <v>40</v>
      </c>
      <c r="S1757" s="1" t="s">
        <v>5562</v>
      </c>
      <c r="T1757" t="b">
        <v>1</v>
      </c>
    </row>
    <row r="1758" spans="1:20" x14ac:dyDescent="0.25">
      <c r="A1758" s="1" t="s">
        <v>5563</v>
      </c>
      <c r="B1758" s="1" t="s">
        <v>358</v>
      </c>
      <c r="C1758" s="1" t="s">
        <v>497</v>
      </c>
      <c r="D1758" s="1" t="s">
        <v>78</v>
      </c>
      <c r="E1758" s="1" t="s">
        <v>49</v>
      </c>
      <c r="F1758" s="1" t="s">
        <v>66</v>
      </c>
      <c r="G1758" s="2">
        <v>44803</v>
      </c>
      <c r="H1758" s="2"/>
      <c r="I1758">
        <v>25</v>
      </c>
      <c r="J1758">
        <v>25</v>
      </c>
      <c r="K1758">
        <v>0</v>
      </c>
      <c r="L1758" s="1" t="s">
        <v>26</v>
      </c>
      <c r="M1758">
        <v>227.3</v>
      </c>
      <c r="N1758">
        <v>614515.09</v>
      </c>
      <c r="O1758">
        <v>1348421.91</v>
      </c>
      <c r="P1758">
        <v>276039.81</v>
      </c>
      <c r="Q1758" s="1" t="s">
        <v>5564</v>
      </c>
      <c r="R1758">
        <v>76</v>
      </c>
      <c r="S1758" s="1" t="s">
        <v>5565</v>
      </c>
      <c r="T1758" t="b">
        <v>1</v>
      </c>
    </row>
    <row r="1759" spans="1:20" x14ac:dyDescent="0.25">
      <c r="A1759" s="1" t="s">
        <v>5566</v>
      </c>
      <c r="B1759" s="1" t="s">
        <v>334</v>
      </c>
      <c r="C1759" s="1" t="s">
        <v>1570</v>
      </c>
      <c r="D1759" s="1" t="s">
        <v>107</v>
      </c>
      <c r="E1759" s="1" t="s">
        <v>65</v>
      </c>
      <c r="F1759" s="1" t="s">
        <v>66</v>
      </c>
      <c r="G1759" s="2">
        <v>45387</v>
      </c>
      <c r="H1759" s="2"/>
      <c r="I1759">
        <v>4</v>
      </c>
      <c r="J1759">
        <v>7</v>
      </c>
      <c r="K1759">
        <v>2.5</v>
      </c>
      <c r="L1759" s="1" t="s">
        <v>26</v>
      </c>
      <c r="M1759">
        <v>48</v>
      </c>
      <c r="N1759">
        <v>180052.29</v>
      </c>
      <c r="O1759">
        <v>4568439.63</v>
      </c>
      <c r="P1759">
        <v>498506.36</v>
      </c>
      <c r="Q1759" s="1" t="s">
        <v>5567</v>
      </c>
      <c r="R1759">
        <v>73</v>
      </c>
      <c r="S1759" s="1" t="s">
        <v>5568</v>
      </c>
      <c r="T1759" t="b">
        <v>1</v>
      </c>
    </row>
    <row r="1760" spans="1:20" x14ac:dyDescent="0.25">
      <c r="A1760" s="1" t="s">
        <v>5569</v>
      </c>
      <c r="B1760" s="1" t="s">
        <v>471</v>
      </c>
      <c r="C1760" s="1" t="s">
        <v>877</v>
      </c>
      <c r="D1760" s="1" t="s">
        <v>655</v>
      </c>
      <c r="E1760" s="1" t="s">
        <v>57</v>
      </c>
      <c r="F1760" s="1" t="s">
        <v>50</v>
      </c>
      <c r="G1760" s="2">
        <v>45373</v>
      </c>
      <c r="H1760" s="2"/>
      <c r="I1760">
        <v>40</v>
      </c>
      <c r="J1760">
        <v>22</v>
      </c>
      <c r="K1760">
        <v>0</v>
      </c>
      <c r="L1760" s="1" t="s">
        <v>26</v>
      </c>
      <c r="M1760">
        <v>110.7</v>
      </c>
      <c r="N1760">
        <v>419365.03</v>
      </c>
      <c r="O1760">
        <v>2882279.92</v>
      </c>
      <c r="P1760">
        <v>545500.31000000006</v>
      </c>
      <c r="Q1760" s="1" t="s">
        <v>5570</v>
      </c>
      <c r="R1760">
        <v>37</v>
      </c>
      <c r="S1760" s="1" t="s">
        <v>5571</v>
      </c>
      <c r="T1760" t="b">
        <v>1</v>
      </c>
    </row>
    <row r="1761" spans="1:20" x14ac:dyDescent="0.25">
      <c r="A1761" s="1" t="s">
        <v>5572</v>
      </c>
      <c r="B1761" s="1" t="s">
        <v>62</v>
      </c>
      <c r="C1761" s="1" t="s">
        <v>1769</v>
      </c>
      <c r="D1761" s="1" t="s">
        <v>165</v>
      </c>
      <c r="E1761" s="1" t="s">
        <v>41</v>
      </c>
      <c r="F1761" s="1" t="s">
        <v>66</v>
      </c>
      <c r="G1761" s="2">
        <v>45187</v>
      </c>
      <c r="H1761" s="2"/>
      <c r="I1761">
        <v>9</v>
      </c>
      <c r="J1761">
        <v>5</v>
      </c>
      <c r="K1761">
        <v>0</v>
      </c>
      <c r="L1761" s="1" t="s">
        <v>26</v>
      </c>
      <c r="M1761">
        <v>48.8</v>
      </c>
      <c r="N1761">
        <v>141889.25</v>
      </c>
      <c r="O1761">
        <v>253611.17</v>
      </c>
      <c r="P1761">
        <v>64404.46</v>
      </c>
      <c r="Q1761" s="1" t="s">
        <v>5573</v>
      </c>
      <c r="R1761">
        <v>60</v>
      </c>
      <c r="S1761" s="1" t="s">
        <v>5574</v>
      </c>
      <c r="T1761" t="b">
        <v>1</v>
      </c>
    </row>
    <row r="1762" spans="1:20" x14ac:dyDescent="0.25">
      <c r="A1762" s="1" t="s">
        <v>5575</v>
      </c>
      <c r="B1762" s="1" t="s">
        <v>629</v>
      </c>
      <c r="C1762" s="1" t="s">
        <v>982</v>
      </c>
      <c r="D1762" s="1" t="s">
        <v>359</v>
      </c>
      <c r="E1762" s="1" t="s">
        <v>33</v>
      </c>
      <c r="F1762" s="1" t="s">
        <v>50</v>
      </c>
      <c r="G1762" s="2">
        <v>45124</v>
      </c>
      <c r="H1762" s="2"/>
      <c r="I1762">
        <v>12</v>
      </c>
      <c r="J1762">
        <v>9</v>
      </c>
      <c r="K1762">
        <v>0</v>
      </c>
      <c r="L1762" s="1" t="s">
        <v>26</v>
      </c>
      <c r="M1762">
        <v>57.2</v>
      </c>
      <c r="N1762">
        <v>149293.87</v>
      </c>
      <c r="O1762">
        <v>34990.21</v>
      </c>
      <c r="P1762">
        <v>33880.730000000003</v>
      </c>
      <c r="Q1762" s="1" t="s">
        <v>5576</v>
      </c>
      <c r="R1762">
        <v>76</v>
      </c>
      <c r="S1762" s="1" t="s">
        <v>5577</v>
      </c>
      <c r="T1762" t="b">
        <v>0</v>
      </c>
    </row>
    <row r="1763" spans="1:20" x14ac:dyDescent="0.25">
      <c r="A1763" s="1" t="s">
        <v>5578</v>
      </c>
      <c r="B1763" s="1" t="s">
        <v>21</v>
      </c>
      <c r="C1763" s="1" t="s">
        <v>2815</v>
      </c>
      <c r="D1763" s="1" t="s">
        <v>320</v>
      </c>
      <c r="E1763" s="1" t="s">
        <v>41</v>
      </c>
      <c r="F1763" s="1" t="s">
        <v>25</v>
      </c>
      <c r="G1763" s="2">
        <v>45381</v>
      </c>
      <c r="H1763" s="2">
        <v>45385</v>
      </c>
      <c r="I1763">
        <v>9</v>
      </c>
      <c r="J1763">
        <v>4</v>
      </c>
      <c r="K1763">
        <v>0</v>
      </c>
      <c r="L1763" s="1" t="s">
        <v>26</v>
      </c>
      <c r="M1763">
        <v>60.6</v>
      </c>
      <c r="N1763">
        <v>162468.54999999999</v>
      </c>
      <c r="O1763">
        <v>1370102.49</v>
      </c>
      <c r="P1763">
        <v>288238.48</v>
      </c>
      <c r="Q1763" s="1" t="s">
        <v>5579</v>
      </c>
      <c r="R1763">
        <v>76</v>
      </c>
      <c r="S1763" s="1" t="s">
        <v>5580</v>
      </c>
      <c r="T1763" t="b">
        <v>0</v>
      </c>
    </row>
    <row r="1764" spans="1:20" x14ac:dyDescent="0.25">
      <c r="A1764" s="1" t="s">
        <v>5581</v>
      </c>
      <c r="B1764" s="1" t="s">
        <v>328</v>
      </c>
      <c r="C1764" s="1" t="s">
        <v>630</v>
      </c>
      <c r="D1764" s="1" t="s">
        <v>159</v>
      </c>
      <c r="E1764" s="1" t="s">
        <v>24</v>
      </c>
      <c r="F1764" s="1" t="s">
        <v>34</v>
      </c>
      <c r="G1764" s="2">
        <v>45554</v>
      </c>
      <c r="H1764" s="2"/>
      <c r="I1764">
        <v>3</v>
      </c>
      <c r="J1764">
        <v>4</v>
      </c>
      <c r="K1764">
        <v>1</v>
      </c>
      <c r="L1764" s="1" t="s">
        <v>26</v>
      </c>
      <c r="M1764">
        <v>46.4</v>
      </c>
      <c r="N1764">
        <v>100781.85</v>
      </c>
      <c r="O1764">
        <v>688804.78</v>
      </c>
      <c r="P1764">
        <v>128633.64</v>
      </c>
      <c r="Q1764" s="1" t="s">
        <v>5582</v>
      </c>
      <c r="R1764">
        <v>26</v>
      </c>
      <c r="S1764" s="1" t="s">
        <v>5583</v>
      </c>
      <c r="T1764" t="b">
        <v>1</v>
      </c>
    </row>
    <row r="1765" spans="1:20" x14ac:dyDescent="0.25">
      <c r="A1765" s="1" t="s">
        <v>5584</v>
      </c>
      <c r="B1765" s="1" t="s">
        <v>158</v>
      </c>
      <c r="C1765" s="1" t="s">
        <v>1032</v>
      </c>
      <c r="D1765" s="1" t="s">
        <v>758</v>
      </c>
      <c r="E1765" s="1" t="s">
        <v>24</v>
      </c>
      <c r="F1765" s="1" t="s">
        <v>25</v>
      </c>
      <c r="G1765" s="2">
        <v>45648</v>
      </c>
      <c r="H1765" s="2">
        <v>45652</v>
      </c>
      <c r="I1765">
        <v>3</v>
      </c>
      <c r="J1765">
        <v>4</v>
      </c>
      <c r="K1765">
        <v>1</v>
      </c>
      <c r="L1765" s="1" t="s">
        <v>26</v>
      </c>
      <c r="M1765">
        <v>51.5</v>
      </c>
      <c r="N1765">
        <v>221388.93</v>
      </c>
      <c r="O1765">
        <v>776283.75</v>
      </c>
      <c r="P1765">
        <v>149781.75</v>
      </c>
      <c r="Q1765" s="1" t="s">
        <v>5585</v>
      </c>
      <c r="R1765">
        <v>66</v>
      </c>
      <c r="S1765" s="1" t="s">
        <v>5586</v>
      </c>
      <c r="T1765" t="b">
        <v>1</v>
      </c>
    </row>
    <row r="1766" spans="1:20" x14ac:dyDescent="0.25">
      <c r="A1766" s="1" t="s">
        <v>5587</v>
      </c>
      <c r="B1766" s="1" t="s">
        <v>242</v>
      </c>
      <c r="C1766" s="1" t="s">
        <v>3924</v>
      </c>
      <c r="D1766" s="1" t="s">
        <v>72</v>
      </c>
      <c r="E1766" s="1" t="s">
        <v>33</v>
      </c>
      <c r="F1766" s="1" t="s">
        <v>34</v>
      </c>
      <c r="G1766" s="2">
        <v>45065</v>
      </c>
      <c r="H1766" s="2"/>
      <c r="I1766">
        <v>12</v>
      </c>
      <c r="J1766">
        <v>13</v>
      </c>
      <c r="K1766">
        <v>1</v>
      </c>
      <c r="L1766" s="1" t="s">
        <v>26</v>
      </c>
      <c r="M1766">
        <v>122.8</v>
      </c>
      <c r="N1766">
        <v>511072.73</v>
      </c>
      <c r="O1766">
        <v>2749622.48</v>
      </c>
      <c r="P1766">
        <v>355200.84</v>
      </c>
      <c r="Q1766" s="1" t="s">
        <v>5247</v>
      </c>
      <c r="R1766">
        <v>43</v>
      </c>
      <c r="S1766" s="1" t="s">
        <v>5588</v>
      </c>
      <c r="T1766" t="b">
        <v>0</v>
      </c>
    </row>
    <row r="1767" spans="1:20" x14ac:dyDescent="0.25">
      <c r="A1767" s="1" t="s">
        <v>5589</v>
      </c>
      <c r="B1767" s="1" t="s">
        <v>228</v>
      </c>
      <c r="C1767" s="1" t="s">
        <v>1769</v>
      </c>
      <c r="D1767" s="1" t="s">
        <v>187</v>
      </c>
      <c r="E1767" s="1" t="s">
        <v>41</v>
      </c>
      <c r="F1767" s="1" t="s">
        <v>66</v>
      </c>
      <c r="G1767" s="2">
        <v>45540</v>
      </c>
      <c r="H1767" s="2"/>
      <c r="I1767">
        <v>9</v>
      </c>
      <c r="J1767">
        <v>7</v>
      </c>
      <c r="K1767">
        <v>0</v>
      </c>
      <c r="L1767" s="1" t="s">
        <v>26</v>
      </c>
      <c r="M1767">
        <v>52.2</v>
      </c>
      <c r="N1767">
        <v>149691.06</v>
      </c>
      <c r="O1767">
        <v>2234597.04</v>
      </c>
      <c r="P1767">
        <v>383753.63</v>
      </c>
      <c r="Q1767" s="1" t="s">
        <v>5590</v>
      </c>
      <c r="R1767">
        <v>70</v>
      </c>
      <c r="S1767" s="1" t="s">
        <v>5591</v>
      </c>
      <c r="T1767" t="b">
        <v>1</v>
      </c>
    </row>
    <row r="1768" spans="1:20" x14ac:dyDescent="0.25">
      <c r="A1768" s="1" t="s">
        <v>5592</v>
      </c>
      <c r="B1768" s="1" t="s">
        <v>566</v>
      </c>
      <c r="C1768" s="1" t="s">
        <v>4801</v>
      </c>
      <c r="D1768" s="1" t="s">
        <v>207</v>
      </c>
      <c r="E1768" s="1" t="s">
        <v>33</v>
      </c>
      <c r="F1768" s="1" t="s">
        <v>25</v>
      </c>
      <c r="G1768" s="2">
        <v>45595</v>
      </c>
      <c r="H1768" s="2">
        <v>45608</v>
      </c>
      <c r="I1768">
        <v>12</v>
      </c>
      <c r="J1768">
        <v>13</v>
      </c>
      <c r="K1768">
        <v>1</v>
      </c>
      <c r="L1768" s="1" t="s">
        <v>26</v>
      </c>
      <c r="M1768">
        <v>110.4</v>
      </c>
      <c r="N1768">
        <v>219144.94</v>
      </c>
      <c r="O1768">
        <v>2867207.25</v>
      </c>
      <c r="P1768">
        <v>520973.9</v>
      </c>
      <c r="Q1768" s="1" t="s">
        <v>3184</v>
      </c>
      <c r="R1768">
        <v>33</v>
      </c>
      <c r="S1768" s="1" t="s">
        <v>5593</v>
      </c>
      <c r="T1768" t="b">
        <v>1</v>
      </c>
    </row>
    <row r="1769" spans="1:20" x14ac:dyDescent="0.25">
      <c r="A1769" s="1" t="s">
        <v>5594</v>
      </c>
      <c r="B1769" s="1" t="s">
        <v>451</v>
      </c>
      <c r="C1769" s="1" t="s">
        <v>738</v>
      </c>
      <c r="D1769" s="1" t="s">
        <v>230</v>
      </c>
      <c r="E1769" s="1" t="s">
        <v>24</v>
      </c>
      <c r="F1769" s="1" t="s">
        <v>66</v>
      </c>
      <c r="G1769" s="2">
        <v>45441</v>
      </c>
      <c r="H1769" s="2"/>
      <c r="I1769">
        <v>3</v>
      </c>
      <c r="J1769">
        <v>5</v>
      </c>
      <c r="K1769">
        <v>2</v>
      </c>
      <c r="L1769" s="1" t="s">
        <v>26</v>
      </c>
      <c r="M1769">
        <v>30.7</v>
      </c>
      <c r="N1769">
        <v>118201.32</v>
      </c>
      <c r="O1769">
        <v>3802170.24</v>
      </c>
      <c r="P1769">
        <v>594857.28</v>
      </c>
      <c r="Q1769" s="1" t="s">
        <v>5595</v>
      </c>
      <c r="R1769">
        <v>48</v>
      </c>
      <c r="S1769" s="1" t="s">
        <v>5596</v>
      </c>
      <c r="T1769" t="b">
        <v>0</v>
      </c>
    </row>
    <row r="1770" spans="1:20" x14ac:dyDescent="0.25">
      <c r="A1770" s="1" t="s">
        <v>5597</v>
      </c>
      <c r="B1770" s="1" t="s">
        <v>76</v>
      </c>
      <c r="C1770" s="1" t="s">
        <v>1360</v>
      </c>
      <c r="D1770" s="1" t="s">
        <v>268</v>
      </c>
      <c r="E1770" s="1" t="s">
        <v>65</v>
      </c>
      <c r="F1770" s="1" t="s">
        <v>50</v>
      </c>
      <c r="G1770" s="2">
        <v>45279</v>
      </c>
      <c r="H1770" s="2"/>
      <c r="I1770">
        <v>4</v>
      </c>
      <c r="J1770">
        <v>6</v>
      </c>
      <c r="K1770">
        <v>1.5</v>
      </c>
      <c r="L1770" s="1" t="s">
        <v>26</v>
      </c>
      <c r="M1770">
        <v>65.900000000000006</v>
      </c>
      <c r="N1770">
        <v>125150.1</v>
      </c>
      <c r="O1770">
        <v>103522.83</v>
      </c>
      <c r="P1770">
        <v>30325.32</v>
      </c>
      <c r="Q1770" s="1" t="s">
        <v>5598</v>
      </c>
      <c r="R1770">
        <v>69</v>
      </c>
      <c r="S1770" s="1" t="s">
        <v>5599</v>
      </c>
      <c r="T1770" t="b">
        <v>0</v>
      </c>
    </row>
    <row r="1771" spans="1:20" x14ac:dyDescent="0.25">
      <c r="A1771" s="1" t="s">
        <v>5600</v>
      </c>
      <c r="B1771" s="1" t="s">
        <v>117</v>
      </c>
      <c r="C1771" s="1" t="s">
        <v>191</v>
      </c>
      <c r="D1771" s="1" t="s">
        <v>263</v>
      </c>
      <c r="E1771" s="1" t="s">
        <v>41</v>
      </c>
      <c r="F1771" s="1" t="s">
        <v>25</v>
      </c>
      <c r="G1771" s="2">
        <v>45526</v>
      </c>
      <c r="H1771" s="2">
        <v>45530</v>
      </c>
      <c r="I1771">
        <v>9</v>
      </c>
      <c r="J1771">
        <v>4</v>
      </c>
      <c r="K1771">
        <v>0</v>
      </c>
      <c r="L1771" s="1" t="s">
        <v>26</v>
      </c>
      <c r="M1771">
        <v>32.1</v>
      </c>
      <c r="N1771">
        <v>93360.39</v>
      </c>
      <c r="O1771">
        <v>2822749.71</v>
      </c>
      <c r="P1771">
        <v>568860.01</v>
      </c>
      <c r="Q1771" s="1" t="s">
        <v>1623</v>
      </c>
      <c r="R1771">
        <v>45</v>
      </c>
      <c r="S1771" s="1" t="s">
        <v>5601</v>
      </c>
      <c r="T1771" t="b">
        <v>1</v>
      </c>
    </row>
    <row r="1772" spans="1:20" x14ac:dyDescent="0.25">
      <c r="A1772" s="1" t="s">
        <v>5602</v>
      </c>
      <c r="B1772" s="1" t="s">
        <v>228</v>
      </c>
      <c r="C1772" s="1" t="s">
        <v>2635</v>
      </c>
      <c r="D1772" s="1" t="s">
        <v>216</v>
      </c>
      <c r="E1772" s="1" t="s">
        <v>33</v>
      </c>
      <c r="F1772" s="1" t="s">
        <v>25</v>
      </c>
      <c r="G1772" s="2">
        <v>45173</v>
      </c>
      <c r="H1772" s="2">
        <v>45182</v>
      </c>
      <c r="I1772">
        <v>12</v>
      </c>
      <c r="J1772">
        <v>9</v>
      </c>
      <c r="K1772">
        <v>0</v>
      </c>
      <c r="L1772" s="1" t="s">
        <v>26</v>
      </c>
      <c r="M1772">
        <v>74.900000000000006</v>
      </c>
      <c r="N1772">
        <v>228616.88</v>
      </c>
      <c r="O1772">
        <v>633696.94999999995</v>
      </c>
      <c r="P1772">
        <v>90625.15</v>
      </c>
      <c r="Q1772" s="1" t="s">
        <v>5603</v>
      </c>
      <c r="R1772">
        <v>49</v>
      </c>
      <c r="S1772" s="1" t="s">
        <v>5604</v>
      </c>
      <c r="T1772" t="b">
        <v>1</v>
      </c>
    </row>
    <row r="1773" spans="1:20" x14ac:dyDescent="0.25">
      <c r="A1773" s="1" t="s">
        <v>5605</v>
      </c>
      <c r="B1773" s="1" t="s">
        <v>348</v>
      </c>
      <c r="C1773" s="1" t="s">
        <v>486</v>
      </c>
      <c r="D1773" s="1" t="s">
        <v>726</v>
      </c>
      <c r="E1773" s="1" t="s">
        <v>49</v>
      </c>
      <c r="F1773" s="1" t="s">
        <v>25</v>
      </c>
      <c r="G1773" s="2">
        <v>45151</v>
      </c>
      <c r="H1773" s="2">
        <v>45168</v>
      </c>
      <c r="I1773">
        <v>25</v>
      </c>
      <c r="J1773">
        <v>17</v>
      </c>
      <c r="K1773">
        <v>0</v>
      </c>
      <c r="L1773" s="1" t="s">
        <v>26</v>
      </c>
      <c r="M1773">
        <v>203.3</v>
      </c>
      <c r="N1773">
        <v>815303.63</v>
      </c>
      <c r="O1773">
        <v>3299723.38</v>
      </c>
      <c r="P1773">
        <v>697182.03</v>
      </c>
      <c r="Q1773" s="1" t="s">
        <v>222</v>
      </c>
      <c r="R1773">
        <v>41</v>
      </c>
      <c r="S1773" s="1" t="s">
        <v>5606</v>
      </c>
      <c r="T1773" t="b">
        <v>0</v>
      </c>
    </row>
    <row r="1774" spans="1:20" x14ac:dyDescent="0.25">
      <c r="A1774" s="1" t="s">
        <v>5607</v>
      </c>
      <c r="B1774" s="1" t="s">
        <v>348</v>
      </c>
      <c r="C1774" s="1" t="s">
        <v>486</v>
      </c>
      <c r="D1774" s="1" t="s">
        <v>372</v>
      </c>
      <c r="E1774" s="1" t="s">
        <v>33</v>
      </c>
      <c r="F1774" s="1" t="s">
        <v>25</v>
      </c>
      <c r="G1774" s="2">
        <v>45083</v>
      </c>
      <c r="H1774" s="2">
        <v>45094</v>
      </c>
      <c r="I1774">
        <v>12</v>
      </c>
      <c r="J1774">
        <v>11</v>
      </c>
      <c r="K1774">
        <v>0</v>
      </c>
      <c r="L1774" s="1" t="s">
        <v>26</v>
      </c>
      <c r="M1774">
        <v>79.7</v>
      </c>
      <c r="N1774">
        <v>351420.44</v>
      </c>
      <c r="O1774">
        <v>3173061.24</v>
      </c>
      <c r="P1774">
        <v>461361.91999999998</v>
      </c>
      <c r="Q1774" s="1" t="s">
        <v>5608</v>
      </c>
      <c r="R1774">
        <v>59</v>
      </c>
      <c r="S1774" s="1" t="s">
        <v>5609</v>
      </c>
      <c r="T1774" t="b">
        <v>0</v>
      </c>
    </row>
    <row r="1775" spans="1:20" x14ac:dyDescent="0.25">
      <c r="A1775" s="1" t="s">
        <v>5610</v>
      </c>
      <c r="B1775" s="1" t="s">
        <v>358</v>
      </c>
      <c r="C1775" s="1" t="s">
        <v>39</v>
      </c>
      <c r="D1775" s="1" t="s">
        <v>288</v>
      </c>
      <c r="E1775" s="1" t="s">
        <v>57</v>
      </c>
      <c r="F1775" s="1" t="s">
        <v>50</v>
      </c>
      <c r="G1775" s="2">
        <v>44872</v>
      </c>
      <c r="H1775" s="2"/>
      <c r="I1775">
        <v>40</v>
      </c>
      <c r="J1775">
        <v>29</v>
      </c>
      <c r="K1775">
        <v>0</v>
      </c>
      <c r="L1775" s="1" t="s">
        <v>26</v>
      </c>
      <c r="M1775">
        <v>302.7</v>
      </c>
      <c r="N1775">
        <v>1334965.45</v>
      </c>
      <c r="O1775">
        <v>1754095.37</v>
      </c>
      <c r="P1775">
        <v>314359.19</v>
      </c>
      <c r="Q1775" s="1" t="s">
        <v>5611</v>
      </c>
      <c r="R1775">
        <v>58</v>
      </c>
      <c r="S1775" s="1" t="s">
        <v>5612</v>
      </c>
      <c r="T1775" t="b">
        <v>0</v>
      </c>
    </row>
    <row r="1776" spans="1:20" x14ac:dyDescent="0.25">
      <c r="A1776" s="1" t="s">
        <v>5613</v>
      </c>
      <c r="B1776" s="1" t="s">
        <v>105</v>
      </c>
      <c r="C1776" s="1" t="s">
        <v>823</v>
      </c>
      <c r="D1776" s="1" t="s">
        <v>113</v>
      </c>
      <c r="E1776" s="1" t="s">
        <v>24</v>
      </c>
      <c r="F1776" s="1" t="s">
        <v>66</v>
      </c>
      <c r="G1776" s="2">
        <v>45561</v>
      </c>
      <c r="H1776" s="2"/>
      <c r="I1776">
        <v>3</v>
      </c>
      <c r="J1776">
        <v>1</v>
      </c>
      <c r="K1776">
        <v>0</v>
      </c>
      <c r="L1776" s="1" t="s">
        <v>26</v>
      </c>
      <c r="M1776">
        <v>11.8</v>
      </c>
      <c r="N1776">
        <v>34062.120000000003</v>
      </c>
      <c r="O1776">
        <v>785365.91</v>
      </c>
      <c r="P1776">
        <v>155521.4</v>
      </c>
      <c r="Q1776" s="1" t="s">
        <v>5614</v>
      </c>
      <c r="R1776">
        <v>30</v>
      </c>
      <c r="S1776" s="1" t="s">
        <v>5615</v>
      </c>
      <c r="T1776" t="b">
        <v>1</v>
      </c>
    </row>
    <row r="1777" spans="1:20" x14ac:dyDescent="0.25">
      <c r="A1777" s="1" t="s">
        <v>5616</v>
      </c>
      <c r="B1777" s="1" t="s">
        <v>220</v>
      </c>
      <c r="C1777" s="1" t="s">
        <v>725</v>
      </c>
      <c r="D1777" s="1" t="s">
        <v>95</v>
      </c>
      <c r="E1777" s="1" t="s">
        <v>41</v>
      </c>
      <c r="F1777" s="1" t="s">
        <v>34</v>
      </c>
      <c r="G1777" s="2">
        <v>44999</v>
      </c>
      <c r="H1777" s="2"/>
      <c r="I1777">
        <v>9</v>
      </c>
      <c r="J1777">
        <v>13</v>
      </c>
      <c r="K1777">
        <v>4</v>
      </c>
      <c r="L1777" s="1" t="s">
        <v>42</v>
      </c>
      <c r="M1777">
        <v>174.8</v>
      </c>
      <c r="N1777">
        <v>615789.94999999995</v>
      </c>
      <c r="O1777">
        <v>2225757.56</v>
      </c>
      <c r="P1777">
        <v>369566.84</v>
      </c>
      <c r="Q1777" s="1" t="s">
        <v>5617</v>
      </c>
      <c r="R1777">
        <v>65</v>
      </c>
      <c r="S1777" s="1" t="s">
        <v>5618</v>
      </c>
      <c r="T1777" t="b">
        <v>1</v>
      </c>
    </row>
    <row r="1778" spans="1:20" x14ac:dyDescent="0.25">
      <c r="A1778" s="1" t="s">
        <v>5619</v>
      </c>
      <c r="B1778" s="1" t="s">
        <v>545</v>
      </c>
      <c r="C1778" s="1" t="s">
        <v>550</v>
      </c>
      <c r="D1778" s="1" t="s">
        <v>207</v>
      </c>
      <c r="E1778" s="1" t="s">
        <v>41</v>
      </c>
      <c r="F1778" s="1" t="s">
        <v>25</v>
      </c>
      <c r="G1778" s="2">
        <v>45083</v>
      </c>
      <c r="H1778" s="2">
        <v>45096</v>
      </c>
      <c r="I1778">
        <v>9</v>
      </c>
      <c r="J1778">
        <v>13</v>
      </c>
      <c r="K1778">
        <v>4</v>
      </c>
      <c r="L1778" s="1" t="s">
        <v>330</v>
      </c>
      <c r="M1778">
        <v>144</v>
      </c>
      <c r="N1778">
        <v>539277.63</v>
      </c>
      <c r="O1778">
        <v>4035118.53</v>
      </c>
      <c r="P1778">
        <v>774689.72</v>
      </c>
      <c r="Q1778" s="1" t="s">
        <v>5620</v>
      </c>
      <c r="R1778">
        <v>22</v>
      </c>
      <c r="S1778" s="1" t="s">
        <v>5621</v>
      </c>
      <c r="T1778" t="b">
        <v>1</v>
      </c>
    </row>
    <row r="1779" spans="1:20" x14ac:dyDescent="0.25">
      <c r="A1779" s="1" t="s">
        <v>5622</v>
      </c>
      <c r="B1779" s="1" t="s">
        <v>358</v>
      </c>
      <c r="C1779" s="1" t="s">
        <v>335</v>
      </c>
      <c r="D1779" s="1" t="s">
        <v>187</v>
      </c>
      <c r="E1779" s="1" t="s">
        <v>24</v>
      </c>
      <c r="F1779" s="1" t="s">
        <v>25</v>
      </c>
      <c r="G1779" s="2">
        <v>45584</v>
      </c>
      <c r="H1779" s="2">
        <v>45588</v>
      </c>
      <c r="I1779">
        <v>3</v>
      </c>
      <c r="J1779">
        <v>4</v>
      </c>
      <c r="K1779">
        <v>1</v>
      </c>
      <c r="L1779" s="1" t="s">
        <v>26</v>
      </c>
      <c r="M1779">
        <v>17.8</v>
      </c>
      <c r="N1779">
        <v>54218.7</v>
      </c>
      <c r="O1779">
        <v>962907.88</v>
      </c>
      <c r="P1779">
        <v>185589.56</v>
      </c>
      <c r="Q1779" s="1" t="s">
        <v>5623</v>
      </c>
      <c r="R1779">
        <v>74</v>
      </c>
      <c r="S1779" s="1" t="s">
        <v>5624</v>
      </c>
      <c r="T1779" t="b">
        <v>1</v>
      </c>
    </row>
    <row r="1780" spans="1:20" x14ac:dyDescent="0.25">
      <c r="A1780" s="1" t="s">
        <v>5625</v>
      </c>
      <c r="B1780" s="1" t="s">
        <v>566</v>
      </c>
      <c r="C1780" s="1" t="s">
        <v>665</v>
      </c>
      <c r="D1780" s="1" t="s">
        <v>655</v>
      </c>
      <c r="E1780" s="1" t="s">
        <v>65</v>
      </c>
      <c r="F1780" s="1" t="s">
        <v>34</v>
      </c>
      <c r="G1780" s="2">
        <v>44776</v>
      </c>
      <c r="H1780" s="2"/>
      <c r="I1780">
        <v>4</v>
      </c>
      <c r="J1780">
        <v>1</v>
      </c>
      <c r="K1780">
        <v>0</v>
      </c>
      <c r="L1780" s="1" t="s">
        <v>26</v>
      </c>
      <c r="M1780">
        <v>15.3</v>
      </c>
      <c r="N1780">
        <v>46543.09</v>
      </c>
      <c r="O1780">
        <v>3954982.35</v>
      </c>
      <c r="P1780">
        <v>508077.82</v>
      </c>
      <c r="Q1780" s="1" t="s">
        <v>5626</v>
      </c>
      <c r="R1780">
        <v>40</v>
      </c>
      <c r="S1780" s="1" t="s">
        <v>5627</v>
      </c>
      <c r="T1780" t="b">
        <v>0</v>
      </c>
    </row>
    <row r="1781" spans="1:20" x14ac:dyDescent="0.25">
      <c r="A1781" s="1" t="s">
        <v>5628</v>
      </c>
      <c r="B1781" s="1" t="s">
        <v>220</v>
      </c>
      <c r="C1781" s="1" t="s">
        <v>2232</v>
      </c>
      <c r="D1781" s="1" t="s">
        <v>230</v>
      </c>
      <c r="E1781" s="1" t="s">
        <v>65</v>
      </c>
      <c r="F1781" s="1" t="s">
        <v>34</v>
      </c>
      <c r="G1781" s="2">
        <v>44762</v>
      </c>
      <c r="H1781" s="2"/>
      <c r="I1781">
        <v>4</v>
      </c>
      <c r="J1781">
        <v>3</v>
      </c>
      <c r="K1781">
        <v>0</v>
      </c>
      <c r="L1781" s="1" t="s">
        <v>26</v>
      </c>
      <c r="M1781">
        <v>16</v>
      </c>
      <c r="N1781">
        <v>63279.07</v>
      </c>
      <c r="O1781">
        <v>2895721.3</v>
      </c>
      <c r="P1781">
        <v>526877.68000000005</v>
      </c>
      <c r="Q1781" s="1" t="s">
        <v>5629</v>
      </c>
      <c r="R1781">
        <v>45</v>
      </c>
      <c r="S1781" s="1" t="s">
        <v>5630</v>
      </c>
      <c r="T1781" t="b">
        <v>1</v>
      </c>
    </row>
    <row r="1782" spans="1:20" x14ac:dyDescent="0.25">
      <c r="A1782" s="1" t="s">
        <v>5631</v>
      </c>
      <c r="B1782" s="1" t="s">
        <v>30</v>
      </c>
      <c r="C1782" s="1" t="s">
        <v>3212</v>
      </c>
      <c r="D1782" s="1" t="s">
        <v>216</v>
      </c>
      <c r="E1782" s="1" t="s">
        <v>57</v>
      </c>
      <c r="F1782" s="1" t="s">
        <v>50</v>
      </c>
      <c r="G1782" s="2">
        <v>45284</v>
      </c>
      <c r="H1782" s="2"/>
      <c r="I1782">
        <v>40</v>
      </c>
      <c r="J1782">
        <v>47</v>
      </c>
      <c r="K1782">
        <v>7</v>
      </c>
      <c r="L1782" s="1" t="s">
        <v>58</v>
      </c>
      <c r="M1782">
        <v>462.6</v>
      </c>
      <c r="N1782">
        <v>1132635.6000000001</v>
      </c>
      <c r="O1782">
        <v>4397165.4400000004</v>
      </c>
      <c r="P1782">
        <v>992922.02</v>
      </c>
      <c r="Q1782" s="1" t="s">
        <v>5632</v>
      </c>
      <c r="R1782">
        <v>28</v>
      </c>
      <c r="S1782" s="1" t="s">
        <v>5633</v>
      </c>
      <c r="T1782" t="b">
        <v>1</v>
      </c>
    </row>
    <row r="1783" spans="1:20" x14ac:dyDescent="0.25">
      <c r="A1783" s="1" t="s">
        <v>5634</v>
      </c>
      <c r="B1783" s="1" t="s">
        <v>272</v>
      </c>
      <c r="C1783" s="1" t="s">
        <v>432</v>
      </c>
      <c r="D1783" s="1" t="s">
        <v>84</v>
      </c>
      <c r="E1783" s="1" t="s">
        <v>49</v>
      </c>
      <c r="F1783" s="1" t="s">
        <v>25</v>
      </c>
      <c r="G1783" s="2">
        <v>45655</v>
      </c>
      <c r="H1783" s="2">
        <v>45673</v>
      </c>
      <c r="I1783">
        <v>25</v>
      </c>
      <c r="J1783">
        <v>18</v>
      </c>
      <c r="K1783">
        <v>0</v>
      </c>
      <c r="L1783" s="1" t="s">
        <v>26</v>
      </c>
      <c r="M1783">
        <v>240.3</v>
      </c>
      <c r="N1783">
        <v>1059964.3500000001</v>
      </c>
      <c r="O1783">
        <v>1160114.82</v>
      </c>
      <c r="P1783">
        <v>298690.77</v>
      </c>
      <c r="Q1783" s="1" t="s">
        <v>5635</v>
      </c>
      <c r="R1783">
        <v>32</v>
      </c>
      <c r="S1783" s="1" t="s">
        <v>5636</v>
      </c>
      <c r="T1783" t="b">
        <v>1</v>
      </c>
    </row>
    <row r="1784" spans="1:20" x14ac:dyDescent="0.25">
      <c r="A1784" s="1" t="s">
        <v>5637</v>
      </c>
      <c r="B1784" s="1" t="s">
        <v>451</v>
      </c>
      <c r="C1784" s="1" t="s">
        <v>1286</v>
      </c>
      <c r="D1784" s="1" t="s">
        <v>113</v>
      </c>
      <c r="E1784" s="1" t="s">
        <v>24</v>
      </c>
      <c r="F1784" s="1" t="s">
        <v>25</v>
      </c>
      <c r="G1784" s="2">
        <v>45520</v>
      </c>
      <c r="H1784" s="2">
        <v>45524</v>
      </c>
      <c r="I1784">
        <v>3</v>
      </c>
      <c r="J1784">
        <v>4</v>
      </c>
      <c r="K1784">
        <v>1</v>
      </c>
      <c r="L1784" s="1" t="s">
        <v>26</v>
      </c>
      <c r="M1784">
        <v>46.5</v>
      </c>
      <c r="N1784">
        <v>206184.15</v>
      </c>
      <c r="O1784">
        <v>1141287.82</v>
      </c>
      <c r="P1784">
        <v>189345.22</v>
      </c>
      <c r="Q1784" s="1" t="s">
        <v>5638</v>
      </c>
      <c r="R1784">
        <v>48</v>
      </c>
      <c r="S1784" s="1" t="s">
        <v>5639</v>
      </c>
      <c r="T1784" t="b">
        <v>1</v>
      </c>
    </row>
    <row r="1785" spans="1:20" x14ac:dyDescent="0.25">
      <c r="A1785" s="1" t="s">
        <v>5640</v>
      </c>
      <c r="B1785" s="1" t="s">
        <v>93</v>
      </c>
      <c r="C1785" s="1" t="s">
        <v>540</v>
      </c>
      <c r="D1785" s="1" t="s">
        <v>541</v>
      </c>
      <c r="E1785" s="1" t="s">
        <v>49</v>
      </c>
      <c r="F1785" s="1" t="s">
        <v>25</v>
      </c>
      <c r="G1785" s="2">
        <v>45110</v>
      </c>
      <c r="H1785" s="2">
        <v>45126</v>
      </c>
      <c r="I1785">
        <v>25</v>
      </c>
      <c r="J1785">
        <v>16</v>
      </c>
      <c r="K1785">
        <v>0</v>
      </c>
      <c r="L1785" s="1" t="s">
        <v>26</v>
      </c>
      <c r="M1785">
        <v>199.1</v>
      </c>
      <c r="N1785">
        <v>817547.66</v>
      </c>
      <c r="O1785">
        <v>4457609.5199999996</v>
      </c>
      <c r="P1785">
        <v>533320.43999999994</v>
      </c>
      <c r="Q1785" s="1" t="s">
        <v>5641</v>
      </c>
      <c r="R1785">
        <v>60</v>
      </c>
      <c r="S1785" s="1" t="s">
        <v>5642</v>
      </c>
      <c r="T1785" t="b">
        <v>0</v>
      </c>
    </row>
    <row r="1786" spans="1:20" x14ac:dyDescent="0.25">
      <c r="A1786" s="1" t="s">
        <v>5643</v>
      </c>
      <c r="B1786" s="1" t="s">
        <v>38</v>
      </c>
      <c r="C1786" s="1" t="s">
        <v>1584</v>
      </c>
      <c r="D1786" s="1" t="s">
        <v>713</v>
      </c>
      <c r="E1786" s="1" t="s">
        <v>49</v>
      </c>
      <c r="F1786" s="1" t="s">
        <v>50</v>
      </c>
      <c r="G1786" s="2">
        <v>45309</v>
      </c>
      <c r="H1786" s="2"/>
      <c r="I1786">
        <v>25</v>
      </c>
      <c r="J1786">
        <v>14</v>
      </c>
      <c r="K1786">
        <v>0</v>
      </c>
      <c r="L1786" s="1" t="s">
        <v>26</v>
      </c>
      <c r="M1786">
        <v>121.5</v>
      </c>
      <c r="N1786">
        <v>226963.54</v>
      </c>
      <c r="O1786">
        <v>878790.36</v>
      </c>
      <c r="P1786">
        <v>204542.44</v>
      </c>
      <c r="Q1786" s="1" t="s">
        <v>5644</v>
      </c>
      <c r="R1786">
        <v>66</v>
      </c>
      <c r="S1786" s="1" t="s">
        <v>5645</v>
      </c>
      <c r="T1786" t="b">
        <v>0</v>
      </c>
    </row>
    <row r="1787" spans="1:20" x14ac:dyDescent="0.25">
      <c r="A1787" s="1" t="s">
        <v>5646</v>
      </c>
      <c r="B1787" s="1" t="s">
        <v>70</v>
      </c>
      <c r="C1787" s="1" t="s">
        <v>2811</v>
      </c>
      <c r="D1787" s="1" t="s">
        <v>513</v>
      </c>
      <c r="E1787" s="1" t="s">
        <v>41</v>
      </c>
      <c r="F1787" s="1" t="s">
        <v>50</v>
      </c>
      <c r="G1787" s="2">
        <v>45103</v>
      </c>
      <c r="H1787" s="2"/>
      <c r="I1787">
        <v>9</v>
      </c>
      <c r="J1787">
        <v>15</v>
      </c>
      <c r="K1787">
        <v>6</v>
      </c>
      <c r="L1787" s="1" t="s">
        <v>58</v>
      </c>
      <c r="M1787">
        <v>72.3</v>
      </c>
      <c r="N1787">
        <v>303165.55</v>
      </c>
      <c r="O1787">
        <v>4321276.9000000004</v>
      </c>
      <c r="P1787">
        <v>704344.19</v>
      </c>
      <c r="Q1787" s="1" t="s">
        <v>5647</v>
      </c>
      <c r="R1787">
        <v>70</v>
      </c>
      <c r="S1787" s="1" t="s">
        <v>5648</v>
      </c>
      <c r="T1787" t="b">
        <v>1</v>
      </c>
    </row>
    <row r="1788" spans="1:20" x14ac:dyDescent="0.25">
      <c r="A1788" s="1" t="s">
        <v>5649</v>
      </c>
      <c r="B1788" s="1" t="s">
        <v>122</v>
      </c>
      <c r="C1788" s="1" t="s">
        <v>1286</v>
      </c>
      <c r="D1788" s="1" t="s">
        <v>165</v>
      </c>
      <c r="E1788" s="1" t="s">
        <v>24</v>
      </c>
      <c r="F1788" s="1" t="s">
        <v>34</v>
      </c>
      <c r="G1788" s="2">
        <v>44716</v>
      </c>
      <c r="H1788" s="2"/>
      <c r="I1788">
        <v>3</v>
      </c>
      <c r="J1788">
        <v>2</v>
      </c>
      <c r="K1788">
        <v>0</v>
      </c>
      <c r="L1788" s="1" t="s">
        <v>26</v>
      </c>
      <c r="M1788">
        <v>15.7</v>
      </c>
      <c r="N1788">
        <v>35002.839999999997</v>
      </c>
      <c r="O1788">
        <v>1894277.83</v>
      </c>
      <c r="P1788">
        <v>371053.32</v>
      </c>
      <c r="Q1788" s="1" t="s">
        <v>5650</v>
      </c>
      <c r="R1788">
        <v>29</v>
      </c>
      <c r="S1788" s="1" t="s">
        <v>5651</v>
      </c>
      <c r="T1788" t="b">
        <v>0</v>
      </c>
    </row>
    <row r="1789" spans="1:20" x14ac:dyDescent="0.25">
      <c r="A1789" s="1" t="s">
        <v>5652</v>
      </c>
      <c r="B1789" s="1" t="s">
        <v>348</v>
      </c>
      <c r="C1789" s="1" t="s">
        <v>3623</v>
      </c>
      <c r="D1789" s="1" t="s">
        <v>84</v>
      </c>
      <c r="E1789" s="1" t="s">
        <v>65</v>
      </c>
      <c r="F1789" s="1" t="s">
        <v>50</v>
      </c>
      <c r="G1789" s="2">
        <v>45188</v>
      </c>
      <c r="H1789" s="2"/>
      <c r="I1789">
        <v>4</v>
      </c>
      <c r="J1789">
        <v>6</v>
      </c>
      <c r="K1789">
        <v>1.5</v>
      </c>
      <c r="L1789" s="1" t="s">
        <v>26</v>
      </c>
      <c r="M1789">
        <v>56.5</v>
      </c>
      <c r="N1789">
        <v>141989.35999999999</v>
      </c>
      <c r="O1789">
        <v>3149286.32</v>
      </c>
      <c r="P1789">
        <v>453387.18</v>
      </c>
      <c r="Q1789" s="1" t="s">
        <v>5653</v>
      </c>
      <c r="R1789">
        <v>38</v>
      </c>
      <c r="S1789" s="1" t="s">
        <v>5654</v>
      </c>
      <c r="T1789" t="b">
        <v>1</v>
      </c>
    </row>
    <row r="1790" spans="1:20" x14ac:dyDescent="0.25">
      <c r="A1790" s="1" t="s">
        <v>5655</v>
      </c>
      <c r="B1790" s="1" t="s">
        <v>111</v>
      </c>
      <c r="C1790" s="1" t="s">
        <v>149</v>
      </c>
      <c r="D1790" s="1" t="s">
        <v>505</v>
      </c>
      <c r="E1790" s="1" t="s">
        <v>49</v>
      </c>
      <c r="F1790" s="1" t="s">
        <v>25</v>
      </c>
      <c r="G1790" s="2">
        <v>44786</v>
      </c>
      <c r="H1790" s="2">
        <v>44821</v>
      </c>
      <c r="I1790">
        <v>25</v>
      </c>
      <c r="J1790">
        <v>35</v>
      </c>
      <c r="K1790">
        <v>10</v>
      </c>
      <c r="L1790" s="1" t="s">
        <v>26</v>
      </c>
      <c r="M1790">
        <v>464.4</v>
      </c>
      <c r="N1790">
        <v>1503389.76</v>
      </c>
      <c r="O1790">
        <v>4251508.4800000004</v>
      </c>
      <c r="P1790">
        <v>1096357.1399999999</v>
      </c>
      <c r="Q1790" s="1" t="s">
        <v>5656</v>
      </c>
      <c r="R1790">
        <v>63</v>
      </c>
      <c r="S1790" s="1" t="s">
        <v>5657</v>
      </c>
      <c r="T1790" t="b">
        <v>0</v>
      </c>
    </row>
    <row r="1791" spans="1:20" x14ac:dyDescent="0.25">
      <c r="A1791" s="1" t="s">
        <v>5658</v>
      </c>
      <c r="B1791" s="1" t="s">
        <v>286</v>
      </c>
      <c r="C1791" s="1" t="s">
        <v>310</v>
      </c>
      <c r="D1791" s="1" t="s">
        <v>78</v>
      </c>
      <c r="E1791" s="1" t="s">
        <v>33</v>
      </c>
      <c r="F1791" s="1" t="s">
        <v>25</v>
      </c>
      <c r="G1791" s="2">
        <v>44857</v>
      </c>
      <c r="H1791" s="2">
        <v>44871</v>
      </c>
      <c r="I1791">
        <v>12</v>
      </c>
      <c r="J1791">
        <v>14</v>
      </c>
      <c r="K1791">
        <v>2</v>
      </c>
      <c r="L1791" s="1" t="s">
        <v>26</v>
      </c>
      <c r="M1791">
        <v>194.7</v>
      </c>
      <c r="N1791">
        <v>688724.82</v>
      </c>
      <c r="O1791">
        <v>510333.77</v>
      </c>
      <c r="P1791">
        <v>191023.46</v>
      </c>
      <c r="Q1791" s="1" t="s">
        <v>5659</v>
      </c>
      <c r="R1791">
        <v>69</v>
      </c>
      <c r="S1791" s="1" t="s">
        <v>5660</v>
      </c>
      <c r="T1791" t="b">
        <v>1</v>
      </c>
    </row>
    <row r="1792" spans="1:20" x14ac:dyDescent="0.25">
      <c r="A1792" s="1" t="s">
        <v>5661</v>
      </c>
      <c r="B1792" s="1" t="s">
        <v>629</v>
      </c>
      <c r="C1792" s="1" t="s">
        <v>1130</v>
      </c>
      <c r="D1792" s="1" t="s">
        <v>84</v>
      </c>
      <c r="E1792" s="1" t="s">
        <v>65</v>
      </c>
      <c r="F1792" s="1" t="s">
        <v>25</v>
      </c>
      <c r="G1792" s="2">
        <v>45134</v>
      </c>
      <c r="H1792" s="2">
        <v>45139</v>
      </c>
      <c r="I1792">
        <v>4</v>
      </c>
      <c r="J1792">
        <v>5</v>
      </c>
      <c r="K1792">
        <v>0.5</v>
      </c>
      <c r="L1792" s="1" t="s">
        <v>26</v>
      </c>
      <c r="M1792">
        <v>42.9</v>
      </c>
      <c r="N1792">
        <v>92808.3</v>
      </c>
      <c r="O1792">
        <v>149227.44</v>
      </c>
      <c r="P1792">
        <v>26006.76</v>
      </c>
      <c r="Q1792" s="1" t="s">
        <v>651</v>
      </c>
      <c r="R1792">
        <v>23</v>
      </c>
      <c r="S1792" s="1" t="s">
        <v>5662</v>
      </c>
      <c r="T1792" t="b">
        <v>1</v>
      </c>
    </row>
    <row r="1793" spans="1:20" x14ac:dyDescent="0.25">
      <c r="A1793" s="1" t="s">
        <v>5663</v>
      </c>
      <c r="B1793" s="1" t="s">
        <v>163</v>
      </c>
      <c r="C1793" s="1" t="s">
        <v>486</v>
      </c>
      <c r="D1793" s="1" t="s">
        <v>181</v>
      </c>
      <c r="E1793" s="1" t="s">
        <v>57</v>
      </c>
      <c r="F1793" s="1" t="s">
        <v>25</v>
      </c>
      <c r="G1793" s="2">
        <v>44789</v>
      </c>
      <c r="H1793" s="2">
        <v>44819</v>
      </c>
      <c r="I1793">
        <v>40</v>
      </c>
      <c r="J1793">
        <v>30</v>
      </c>
      <c r="K1793">
        <v>0</v>
      </c>
      <c r="L1793" s="1" t="s">
        <v>26</v>
      </c>
      <c r="M1793">
        <v>315</v>
      </c>
      <c r="N1793">
        <v>1342161.24</v>
      </c>
      <c r="O1793">
        <v>66975.42</v>
      </c>
      <c r="P1793">
        <v>141141.87</v>
      </c>
      <c r="Q1793" s="1" t="s">
        <v>5664</v>
      </c>
      <c r="R1793">
        <v>50</v>
      </c>
      <c r="S1793" s="1" t="s">
        <v>5665</v>
      </c>
      <c r="T1793" t="b">
        <v>1</v>
      </c>
    </row>
    <row r="1794" spans="1:20" x14ac:dyDescent="0.25">
      <c r="A1794" s="1" t="s">
        <v>5666</v>
      </c>
      <c r="B1794" s="1" t="s">
        <v>451</v>
      </c>
      <c r="C1794" s="1" t="s">
        <v>2485</v>
      </c>
      <c r="D1794" s="1" t="s">
        <v>315</v>
      </c>
      <c r="E1794" s="1" t="s">
        <v>65</v>
      </c>
      <c r="F1794" s="1" t="s">
        <v>34</v>
      </c>
      <c r="G1794" s="2">
        <v>44583</v>
      </c>
      <c r="H1794" s="2"/>
      <c r="I1794">
        <v>4</v>
      </c>
      <c r="J1794">
        <v>8</v>
      </c>
      <c r="K1794">
        <v>3.5</v>
      </c>
      <c r="L1794" s="1" t="s">
        <v>58</v>
      </c>
      <c r="M1794">
        <v>73.8</v>
      </c>
      <c r="N1794">
        <v>326386.06</v>
      </c>
      <c r="O1794">
        <v>1193819.27</v>
      </c>
      <c r="P1794">
        <v>222714.96</v>
      </c>
      <c r="Q1794" s="1" t="s">
        <v>878</v>
      </c>
      <c r="R1794">
        <v>50</v>
      </c>
      <c r="S1794" s="1" t="s">
        <v>5667</v>
      </c>
      <c r="T1794" t="b">
        <v>1</v>
      </c>
    </row>
    <row r="1795" spans="1:20" x14ac:dyDescent="0.25">
      <c r="A1795" s="1" t="s">
        <v>5668</v>
      </c>
      <c r="B1795" s="1" t="s">
        <v>334</v>
      </c>
      <c r="C1795" s="1" t="s">
        <v>248</v>
      </c>
      <c r="D1795" s="1" t="s">
        <v>336</v>
      </c>
      <c r="E1795" s="1" t="s">
        <v>57</v>
      </c>
      <c r="F1795" s="1" t="s">
        <v>25</v>
      </c>
      <c r="G1795" s="2">
        <v>45414</v>
      </c>
      <c r="H1795" s="2">
        <v>45465</v>
      </c>
      <c r="I1795">
        <v>40</v>
      </c>
      <c r="J1795">
        <v>51</v>
      </c>
      <c r="K1795">
        <v>11</v>
      </c>
      <c r="L1795" s="1" t="s">
        <v>58</v>
      </c>
      <c r="M1795">
        <v>294.10000000000002</v>
      </c>
      <c r="N1795">
        <v>753259.25</v>
      </c>
      <c r="O1795">
        <v>2622527.4900000002</v>
      </c>
      <c r="P1795">
        <v>511818.4</v>
      </c>
      <c r="Q1795" s="1" t="s">
        <v>5669</v>
      </c>
      <c r="R1795">
        <v>56</v>
      </c>
      <c r="S1795" s="1" t="s">
        <v>5670</v>
      </c>
      <c r="T1795" t="b">
        <v>1</v>
      </c>
    </row>
    <row r="1796" spans="1:20" x14ac:dyDescent="0.25">
      <c r="A1796" s="1" t="s">
        <v>5671</v>
      </c>
      <c r="B1796" s="1" t="s">
        <v>148</v>
      </c>
      <c r="C1796" s="1" t="s">
        <v>1769</v>
      </c>
      <c r="D1796" s="1" t="s">
        <v>23</v>
      </c>
      <c r="E1796" s="1" t="s">
        <v>57</v>
      </c>
      <c r="F1796" s="1" t="s">
        <v>50</v>
      </c>
      <c r="G1796" s="2">
        <v>44653</v>
      </c>
      <c r="H1796" s="2"/>
      <c r="I1796">
        <v>40</v>
      </c>
      <c r="J1796">
        <v>30</v>
      </c>
      <c r="K1796">
        <v>0</v>
      </c>
      <c r="L1796" s="1" t="s">
        <v>26</v>
      </c>
      <c r="M1796">
        <v>259.39999999999998</v>
      </c>
      <c r="N1796">
        <v>675194.12</v>
      </c>
      <c r="O1796">
        <v>1649247.31</v>
      </c>
      <c r="P1796">
        <v>325562.59000000003</v>
      </c>
      <c r="Q1796" s="1" t="s">
        <v>1479</v>
      </c>
      <c r="R1796">
        <v>22</v>
      </c>
      <c r="S1796" s="1" t="s">
        <v>5672</v>
      </c>
      <c r="T1796" t="b">
        <v>0</v>
      </c>
    </row>
    <row r="1797" spans="1:20" x14ac:dyDescent="0.25">
      <c r="A1797" s="1" t="s">
        <v>5673</v>
      </c>
      <c r="B1797" s="1" t="s">
        <v>30</v>
      </c>
      <c r="C1797" s="1" t="s">
        <v>1794</v>
      </c>
      <c r="D1797" s="1" t="s">
        <v>268</v>
      </c>
      <c r="E1797" s="1" t="s">
        <v>49</v>
      </c>
      <c r="F1797" s="1" t="s">
        <v>34</v>
      </c>
      <c r="G1797" s="2">
        <v>45034</v>
      </c>
      <c r="H1797" s="2"/>
      <c r="I1797">
        <v>25</v>
      </c>
      <c r="J1797">
        <v>10</v>
      </c>
      <c r="K1797">
        <v>0</v>
      </c>
      <c r="L1797" s="1" t="s">
        <v>26</v>
      </c>
      <c r="M1797">
        <v>86.4</v>
      </c>
      <c r="N1797">
        <v>368206.68</v>
      </c>
      <c r="O1797">
        <v>3982462.54</v>
      </c>
      <c r="P1797">
        <v>682675.63</v>
      </c>
      <c r="Q1797" s="1" t="s">
        <v>659</v>
      </c>
      <c r="R1797">
        <v>39</v>
      </c>
      <c r="S1797" s="1" t="s">
        <v>5674</v>
      </c>
      <c r="T1797" t="b">
        <v>1</v>
      </c>
    </row>
    <row r="1798" spans="1:20" x14ac:dyDescent="0.25">
      <c r="A1798" s="1" t="s">
        <v>5675</v>
      </c>
      <c r="B1798" s="1" t="s">
        <v>148</v>
      </c>
      <c r="C1798" s="1" t="s">
        <v>2583</v>
      </c>
      <c r="D1798" s="1" t="s">
        <v>23</v>
      </c>
      <c r="E1798" s="1" t="s">
        <v>41</v>
      </c>
      <c r="F1798" s="1" t="s">
        <v>25</v>
      </c>
      <c r="G1798" s="2">
        <v>45250</v>
      </c>
      <c r="H1798" s="2">
        <v>45264</v>
      </c>
      <c r="I1798">
        <v>9</v>
      </c>
      <c r="J1798">
        <v>14</v>
      </c>
      <c r="K1798">
        <v>5</v>
      </c>
      <c r="L1798" s="1" t="s">
        <v>26</v>
      </c>
      <c r="M1798">
        <v>217.5</v>
      </c>
      <c r="N1798">
        <v>656131.63</v>
      </c>
      <c r="O1798">
        <v>274870.69</v>
      </c>
      <c r="P1798">
        <v>144520.54999999999</v>
      </c>
      <c r="Q1798" s="1" t="s">
        <v>5676</v>
      </c>
      <c r="R1798">
        <v>54</v>
      </c>
      <c r="S1798" s="1" t="s">
        <v>5677</v>
      </c>
      <c r="T1798" t="b">
        <v>1</v>
      </c>
    </row>
    <row r="1799" spans="1:20" x14ac:dyDescent="0.25">
      <c r="A1799" s="1" t="s">
        <v>5678</v>
      </c>
      <c r="B1799" s="1" t="s">
        <v>70</v>
      </c>
      <c r="C1799" s="1" t="s">
        <v>709</v>
      </c>
      <c r="D1799" s="1" t="s">
        <v>154</v>
      </c>
      <c r="E1799" s="1" t="s">
        <v>65</v>
      </c>
      <c r="F1799" s="1" t="s">
        <v>25</v>
      </c>
      <c r="G1799" s="2">
        <v>45363</v>
      </c>
      <c r="H1799" s="2">
        <v>45371</v>
      </c>
      <c r="I1799">
        <v>4</v>
      </c>
      <c r="J1799">
        <v>8</v>
      </c>
      <c r="K1799">
        <v>3.5</v>
      </c>
      <c r="L1799" s="1" t="s">
        <v>26</v>
      </c>
      <c r="M1799">
        <v>58.6</v>
      </c>
      <c r="N1799">
        <v>124128.71</v>
      </c>
      <c r="O1799">
        <v>1667248.09</v>
      </c>
      <c r="P1799">
        <v>223313.54</v>
      </c>
      <c r="Q1799" s="1" t="s">
        <v>5679</v>
      </c>
      <c r="R1799">
        <v>45</v>
      </c>
      <c r="S1799" s="1" t="s">
        <v>5680</v>
      </c>
      <c r="T1799" t="b">
        <v>1</v>
      </c>
    </row>
    <row r="1800" spans="1:20" x14ac:dyDescent="0.25">
      <c r="A1800" s="1" t="s">
        <v>5681</v>
      </c>
      <c r="B1800" s="1" t="s">
        <v>272</v>
      </c>
      <c r="C1800" s="1" t="s">
        <v>610</v>
      </c>
      <c r="D1800" s="1" t="s">
        <v>32</v>
      </c>
      <c r="E1800" s="1" t="s">
        <v>57</v>
      </c>
      <c r="F1800" s="1" t="s">
        <v>25</v>
      </c>
      <c r="G1800" s="2">
        <v>44849</v>
      </c>
      <c r="H1800" s="2">
        <v>44896</v>
      </c>
      <c r="I1800">
        <v>40</v>
      </c>
      <c r="J1800">
        <v>47</v>
      </c>
      <c r="K1800">
        <v>7</v>
      </c>
      <c r="L1800" s="1" t="s">
        <v>26</v>
      </c>
      <c r="M1800">
        <v>510.3</v>
      </c>
      <c r="N1800">
        <v>2198831.7000000002</v>
      </c>
      <c r="O1800">
        <v>135168.79</v>
      </c>
      <c r="P1800">
        <v>398609.71</v>
      </c>
      <c r="Q1800" s="1" t="s">
        <v>5682</v>
      </c>
      <c r="R1800">
        <v>73</v>
      </c>
      <c r="S1800" s="1" t="s">
        <v>5683</v>
      </c>
      <c r="T1800" t="b">
        <v>1</v>
      </c>
    </row>
    <row r="1801" spans="1:20" x14ac:dyDescent="0.25">
      <c r="A1801" s="1" t="s">
        <v>5684</v>
      </c>
      <c r="B1801" s="1" t="s">
        <v>348</v>
      </c>
      <c r="C1801" s="1" t="s">
        <v>2113</v>
      </c>
      <c r="D1801" s="1" t="s">
        <v>249</v>
      </c>
      <c r="E1801" s="1" t="s">
        <v>24</v>
      </c>
      <c r="F1801" s="1" t="s">
        <v>66</v>
      </c>
      <c r="G1801" s="2">
        <v>44969</v>
      </c>
      <c r="H1801" s="2"/>
      <c r="I1801">
        <v>3</v>
      </c>
      <c r="J1801">
        <v>2</v>
      </c>
      <c r="K1801">
        <v>0</v>
      </c>
      <c r="L1801" s="1" t="s">
        <v>26</v>
      </c>
      <c r="M1801">
        <v>26.1</v>
      </c>
      <c r="N1801">
        <v>105297.88</v>
      </c>
      <c r="O1801">
        <v>968699.43</v>
      </c>
      <c r="P1801">
        <v>197529.17</v>
      </c>
      <c r="Q1801" s="1" t="s">
        <v>5168</v>
      </c>
      <c r="R1801">
        <v>76</v>
      </c>
      <c r="S1801" s="1" t="s">
        <v>5685</v>
      </c>
      <c r="T1801" t="b">
        <v>0</v>
      </c>
    </row>
    <row r="1802" spans="1:20" x14ac:dyDescent="0.25">
      <c r="A1802" s="1" t="s">
        <v>5686</v>
      </c>
      <c r="B1802" s="1" t="s">
        <v>174</v>
      </c>
      <c r="C1802" s="1" t="s">
        <v>922</v>
      </c>
      <c r="D1802" s="1" t="s">
        <v>78</v>
      </c>
      <c r="E1802" s="1" t="s">
        <v>65</v>
      </c>
      <c r="F1802" s="1" t="s">
        <v>25</v>
      </c>
      <c r="G1802" s="2">
        <v>44734</v>
      </c>
      <c r="H1802" s="2">
        <v>44740</v>
      </c>
      <c r="I1802">
        <v>4</v>
      </c>
      <c r="J1802">
        <v>6</v>
      </c>
      <c r="K1802">
        <v>1.5</v>
      </c>
      <c r="L1802" s="1" t="s">
        <v>26</v>
      </c>
      <c r="M1802">
        <v>90.1</v>
      </c>
      <c r="N1802">
        <v>253985.67</v>
      </c>
      <c r="O1802">
        <v>1096184.08</v>
      </c>
      <c r="P1802">
        <v>228214.83</v>
      </c>
      <c r="Q1802" s="1" t="s">
        <v>5687</v>
      </c>
      <c r="R1802">
        <v>23</v>
      </c>
      <c r="S1802" s="1" t="s">
        <v>5688</v>
      </c>
      <c r="T1802" t="b">
        <v>1</v>
      </c>
    </row>
    <row r="1803" spans="1:20" x14ac:dyDescent="0.25">
      <c r="A1803" s="1" t="s">
        <v>5689</v>
      </c>
      <c r="B1803" s="1" t="s">
        <v>272</v>
      </c>
      <c r="C1803" s="1" t="s">
        <v>301</v>
      </c>
      <c r="D1803" s="1" t="s">
        <v>207</v>
      </c>
      <c r="E1803" s="1" t="s">
        <v>49</v>
      </c>
      <c r="F1803" s="1" t="s">
        <v>25</v>
      </c>
      <c r="G1803" s="2">
        <v>44870</v>
      </c>
      <c r="H1803" s="2">
        <v>44886</v>
      </c>
      <c r="I1803">
        <v>25</v>
      </c>
      <c r="J1803">
        <v>16</v>
      </c>
      <c r="K1803">
        <v>0</v>
      </c>
      <c r="L1803" s="1" t="s">
        <v>26</v>
      </c>
      <c r="M1803">
        <v>80.7</v>
      </c>
      <c r="N1803">
        <v>217255.01</v>
      </c>
      <c r="O1803">
        <v>2571003.85</v>
      </c>
      <c r="P1803">
        <v>455820.65</v>
      </c>
      <c r="Q1803" s="1" t="s">
        <v>5690</v>
      </c>
      <c r="R1803">
        <v>71</v>
      </c>
      <c r="S1803" s="1" t="s">
        <v>5691</v>
      </c>
      <c r="T1803" t="b">
        <v>0</v>
      </c>
    </row>
    <row r="1804" spans="1:20" x14ac:dyDescent="0.25">
      <c r="A1804" s="1" t="s">
        <v>5692</v>
      </c>
      <c r="B1804" s="1" t="s">
        <v>185</v>
      </c>
      <c r="C1804" s="1" t="s">
        <v>558</v>
      </c>
      <c r="D1804" s="1" t="s">
        <v>159</v>
      </c>
      <c r="E1804" s="1" t="s">
        <v>65</v>
      </c>
      <c r="F1804" s="1" t="s">
        <v>25</v>
      </c>
      <c r="G1804" s="2">
        <v>44766</v>
      </c>
      <c r="H1804" s="2">
        <v>44768</v>
      </c>
      <c r="I1804">
        <v>4</v>
      </c>
      <c r="J1804">
        <v>2</v>
      </c>
      <c r="K1804">
        <v>0</v>
      </c>
      <c r="L1804" s="1" t="s">
        <v>26</v>
      </c>
      <c r="M1804">
        <v>28.6</v>
      </c>
      <c r="N1804">
        <v>105476.77</v>
      </c>
      <c r="O1804">
        <v>969305.45</v>
      </c>
      <c r="P1804">
        <v>144601.17000000001</v>
      </c>
      <c r="Q1804" s="1" t="s">
        <v>5693</v>
      </c>
      <c r="R1804">
        <v>28</v>
      </c>
      <c r="S1804" s="1" t="s">
        <v>5694</v>
      </c>
      <c r="T1804" t="b">
        <v>0</v>
      </c>
    </row>
    <row r="1805" spans="1:20" x14ac:dyDescent="0.25">
      <c r="A1805" s="1" t="s">
        <v>5695</v>
      </c>
      <c r="B1805" s="1" t="s">
        <v>76</v>
      </c>
      <c r="C1805" s="1" t="s">
        <v>1099</v>
      </c>
      <c r="D1805" s="1" t="s">
        <v>230</v>
      </c>
      <c r="E1805" s="1" t="s">
        <v>33</v>
      </c>
      <c r="F1805" s="1" t="s">
        <v>25</v>
      </c>
      <c r="G1805" s="2">
        <v>45344</v>
      </c>
      <c r="H1805" s="2">
        <v>45351</v>
      </c>
      <c r="I1805">
        <v>12</v>
      </c>
      <c r="J1805">
        <v>7</v>
      </c>
      <c r="K1805">
        <v>0</v>
      </c>
      <c r="L1805" s="1" t="s">
        <v>26</v>
      </c>
      <c r="M1805">
        <v>108.9</v>
      </c>
      <c r="N1805">
        <v>270518.39</v>
      </c>
      <c r="O1805">
        <v>4047665.33</v>
      </c>
      <c r="P1805">
        <v>760331.18</v>
      </c>
      <c r="Q1805" s="1" t="s">
        <v>5696</v>
      </c>
      <c r="R1805">
        <v>44</v>
      </c>
      <c r="S1805" s="1" t="s">
        <v>5697</v>
      </c>
      <c r="T1805" t="b">
        <v>0</v>
      </c>
    </row>
    <row r="1806" spans="1:20" x14ac:dyDescent="0.25">
      <c r="A1806" s="1" t="s">
        <v>5698</v>
      </c>
      <c r="B1806" s="1" t="s">
        <v>328</v>
      </c>
      <c r="C1806" s="1" t="s">
        <v>753</v>
      </c>
      <c r="D1806" s="1" t="s">
        <v>315</v>
      </c>
      <c r="E1806" s="1" t="s">
        <v>49</v>
      </c>
      <c r="F1806" s="1" t="s">
        <v>25</v>
      </c>
      <c r="G1806" s="2">
        <v>44798</v>
      </c>
      <c r="H1806" s="2">
        <v>44832</v>
      </c>
      <c r="I1806">
        <v>25</v>
      </c>
      <c r="J1806">
        <v>34</v>
      </c>
      <c r="K1806">
        <v>9</v>
      </c>
      <c r="L1806" s="1" t="s">
        <v>193</v>
      </c>
      <c r="M1806">
        <v>475.8</v>
      </c>
      <c r="N1806">
        <v>1444178.5</v>
      </c>
      <c r="O1806">
        <v>4329690.33</v>
      </c>
      <c r="P1806">
        <v>828886.91</v>
      </c>
      <c r="Q1806" s="1" t="s">
        <v>2308</v>
      </c>
      <c r="R1806">
        <v>73</v>
      </c>
      <c r="S1806" s="1" t="s">
        <v>5699</v>
      </c>
      <c r="T1806" t="b">
        <v>0</v>
      </c>
    </row>
    <row r="1807" spans="1:20" x14ac:dyDescent="0.25">
      <c r="A1807" s="1" t="s">
        <v>5700</v>
      </c>
      <c r="B1807" s="1" t="s">
        <v>169</v>
      </c>
      <c r="C1807" s="1" t="s">
        <v>1949</v>
      </c>
      <c r="D1807" s="1" t="s">
        <v>181</v>
      </c>
      <c r="E1807" s="1" t="s">
        <v>33</v>
      </c>
      <c r="F1807" s="1" t="s">
        <v>34</v>
      </c>
      <c r="G1807" s="2">
        <v>45039</v>
      </c>
      <c r="H1807" s="2"/>
      <c r="I1807">
        <v>12</v>
      </c>
      <c r="J1807">
        <v>18</v>
      </c>
      <c r="K1807">
        <v>6</v>
      </c>
      <c r="L1807" s="1" t="s">
        <v>42</v>
      </c>
      <c r="M1807">
        <v>174</v>
      </c>
      <c r="N1807">
        <v>424229.82</v>
      </c>
      <c r="O1807">
        <v>1145956.6000000001</v>
      </c>
      <c r="P1807">
        <v>184818.33</v>
      </c>
      <c r="Q1807" s="1" t="s">
        <v>5701</v>
      </c>
      <c r="R1807">
        <v>68</v>
      </c>
      <c r="S1807" s="1" t="s">
        <v>5702</v>
      </c>
      <c r="T1807" t="b">
        <v>0</v>
      </c>
    </row>
    <row r="1808" spans="1:20" x14ac:dyDescent="0.25">
      <c r="A1808" s="1" t="s">
        <v>5703</v>
      </c>
      <c r="B1808" s="1" t="s">
        <v>169</v>
      </c>
      <c r="C1808" s="1" t="s">
        <v>3924</v>
      </c>
      <c r="D1808" s="1" t="s">
        <v>244</v>
      </c>
      <c r="E1808" s="1" t="s">
        <v>24</v>
      </c>
      <c r="F1808" s="1" t="s">
        <v>25</v>
      </c>
      <c r="G1808" s="2">
        <v>45102</v>
      </c>
      <c r="H1808" s="2">
        <v>45103</v>
      </c>
      <c r="I1808">
        <v>3</v>
      </c>
      <c r="J1808">
        <v>1</v>
      </c>
      <c r="K1808">
        <v>0</v>
      </c>
      <c r="L1808" s="1" t="s">
        <v>26</v>
      </c>
      <c r="M1808">
        <v>7.6</v>
      </c>
      <c r="N1808">
        <v>19444.189999999999</v>
      </c>
      <c r="O1808">
        <v>2671313.13</v>
      </c>
      <c r="P1808">
        <v>280696.89</v>
      </c>
      <c r="Q1808" s="1" t="s">
        <v>5704</v>
      </c>
      <c r="R1808">
        <v>27</v>
      </c>
      <c r="S1808" s="1" t="s">
        <v>5705</v>
      </c>
      <c r="T1808" t="b">
        <v>1</v>
      </c>
    </row>
    <row r="1809" spans="1:20" x14ac:dyDescent="0.25">
      <c r="A1809" s="1" t="s">
        <v>5706</v>
      </c>
      <c r="B1809" s="1" t="s">
        <v>348</v>
      </c>
      <c r="C1809" s="1" t="s">
        <v>892</v>
      </c>
      <c r="D1809" s="1" t="s">
        <v>405</v>
      </c>
      <c r="E1809" s="1" t="s">
        <v>65</v>
      </c>
      <c r="F1809" s="1" t="s">
        <v>25</v>
      </c>
      <c r="G1809" s="2">
        <v>45267</v>
      </c>
      <c r="H1809" s="2">
        <v>45273</v>
      </c>
      <c r="I1809">
        <v>4</v>
      </c>
      <c r="J1809">
        <v>6</v>
      </c>
      <c r="K1809">
        <v>1.5</v>
      </c>
      <c r="L1809" s="1" t="s">
        <v>26</v>
      </c>
      <c r="M1809">
        <v>84.8</v>
      </c>
      <c r="N1809">
        <v>189776.84</v>
      </c>
      <c r="O1809">
        <v>266807.19</v>
      </c>
      <c r="P1809">
        <v>72795.539999999994</v>
      </c>
      <c r="Q1809" s="1" t="s">
        <v>5707</v>
      </c>
      <c r="R1809">
        <v>76</v>
      </c>
      <c r="S1809" s="1" t="s">
        <v>5708</v>
      </c>
      <c r="T1809" t="b">
        <v>0</v>
      </c>
    </row>
    <row r="1810" spans="1:20" x14ac:dyDescent="0.25">
      <c r="A1810" s="1" t="s">
        <v>5709</v>
      </c>
      <c r="B1810" s="1" t="s">
        <v>348</v>
      </c>
      <c r="C1810" s="1" t="s">
        <v>234</v>
      </c>
      <c r="D1810" s="1" t="s">
        <v>89</v>
      </c>
      <c r="E1810" s="1" t="s">
        <v>65</v>
      </c>
      <c r="F1810" s="1" t="s">
        <v>50</v>
      </c>
      <c r="G1810" s="2">
        <v>45539</v>
      </c>
      <c r="H1810" s="2"/>
      <c r="I1810">
        <v>4</v>
      </c>
      <c r="J1810">
        <v>2</v>
      </c>
      <c r="K1810">
        <v>0</v>
      </c>
      <c r="L1810" s="1" t="s">
        <v>26</v>
      </c>
      <c r="M1810">
        <v>10.5</v>
      </c>
      <c r="N1810">
        <v>20352.23</v>
      </c>
      <c r="O1810">
        <v>4767282.16</v>
      </c>
      <c r="P1810">
        <v>754593.58</v>
      </c>
      <c r="Q1810" s="1" t="s">
        <v>5710</v>
      </c>
      <c r="R1810">
        <v>67</v>
      </c>
      <c r="S1810" s="1" t="s">
        <v>5711</v>
      </c>
      <c r="T1810" t="b">
        <v>0</v>
      </c>
    </row>
    <row r="1811" spans="1:20" x14ac:dyDescent="0.25">
      <c r="A1811" s="1" t="s">
        <v>5712</v>
      </c>
      <c r="B1811" s="1" t="s">
        <v>228</v>
      </c>
      <c r="C1811" s="1" t="s">
        <v>170</v>
      </c>
      <c r="D1811" s="1" t="s">
        <v>89</v>
      </c>
      <c r="E1811" s="1" t="s">
        <v>24</v>
      </c>
      <c r="F1811" s="1" t="s">
        <v>25</v>
      </c>
      <c r="G1811" s="2">
        <v>45418</v>
      </c>
      <c r="H1811" s="2">
        <v>45420</v>
      </c>
      <c r="I1811">
        <v>3</v>
      </c>
      <c r="J1811">
        <v>2</v>
      </c>
      <c r="K1811">
        <v>0</v>
      </c>
      <c r="L1811" s="1" t="s">
        <v>26</v>
      </c>
      <c r="M1811">
        <v>20.3</v>
      </c>
      <c r="N1811">
        <v>79853.539999999994</v>
      </c>
      <c r="O1811">
        <v>766986.41</v>
      </c>
      <c r="P1811">
        <v>117490.67</v>
      </c>
      <c r="Q1811" s="1" t="s">
        <v>5713</v>
      </c>
      <c r="R1811">
        <v>21</v>
      </c>
      <c r="S1811" s="1" t="s">
        <v>5714</v>
      </c>
      <c r="T1811" t="b">
        <v>1</v>
      </c>
    </row>
    <row r="1812" spans="1:20" x14ac:dyDescent="0.25">
      <c r="A1812" s="1" t="s">
        <v>5715</v>
      </c>
      <c r="B1812" s="1" t="s">
        <v>220</v>
      </c>
      <c r="C1812" s="1" t="s">
        <v>100</v>
      </c>
      <c r="D1812" s="1" t="s">
        <v>297</v>
      </c>
      <c r="E1812" s="1" t="s">
        <v>49</v>
      </c>
      <c r="F1812" s="1" t="s">
        <v>66</v>
      </c>
      <c r="G1812" s="2">
        <v>44583</v>
      </c>
      <c r="H1812" s="2"/>
      <c r="I1812">
        <v>25</v>
      </c>
      <c r="J1812">
        <v>18</v>
      </c>
      <c r="K1812">
        <v>0</v>
      </c>
      <c r="L1812" s="1" t="s">
        <v>26</v>
      </c>
      <c r="M1812">
        <v>278.60000000000002</v>
      </c>
      <c r="N1812">
        <v>787493.29</v>
      </c>
      <c r="O1812">
        <v>4292774.7300000004</v>
      </c>
      <c r="P1812">
        <v>884801.32</v>
      </c>
      <c r="Q1812" s="1" t="s">
        <v>5716</v>
      </c>
      <c r="R1812">
        <v>75</v>
      </c>
      <c r="S1812" s="1" t="s">
        <v>5717</v>
      </c>
      <c r="T1812" t="b">
        <v>0</v>
      </c>
    </row>
    <row r="1813" spans="1:20" x14ac:dyDescent="0.25">
      <c r="A1813" s="1" t="s">
        <v>5718</v>
      </c>
      <c r="B1813" s="1" t="s">
        <v>418</v>
      </c>
      <c r="C1813" s="1" t="s">
        <v>650</v>
      </c>
      <c r="D1813" s="1" t="s">
        <v>72</v>
      </c>
      <c r="E1813" s="1" t="s">
        <v>57</v>
      </c>
      <c r="F1813" s="1" t="s">
        <v>66</v>
      </c>
      <c r="G1813" s="2">
        <v>44700</v>
      </c>
      <c r="H1813" s="2"/>
      <c r="I1813">
        <v>40</v>
      </c>
      <c r="J1813">
        <v>28</v>
      </c>
      <c r="K1813">
        <v>0</v>
      </c>
      <c r="L1813" s="1" t="s">
        <v>26</v>
      </c>
      <c r="M1813">
        <v>425</v>
      </c>
      <c r="N1813">
        <v>1662101.46</v>
      </c>
      <c r="O1813">
        <v>2387025.5499999998</v>
      </c>
      <c r="P1813">
        <v>657900.43000000005</v>
      </c>
      <c r="Q1813" s="1" t="s">
        <v>5719</v>
      </c>
      <c r="R1813">
        <v>43</v>
      </c>
      <c r="S1813" s="1" t="s">
        <v>5720</v>
      </c>
      <c r="T1813" t="b">
        <v>0</v>
      </c>
    </row>
    <row r="1814" spans="1:20" x14ac:dyDescent="0.25">
      <c r="A1814" s="1" t="s">
        <v>5721</v>
      </c>
      <c r="B1814" s="1" t="s">
        <v>169</v>
      </c>
      <c r="C1814" s="1" t="s">
        <v>1407</v>
      </c>
      <c r="D1814" s="1" t="s">
        <v>187</v>
      </c>
      <c r="E1814" s="1" t="s">
        <v>41</v>
      </c>
      <c r="F1814" s="1" t="s">
        <v>25</v>
      </c>
      <c r="G1814" s="2">
        <v>44645</v>
      </c>
      <c r="H1814" s="2">
        <v>44657</v>
      </c>
      <c r="I1814">
        <v>9</v>
      </c>
      <c r="J1814">
        <v>12</v>
      </c>
      <c r="K1814">
        <v>3</v>
      </c>
      <c r="L1814" s="1" t="s">
        <v>26</v>
      </c>
      <c r="M1814">
        <v>129.4</v>
      </c>
      <c r="N1814">
        <v>521303.32</v>
      </c>
      <c r="O1814">
        <v>730132.29</v>
      </c>
      <c r="P1814">
        <v>153028.19</v>
      </c>
      <c r="Q1814" s="1" t="s">
        <v>5722</v>
      </c>
      <c r="R1814">
        <v>70</v>
      </c>
      <c r="S1814" s="1" t="s">
        <v>5723</v>
      </c>
      <c r="T1814" t="b">
        <v>1</v>
      </c>
    </row>
    <row r="1815" spans="1:20" x14ac:dyDescent="0.25">
      <c r="A1815" s="1" t="s">
        <v>5724</v>
      </c>
      <c r="B1815" s="1" t="s">
        <v>38</v>
      </c>
      <c r="C1815" s="1" t="s">
        <v>277</v>
      </c>
      <c r="D1815" s="1" t="s">
        <v>713</v>
      </c>
      <c r="E1815" s="1" t="s">
        <v>65</v>
      </c>
      <c r="F1815" s="1" t="s">
        <v>50</v>
      </c>
      <c r="G1815" s="2">
        <v>44674</v>
      </c>
      <c r="H1815" s="2"/>
      <c r="I1815">
        <v>4</v>
      </c>
      <c r="J1815">
        <v>4</v>
      </c>
      <c r="K1815">
        <v>0</v>
      </c>
      <c r="L1815" s="1" t="s">
        <v>26</v>
      </c>
      <c r="M1815">
        <v>63.4</v>
      </c>
      <c r="N1815">
        <v>135209.84</v>
      </c>
      <c r="O1815">
        <v>2773954.2</v>
      </c>
      <c r="P1815">
        <v>412939.25</v>
      </c>
      <c r="Q1815" s="1" t="s">
        <v>5725</v>
      </c>
      <c r="R1815">
        <v>61</v>
      </c>
      <c r="S1815" s="1" t="s">
        <v>5726</v>
      </c>
      <c r="T1815" t="b">
        <v>1</v>
      </c>
    </row>
    <row r="1816" spans="1:20" x14ac:dyDescent="0.25">
      <c r="A1816" s="1" t="s">
        <v>5727</v>
      </c>
      <c r="B1816" s="1" t="s">
        <v>93</v>
      </c>
      <c r="C1816" s="1" t="s">
        <v>2635</v>
      </c>
      <c r="D1816" s="1" t="s">
        <v>84</v>
      </c>
      <c r="E1816" s="1" t="s">
        <v>57</v>
      </c>
      <c r="F1816" s="1" t="s">
        <v>25</v>
      </c>
      <c r="G1816" s="2">
        <v>45150</v>
      </c>
      <c r="H1816" s="2">
        <v>45184</v>
      </c>
      <c r="I1816">
        <v>40</v>
      </c>
      <c r="J1816">
        <v>34</v>
      </c>
      <c r="K1816">
        <v>0</v>
      </c>
      <c r="L1816" s="1" t="s">
        <v>26</v>
      </c>
      <c r="M1816">
        <v>214.6</v>
      </c>
      <c r="N1816">
        <v>931885.48</v>
      </c>
      <c r="O1816">
        <v>1216863.3400000001</v>
      </c>
      <c r="P1816">
        <v>384151.92</v>
      </c>
      <c r="Q1816" s="1" t="s">
        <v>5728</v>
      </c>
      <c r="R1816">
        <v>44</v>
      </c>
      <c r="S1816" s="1" t="s">
        <v>5729</v>
      </c>
      <c r="T1816" t="b">
        <v>1</v>
      </c>
    </row>
    <row r="1817" spans="1:20" x14ac:dyDescent="0.25">
      <c r="A1817" s="1" t="s">
        <v>5730</v>
      </c>
      <c r="B1817" s="1" t="s">
        <v>70</v>
      </c>
      <c r="C1817" s="1" t="s">
        <v>1364</v>
      </c>
      <c r="D1817" s="1" t="s">
        <v>207</v>
      </c>
      <c r="E1817" s="1" t="s">
        <v>41</v>
      </c>
      <c r="F1817" s="1" t="s">
        <v>25</v>
      </c>
      <c r="G1817" s="2">
        <v>45383</v>
      </c>
      <c r="H1817" s="2">
        <v>45392</v>
      </c>
      <c r="I1817">
        <v>9</v>
      </c>
      <c r="J1817">
        <v>9</v>
      </c>
      <c r="K1817">
        <v>0</v>
      </c>
      <c r="L1817" s="1" t="s">
        <v>26</v>
      </c>
      <c r="M1817">
        <v>97.1</v>
      </c>
      <c r="N1817">
        <v>430215.29</v>
      </c>
      <c r="O1817">
        <v>3541512.57</v>
      </c>
      <c r="P1817">
        <v>667270.51</v>
      </c>
      <c r="Q1817" s="1" t="s">
        <v>5731</v>
      </c>
      <c r="R1817">
        <v>48</v>
      </c>
      <c r="S1817" s="1" t="s">
        <v>5732</v>
      </c>
      <c r="T1817" t="b">
        <v>0</v>
      </c>
    </row>
    <row r="1818" spans="1:20" x14ac:dyDescent="0.25">
      <c r="A1818" s="1" t="s">
        <v>5733</v>
      </c>
      <c r="B1818" s="1" t="s">
        <v>242</v>
      </c>
      <c r="C1818" s="1" t="s">
        <v>2635</v>
      </c>
      <c r="D1818" s="1" t="s">
        <v>655</v>
      </c>
      <c r="E1818" s="1" t="s">
        <v>57</v>
      </c>
      <c r="F1818" s="1" t="s">
        <v>66</v>
      </c>
      <c r="G1818" s="2">
        <v>45223</v>
      </c>
      <c r="H1818" s="2"/>
      <c r="I1818">
        <v>40</v>
      </c>
      <c r="J1818">
        <v>39</v>
      </c>
      <c r="K1818">
        <v>0</v>
      </c>
      <c r="L1818" s="1" t="s">
        <v>26</v>
      </c>
      <c r="M1818">
        <v>198.3</v>
      </c>
      <c r="N1818">
        <v>627776.25</v>
      </c>
      <c r="O1818">
        <v>1219776.1000000001</v>
      </c>
      <c r="P1818">
        <v>316929.58</v>
      </c>
      <c r="Q1818" s="1" t="s">
        <v>5734</v>
      </c>
      <c r="R1818">
        <v>76</v>
      </c>
      <c r="S1818" s="1" t="s">
        <v>5735</v>
      </c>
      <c r="T1818" t="b">
        <v>0</v>
      </c>
    </row>
    <row r="1819" spans="1:20" x14ac:dyDescent="0.25">
      <c r="A1819" s="1" t="s">
        <v>5736</v>
      </c>
      <c r="B1819" s="1" t="s">
        <v>272</v>
      </c>
      <c r="C1819" s="1" t="s">
        <v>577</v>
      </c>
      <c r="D1819" s="1" t="s">
        <v>154</v>
      </c>
      <c r="E1819" s="1" t="s">
        <v>49</v>
      </c>
      <c r="F1819" s="1" t="s">
        <v>25</v>
      </c>
      <c r="G1819" s="2">
        <v>45150</v>
      </c>
      <c r="H1819" s="2">
        <v>45184</v>
      </c>
      <c r="I1819">
        <v>25</v>
      </c>
      <c r="J1819">
        <v>34</v>
      </c>
      <c r="K1819">
        <v>9</v>
      </c>
      <c r="L1819" s="1" t="s">
        <v>42</v>
      </c>
      <c r="M1819">
        <v>522.4</v>
      </c>
      <c r="N1819">
        <v>1286464.3899999999</v>
      </c>
      <c r="O1819">
        <v>591075.06999999995</v>
      </c>
      <c r="P1819">
        <v>296399.14</v>
      </c>
      <c r="Q1819" s="1" t="s">
        <v>5737</v>
      </c>
      <c r="R1819">
        <v>43</v>
      </c>
      <c r="S1819" s="1" t="s">
        <v>5738</v>
      </c>
      <c r="T1819" t="b">
        <v>0</v>
      </c>
    </row>
    <row r="1820" spans="1:20" x14ac:dyDescent="0.25">
      <c r="A1820" s="1" t="s">
        <v>5739</v>
      </c>
      <c r="B1820" s="1" t="s">
        <v>54</v>
      </c>
      <c r="C1820" s="1" t="s">
        <v>914</v>
      </c>
      <c r="D1820" s="1" t="s">
        <v>202</v>
      </c>
      <c r="E1820" s="1" t="s">
        <v>57</v>
      </c>
      <c r="F1820" s="1" t="s">
        <v>66</v>
      </c>
      <c r="G1820" s="2">
        <v>45198</v>
      </c>
      <c r="H1820" s="2"/>
      <c r="I1820">
        <v>40</v>
      </c>
      <c r="J1820">
        <v>20</v>
      </c>
      <c r="K1820">
        <v>0</v>
      </c>
      <c r="L1820" s="1" t="s">
        <v>26</v>
      </c>
      <c r="M1820">
        <v>157.80000000000001</v>
      </c>
      <c r="N1820">
        <v>699204.17</v>
      </c>
      <c r="O1820">
        <v>2056883.45</v>
      </c>
      <c r="P1820">
        <v>549386.9</v>
      </c>
      <c r="Q1820" s="1" t="s">
        <v>5740</v>
      </c>
      <c r="R1820">
        <v>75</v>
      </c>
      <c r="S1820" s="1" t="s">
        <v>5741</v>
      </c>
      <c r="T1820" t="b">
        <v>0</v>
      </c>
    </row>
    <row r="1821" spans="1:20" x14ac:dyDescent="0.25">
      <c r="A1821" s="1" t="s">
        <v>5742</v>
      </c>
      <c r="B1821" s="1" t="s">
        <v>629</v>
      </c>
      <c r="C1821" s="1" t="s">
        <v>432</v>
      </c>
      <c r="D1821" s="1" t="s">
        <v>181</v>
      </c>
      <c r="E1821" s="1" t="s">
        <v>41</v>
      </c>
      <c r="F1821" s="1" t="s">
        <v>25</v>
      </c>
      <c r="G1821" s="2">
        <v>45647</v>
      </c>
      <c r="H1821" s="2">
        <v>45658</v>
      </c>
      <c r="I1821">
        <v>9</v>
      </c>
      <c r="J1821">
        <v>11</v>
      </c>
      <c r="K1821">
        <v>2</v>
      </c>
      <c r="L1821" s="1" t="s">
        <v>26</v>
      </c>
      <c r="M1821">
        <v>96.4</v>
      </c>
      <c r="N1821">
        <v>350181.29</v>
      </c>
      <c r="O1821">
        <v>219795.73</v>
      </c>
      <c r="P1821">
        <v>98156.13</v>
      </c>
      <c r="Q1821" s="1" t="s">
        <v>5743</v>
      </c>
      <c r="R1821">
        <v>50</v>
      </c>
      <c r="S1821" s="1" t="s">
        <v>5744</v>
      </c>
      <c r="T1821" t="b">
        <v>1</v>
      </c>
    </row>
    <row r="1822" spans="1:20" x14ac:dyDescent="0.25">
      <c r="A1822" s="1" t="s">
        <v>5745</v>
      </c>
      <c r="B1822" s="1" t="s">
        <v>122</v>
      </c>
      <c r="C1822" s="1" t="s">
        <v>1191</v>
      </c>
      <c r="D1822" s="1" t="s">
        <v>420</v>
      </c>
      <c r="E1822" s="1" t="s">
        <v>49</v>
      </c>
      <c r="F1822" s="1" t="s">
        <v>34</v>
      </c>
      <c r="G1822" s="2">
        <v>44752</v>
      </c>
      <c r="H1822" s="2"/>
      <c r="I1822">
        <v>25</v>
      </c>
      <c r="J1822">
        <v>38</v>
      </c>
      <c r="K1822">
        <v>13</v>
      </c>
      <c r="L1822" s="1" t="s">
        <v>193</v>
      </c>
      <c r="M1822">
        <v>300.7</v>
      </c>
      <c r="N1822">
        <v>867058.26</v>
      </c>
      <c r="O1822">
        <v>2079381.41</v>
      </c>
      <c r="P1822">
        <v>356179.63</v>
      </c>
      <c r="Q1822" s="1" t="s">
        <v>5746</v>
      </c>
      <c r="R1822">
        <v>53</v>
      </c>
      <c r="S1822" s="1" t="s">
        <v>5747</v>
      </c>
      <c r="T1822" t="b">
        <v>0</v>
      </c>
    </row>
    <row r="1823" spans="1:20" x14ac:dyDescent="0.25">
      <c r="A1823" s="1" t="s">
        <v>5748</v>
      </c>
      <c r="B1823" s="1" t="s">
        <v>38</v>
      </c>
      <c r="C1823" s="1" t="s">
        <v>71</v>
      </c>
      <c r="D1823" s="1" t="s">
        <v>420</v>
      </c>
      <c r="E1823" s="1" t="s">
        <v>49</v>
      </c>
      <c r="F1823" s="1" t="s">
        <v>25</v>
      </c>
      <c r="G1823" s="2">
        <v>44888</v>
      </c>
      <c r="H1823" s="2">
        <v>44904</v>
      </c>
      <c r="I1823">
        <v>25</v>
      </c>
      <c r="J1823">
        <v>16</v>
      </c>
      <c r="K1823">
        <v>0</v>
      </c>
      <c r="L1823" s="1" t="s">
        <v>26</v>
      </c>
      <c r="M1823">
        <v>222.7</v>
      </c>
      <c r="N1823">
        <v>821563.26</v>
      </c>
      <c r="O1823">
        <v>1265475.54</v>
      </c>
      <c r="P1823">
        <v>241575.88</v>
      </c>
      <c r="Q1823" s="1" t="s">
        <v>5749</v>
      </c>
      <c r="R1823">
        <v>72</v>
      </c>
      <c r="S1823" s="1" t="s">
        <v>5750</v>
      </c>
      <c r="T1823" t="b">
        <v>1</v>
      </c>
    </row>
    <row r="1824" spans="1:20" x14ac:dyDescent="0.25">
      <c r="A1824" s="1" t="s">
        <v>5751</v>
      </c>
      <c r="B1824" s="1" t="s">
        <v>272</v>
      </c>
      <c r="C1824" s="1" t="s">
        <v>1191</v>
      </c>
      <c r="D1824" s="1" t="s">
        <v>192</v>
      </c>
      <c r="E1824" s="1" t="s">
        <v>41</v>
      </c>
      <c r="F1824" s="1" t="s">
        <v>66</v>
      </c>
      <c r="G1824" s="2">
        <v>45532</v>
      </c>
      <c r="H1824" s="2"/>
      <c r="I1824">
        <v>9</v>
      </c>
      <c r="J1824">
        <v>9</v>
      </c>
      <c r="K1824">
        <v>0</v>
      </c>
      <c r="L1824" s="1" t="s">
        <v>26</v>
      </c>
      <c r="M1824">
        <v>69.400000000000006</v>
      </c>
      <c r="N1824">
        <v>146441.57999999999</v>
      </c>
      <c r="O1824">
        <v>51626.43</v>
      </c>
      <c r="P1824">
        <v>23663.15</v>
      </c>
      <c r="Q1824" s="1" t="s">
        <v>5752</v>
      </c>
      <c r="R1824">
        <v>21</v>
      </c>
      <c r="S1824" s="1" t="s">
        <v>5753</v>
      </c>
      <c r="T1824" t="b">
        <v>0</v>
      </c>
    </row>
    <row r="1825" spans="1:20" x14ac:dyDescent="0.25">
      <c r="A1825" s="1" t="s">
        <v>5754</v>
      </c>
      <c r="B1825" s="1" t="s">
        <v>272</v>
      </c>
      <c r="C1825" s="1" t="s">
        <v>1769</v>
      </c>
      <c r="D1825" s="1" t="s">
        <v>124</v>
      </c>
      <c r="E1825" s="1" t="s">
        <v>41</v>
      </c>
      <c r="F1825" s="1" t="s">
        <v>25</v>
      </c>
      <c r="G1825" s="2">
        <v>44722</v>
      </c>
      <c r="H1825" s="2">
        <v>44727</v>
      </c>
      <c r="I1825">
        <v>9</v>
      </c>
      <c r="J1825">
        <v>5</v>
      </c>
      <c r="K1825">
        <v>0</v>
      </c>
      <c r="L1825" s="1" t="s">
        <v>26</v>
      </c>
      <c r="M1825">
        <v>51.6</v>
      </c>
      <c r="N1825">
        <v>136378.41</v>
      </c>
      <c r="O1825">
        <v>3427025.96</v>
      </c>
      <c r="P1825">
        <v>409813.95</v>
      </c>
      <c r="Q1825" s="1" t="s">
        <v>5755</v>
      </c>
      <c r="R1825">
        <v>76</v>
      </c>
      <c r="S1825" s="1" t="s">
        <v>5756</v>
      </c>
      <c r="T1825" t="b">
        <v>0</v>
      </c>
    </row>
    <row r="1826" spans="1:20" x14ac:dyDescent="0.25">
      <c r="A1826" s="1" t="s">
        <v>5757</v>
      </c>
      <c r="B1826" s="1" t="s">
        <v>117</v>
      </c>
      <c r="C1826" s="1" t="s">
        <v>1079</v>
      </c>
      <c r="D1826" s="1" t="s">
        <v>113</v>
      </c>
      <c r="E1826" s="1" t="s">
        <v>24</v>
      </c>
      <c r="F1826" s="1" t="s">
        <v>25</v>
      </c>
      <c r="G1826" s="2">
        <v>45301</v>
      </c>
      <c r="H1826" s="2">
        <v>45304</v>
      </c>
      <c r="I1826">
        <v>3</v>
      </c>
      <c r="J1826">
        <v>3</v>
      </c>
      <c r="K1826">
        <v>0</v>
      </c>
      <c r="L1826" s="1" t="s">
        <v>26</v>
      </c>
      <c r="M1826">
        <v>14.4</v>
      </c>
      <c r="N1826">
        <v>36628.589999999997</v>
      </c>
      <c r="O1826">
        <v>2496463.19</v>
      </c>
      <c r="P1826">
        <v>288136.42</v>
      </c>
      <c r="Q1826" s="1" t="s">
        <v>5758</v>
      </c>
      <c r="R1826">
        <v>28</v>
      </c>
      <c r="S1826" s="1" t="s">
        <v>5759</v>
      </c>
      <c r="T1826" t="b">
        <v>0</v>
      </c>
    </row>
    <row r="1827" spans="1:20" x14ac:dyDescent="0.25">
      <c r="A1827" s="1" t="s">
        <v>5760</v>
      </c>
      <c r="B1827" s="1" t="s">
        <v>62</v>
      </c>
      <c r="C1827" s="1" t="s">
        <v>363</v>
      </c>
      <c r="D1827" s="1" t="s">
        <v>32</v>
      </c>
      <c r="E1827" s="1" t="s">
        <v>41</v>
      </c>
      <c r="F1827" s="1" t="s">
        <v>34</v>
      </c>
      <c r="G1827" s="2">
        <v>45216</v>
      </c>
      <c r="H1827" s="2"/>
      <c r="I1827">
        <v>9</v>
      </c>
      <c r="J1827">
        <v>3</v>
      </c>
      <c r="K1827">
        <v>0</v>
      </c>
      <c r="L1827" s="1" t="s">
        <v>26</v>
      </c>
      <c r="M1827">
        <v>40.1</v>
      </c>
      <c r="N1827">
        <v>110671.25</v>
      </c>
      <c r="O1827">
        <v>2034711.37</v>
      </c>
      <c r="P1827">
        <v>360541.4</v>
      </c>
      <c r="Q1827" s="1" t="s">
        <v>5761</v>
      </c>
      <c r="R1827">
        <v>66</v>
      </c>
      <c r="S1827" s="1" t="s">
        <v>5762</v>
      </c>
      <c r="T1827" t="b">
        <v>0</v>
      </c>
    </row>
    <row r="1828" spans="1:20" x14ac:dyDescent="0.25">
      <c r="A1828" s="1" t="s">
        <v>5763</v>
      </c>
      <c r="B1828" s="1" t="s">
        <v>334</v>
      </c>
      <c r="C1828" s="1" t="s">
        <v>1021</v>
      </c>
      <c r="D1828" s="1" t="s">
        <v>306</v>
      </c>
      <c r="E1828" s="1" t="s">
        <v>65</v>
      </c>
      <c r="F1828" s="1" t="s">
        <v>66</v>
      </c>
      <c r="G1828" s="2">
        <v>44675</v>
      </c>
      <c r="H1828" s="2"/>
      <c r="I1828">
        <v>4</v>
      </c>
      <c r="J1828">
        <v>6</v>
      </c>
      <c r="K1828">
        <v>1.5</v>
      </c>
      <c r="L1828" s="1" t="s">
        <v>26</v>
      </c>
      <c r="M1828">
        <v>45</v>
      </c>
      <c r="N1828">
        <v>146956.63</v>
      </c>
      <c r="O1828">
        <v>4694867.59</v>
      </c>
      <c r="P1828">
        <v>575518.26</v>
      </c>
      <c r="Q1828" s="1" t="s">
        <v>2636</v>
      </c>
      <c r="R1828">
        <v>77</v>
      </c>
      <c r="S1828" s="1" t="s">
        <v>5764</v>
      </c>
      <c r="T1828" t="b">
        <v>1</v>
      </c>
    </row>
    <row r="1829" spans="1:20" x14ac:dyDescent="0.25">
      <c r="A1829" s="1" t="s">
        <v>5765</v>
      </c>
      <c r="B1829" s="1" t="s">
        <v>70</v>
      </c>
      <c r="C1829" s="1" t="s">
        <v>4467</v>
      </c>
      <c r="D1829" s="1" t="s">
        <v>263</v>
      </c>
      <c r="E1829" s="1" t="s">
        <v>65</v>
      </c>
      <c r="F1829" s="1" t="s">
        <v>66</v>
      </c>
      <c r="G1829" s="2">
        <v>45004</v>
      </c>
      <c r="H1829" s="2"/>
      <c r="I1829">
        <v>4</v>
      </c>
      <c r="J1829">
        <v>1</v>
      </c>
      <c r="K1829">
        <v>0</v>
      </c>
      <c r="L1829" s="1" t="s">
        <v>26</v>
      </c>
      <c r="M1829">
        <v>9.1</v>
      </c>
      <c r="N1829">
        <v>35928.410000000003</v>
      </c>
      <c r="O1829">
        <v>4323498.8099999996</v>
      </c>
      <c r="P1829">
        <v>582233.31999999995</v>
      </c>
      <c r="Q1829" s="1" t="s">
        <v>5766</v>
      </c>
      <c r="R1829">
        <v>24</v>
      </c>
      <c r="S1829" s="1" t="s">
        <v>5767</v>
      </c>
      <c r="T1829" t="b">
        <v>0</v>
      </c>
    </row>
    <row r="1830" spans="1:20" x14ac:dyDescent="0.25">
      <c r="A1830" s="1" t="s">
        <v>5768</v>
      </c>
      <c r="B1830" s="1" t="s">
        <v>566</v>
      </c>
      <c r="C1830" s="1" t="s">
        <v>180</v>
      </c>
      <c r="D1830" s="1" t="s">
        <v>187</v>
      </c>
      <c r="E1830" s="1" t="s">
        <v>24</v>
      </c>
      <c r="F1830" s="1" t="s">
        <v>66</v>
      </c>
      <c r="G1830" s="2">
        <v>45650</v>
      </c>
      <c r="H1830" s="2"/>
      <c r="I1830">
        <v>3</v>
      </c>
      <c r="J1830">
        <v>1</v>
      </c>
      <c r="K1830">
        <v>0</v>
      </c>
      <c r="L1830" s="1" t="s">
        <v>26</v>
      </c>
      <c r="M1830">
        <v>11.5</v>
      </c>
      <c r="N1830">
        <v>34992.42</v>
      </c>
      <c r="O1830">
        <v>487312.37</v>
      </c>
      <c r="P1830">
        <v>54543.5</v>
      </c>
      <c r="Q1830" s="1" t="s">
        <v>3302</v>
      </c>
      <c r="R1830">
        <v>28</v>
      </c>
      <c r="S1830" s="1" t="s">
        <v>5769</v>
      </c>
      <c r="T1830" t="b">
        <v>1</v>
      </c>
    </row>
    <row r="1831" spans="1:20" x14ac:dyDescent="0.25">
      <c r="A1831" s="1" t="s">
        <v>5770</v>
      </c>
      <c r="B1831" s="1" t="s">
        <v>93</v>
      </c>
      <c r="C1831" s="1" t="s">
        <v>858</v>
      </c>
      <c r="D1831" s="1" t="s">
        <v>420</v>
      </c>
      <c r="E1831" s="1" t="s">
        <v>24</v>
      </c>
      <c r="F1831" s="1" t="s">
        <v>25</v>
      </c>
      <c r="G1831" s="2">
        <v>44826</v>
      </c>
      <c r="H1831" s="2">
        <v>44831</v>
      </c>
      <c r="I1831">
        <v>3</v>
      </c>
      <c r="J1831">
        <v>5</v>
      </c>
      <c r="K1831">
        <v>2</v>
      </c>
      <c r="L1831" s="1" t="s">
        <v>26</v>
      </c>
      <c r="M1831">
        <v>27.8</v>
      </c>
      <c r="N1831">
        <v>58984</v>
      </c>
      <c r="O1831">
        <v>2816131.85</v>
      </c>
      <c r="P1831">
        <v>445559.2</v>
      </c>
      <c r="Q1831" s="1" t="s">
        <v>2542</v>
      </c>
      <c r="R1831">
        <v>48</v>
      </c>
      <c r="S1831" s="1" t="s">
        <v>5771</v>
      </c>
      <c r="T1831" t="b">
        <v>1</v>
      </c>
    </row>
    <row r="1832" spans="1:20" x14ac:dyDescent="0.25">
      <c r="A1832" s="1" t="s">
        <v>5772</v>
      </c>
      <c r="B1832" s="1" t="s">
        <v>348</v>
      </c>
      <c r="C1832" s="1" t="s">
        <v>1130</v>
      </c>
      <c r="D1832" s="1" t="s">
        <v>165</v>
      </c>
      <c r="E1832" s="1" t="s">
        <v>49</v>
      </c>
      <c r="F1832" s="1" t="s">
        <v>34</v>
      </c>
      <c r="G1832" s="2">
        <v>45112</v>
      </c>
      <c r="H1832" s="2"/>
      <c r="I1832">
        <v>25</v>
      </c>
      <c r="J1832">
        <v>37</v>
      </c>
      <c r="K1832">
        <v>12</v>
      </c>
      <c r="L1832" s="1" t="s">
        <v>101</v>
      </c>
      <c r="M1832">
        <v>235.8</v>
      </c>
      <c r="N1832">
        <v>727883.12</v>
      </c>
      <c r="O1832">
        <v>1708924.58</v>
      </c>
      <c r="P1832">
        <v>283041.39</v>
      </c>
      <c r="Q1832" s="1" t="s">
        <v>5773</v>
      </c>
      <c r="R1832">
        <v>27</v>
      </c>
      <c r="S1832" s="1" t="s">
        <v>5774</v>
      </c>
      <c r="T1832" t="b">
        <v>1</v>
      </c>
    </row>
    <row r="1833" spans="1:20" x14ac:dyDescent="0.25">
      <c r="A1833" s="1" t="s">
        <v>5775</v>
      </c>
      <c r="B1833" s="1" t="s">
        <v>418</v>
      </c>
      <c r="C1833" s="1" t="s">
        <v>262</v>
      </c>
      <c r="D1833" s="1" t="s">
        <v>410</v>
      </c>
      <c r="E1833" s="1" t="s">
        <v>57</v>
      </c>
      <c r="F1833" s="1" t="s">
        <v>50</v>
      </c>
      <c r="G1833" s="2">
        <v>45441</v>
      </c>
      <c r="H1833" s="2"/>
      <c r="I1833">
        <v>40</v>
      </c>
      <c r="J1833">
        <v>58</v>
      </c>
      <c r="K1833">
        <v>18</v>
      </c>
      <c r="L1833" s="1" t="s">
        <v>42</v>
      </c>
      <c r="M1833">
        <v>681.6</v>
      </c>
      <c r="N1833">
        <v>1380145.39</v>
      </c>
      <c r="O1833">
        <v>3011694.42</v>
      </c>
      <c r="P1833">
        <v>866771.55</v>
      </c>
      <c r="Q1833" s="1" t="s">
        <v>5776</v>
      </c>
      <c r="R1833">
        <v>74</v>
      </c>
      <c r="S1833" s="1" t="s">
        <v>5777</v>
      </c>
      <c r="T1833" t="b">
        <v>1</v>
      </c>
    </row>
    <row r="1834" spans="1:20" x14ac:dyDescent="0.25">
      <c r="A1834" s="1" t="s">
        <v>5778</v>
      </c>
      <c r="B1834" s="1" t="s">
        <v>122</v>
      </c>
      <c r="C1834" s="1" t="s">
        <v>1584</v>
      </c>
      <c r="D1834" s="1" t="s">
        <v>410</v>
      </c>
      <c r="E1834" s="1" t="s">
        <v>57</v>
      </c>
      <c r="F1834" s="1" t="s">
        <v>25</v>
      </c>
      <c r="G1834" s="2">
        <v>45196</v>
      </c>
      <c r="H1834" s="2">
        <v>45251</v>
      </c>
      <c r="I1834">
        <v>40</v>
      </c>
      <c r="J1834">
        <v>55</v>
      </c>
      <c r="K1834">
        <v>15</v>
      </c>
      <c r="L1834" s="1" t="s">
        <v>26</v>
      </c>
      <c r="M1834">
        <v>755.1</v>
      </c>
      <c r="N1834">
        <v>3044683.86</v>
      </c>
      <c r="O1834">
        <v>2918291.21</v>
      </c>
      <c r="P1834">
        <v>690781.64</v>
      </c>
      <c r="Q1834" s="1" t="s">
        <v>5779</v>
      </c>
      <c r="R1834">
        <v>24</v>
      </c>
      <c r="S1834" s="1" t="s">
        <v>5780</v>
      </c>
      <c r="T1834" t="b">
        <v>1</v>
      </c>
    </row>
    <row r="1835" spans="1:20" x14ac:dyDescent="0.25">
      <c r="A1835" s="1" t="s">
        <v>5781</v>
      </c>
      <c r="B1835" s="1" t="s">
        <v>174</v>
      </c>
      <c r="C1835" s="1" t="s">
        <v>428</v>
      </c>
      <c r="D1835" s="1" t="s">
        <v>78</v>
      </c>
      <c r="E1835" s="1" t="s">
        <v>41</v>
      </c>
      <c r="F1835" s="1" t="s">
        <v>66</v>
      </c>
      <c r="G1835" s="2">
        <v>45177</v>
      </c>
      <c r="H1835" s="2"/>
      <c r="I1835">
        <v>9</v>
      </c>
      <c r="J1835">
        <v>15</v>
      </c>
      <c r="K1835">
        <v>6</v>
      </c>
      <c r="L1835" s="1" t="s">
        <v>26</v>
      </c>
      <c r="M1835">
        <v>224.7</v>
      </c>
      <c r="N1835">
        <v>845898.11</v>
      </c>
      <c r="O1835">
        <v>1185815.8400000001</v>
      </c>
      <c r="P1835">
        <v>390902.63</v>
      </c>
      <c r="Q1835" s="1" t="s">
        <v>5782</v>
      </c>
      <c r="R1835">
        <v>32</v>
      </c>
      <c r="S1835" s="1" t="s">
        <v>5783</v>
      </c>
      <c r="T1835" t="b">
        <v>0</v>
      </c>
    </row>
    <row r="1836" spans="1:20" x14ac:dyDescent="0.25">
      <c r="A1836" s="1" t="s">
        <v>5784</v>
      </c>
      <c r="B1836" s="1" t="s">
        <v>105</v>
      </c>
      <c r="C1836" s="1" t="s">
        <v>83</v>
      </c>
      <c r="D1836" s="1" t="s">
        <v>713</v>
      </c>
      <c r="E1836" s="1" t="s">
        <v>41</v>
      </c>
      <c r="F1836" s="1" t="s">
        <v>25</v>
      </c>
      <c r="G1836" s="2">
        <v>44966</v>
      </c>
      <c r="H1836" s="2">
        <v>44973</v>
      </c>
      <c r="I1836">
        <v>9</v>
      </c>
      <c r="J1836">
        <v>7</v>
      </c>
      <c r="K1836">
        <v>0</v>
      </c>
      <c r="L1836" s="1" t="s">
        <v>26</v>
      </c>
      <c r="M1836">
        <v>80.3</v>
      </c>
      <c r="N1836">
        <v>244801.58</v>
      </c>
      <c r="O1836">
        <v>2482082.7599999998</v>
      </c>
      <c r="P1836">
        <v>437283.52</v>
      </c>
      <c r="Q1836" s="1" t="s">
        <v>5785</v>
      </c>
      <c r="R1836">
        <v>45</v>
      </c>
      <c r="S1836" s="1" t="s">
        <v>5786</v>
      </c>
      <c r="T1836" t="b">
        <v>0</v>
      </c>
    </row>
    <row r="1837" spans="1:20" x14ac:dyDescent="0.25">
      <c r="A1837" s="1" t="s">
        <v>5787</v>
      </c>
      <c r="B1837" s="1" t="s">
        <v>54</v>
      </c>
      <c r="C1837" s="1" t="s">
        <v>153</v>
      </c>
      <c r="D1837" s="1" t="s">
        <v>176</v>
      </c>
      <c r="E1837" s="1" t="s">
        <v>49</v>
      </c>
      <c r="F1837" s="1" t="s">
        <v>50</v>
      </c>
      <c r="G1837" s="2">
        <v>45018</v>
      </c>
      <c r="H1837" s="2"/>
      <c r="I1837">
        <v>25</v>
      </c>
      <c r="J1837">
        <v>31</v>
      </c>
      <c r="K1837">
        <v>6</v>
      </c>
      <c r="L1837" s="1" t="s">
        <v>26</v>
      </c>
      <c r="M1837">
        <v>364.9</v>
      </c>
      <c r="N1837">
        <v>1479406.09</v>
      </c>
      <c r="O1837">
        <v>3070782.85</v>
      </c>
      <c r="P1837">
        <v>714995.92</v>
      </c>
      <c r="Q1837" s="1" t="s">
        <v>5788</v>
      </c>
      <c r="R1837">
        <v>38</v>
      </c>
      <c r="S1837" s="1" t="s">
        <v>5789</v>
      </c>
      <c r="T1837" t="b">
        <v>0</v>
      </c>
    </row>
    <row r="1838" spans="1:20" x14ac:dyDescent="0.25">
      <c r="A1838" s="1" t="s">
        <v>5790</v>
      </c>
      <c r="B1838" s="1" t="s">
        <v>451</v>
      </c>
      <c r="C1838" s="1" t="s">
        <v>562</v>
      </c>
      <c r="D1838" s="1" t="s">
        <v>176</v>
      </c>
      <c r="E1838" s="1" t="s">
        <v>33</v>
      </c>
      <c r="F1838" s="1" t="s">
        <v>34</v>
      </c>
      <c r="G1838" s="2">
        <v>45419</v>
      </c>
      <c r="H1838" s="2"/>
      <c r="I1838">
        <v>12</v>
      </c>
      <c r="J1838">
        <v>6</v>
      </c>
      <c r="K1838">
        <v>0</v>
      </c>
      <c r="L1838" s="1" t="s">
        <v>26</v>
      </c>
      <c r="M1838">
        <v>75.900000000000006</v>
      </c>
      <c r="N1838">
        <v>252943.22</v>
      </c>
      <c r="O1838">
        <v>57324</v>
      </c>
      <c r="P1838">
        <v>33068.76</v>
      </c>
      <c r="Q1838" s="1" t="s">
        <v>5791</v>
      </c>
      <c r="R1838">
        <v>38</v>
      </c>
      <c r="S1838" s="1" t="s">
        <v>5792</v>
      </c>
      <c r="T1838" t="b">
        <v>1</v>
      </c>
    </row>
    <row r="1839" spans="1:20" x14ac:dyDescent="0.25">
      <c r="A1839" s="1" t="s">
        <v>5793</v>
      </c>
      <c r="B1839" s="1" t="s">
        <v>62</v>
      </c>
      <c r="C1839" s="1" t="s">
        <v>371</v>
      </c>
      <c r="D1839" s="1" t="s">
        <v>405</v>
      </c>
      <c r="E1839" s="1" t="s">
        <v>65</v>
      </c>
      <c r="F1839" s="1" t="s">
        <v>34</v>
      </c>
      <c r="G1839" s="2">
        <v>45392</v>
      </c>
      <c r="H1839" s="2"/>
      <c r="I1839">
        <v>4</v>
      </c>
      <c r="J1839">
        <v>3</v>
      </c>
      <c r="K1839">
        <v>0</v>
      </c>
      <c r="L1839" s="1" t="s">
        <v>26</v>
      </c>
      <c r="M1839">
        <v>16.5</v>
      </c>
      <c r="N1839">
        <v>41358.69</v>
      </c>
      <c r="O1839">
        <v>777410.71</v>
      </c>
      <c r="P1839">
        <v>84583.22</v>
      </c>
      <c r="Q1839" s="1" t="s">
        <v>2790</v>
      </c>
      <c r="R1839">
        <v>37</v>
      </c>
      <c r="S1839" s="1" t="s">
        <v>5794</v>
      </c>
      <c r="T1839" t="b">
        <v>1</v>
      </c>
    </row>
    <row r="1840" spans="1:20" x14ac:dyDescent="0.25">
      <c r="A1840" s="1" t="s">
        <v>5795</v>
      </c>
      <c r="B1840" s="1" t="s">
        <v>328</v>
      </c>
      <c r="C1840" s="1" t="s">
        <v>717</v>
      </c>
      <c r="D1840" s="1" t="s">
        <v>144</v>
      </c>
      <c r="E1840" s="1" t="s">
        <v>41</v>
      </c>
      <c r="F1840" s="1" t="s">
        <v>25</v>
      </c>
      <c r="G1840" s="2">
        <v>44767</v>
      </c>
      <c r="H1840" s="2">
        <v>44772</v>
      </c>
      <c r="I1840">
        <v>9</v>
      </c>
      <c r="J1840">
        <v>5</v>
      </c>
      <c r="K1840">
        <v>0</v>
      </c>
      <c r="L1840" s="1" t="s">
        <v>26</v>
      </c>
      <c r="M1840">
        <v>48</v>
      </c>
      <c r="N1840">
        <v>100491.82</v>
      </c>
      <c r="O1840">
        <v>3556614.76</v>
      </c>
      <c r="P1840">
        <v>640777.05000000005</v>
      </c>
      <c r="Q1840" s="1" t="s">
        <v>5796</v>
      </c>
      <c r="R1840">
        <v>51</v>
      </c>
      <c r="S1840" s="1" t="s">
        <v>5797</v>
      </c>
      <c r="T1840" t="b">
        <v>0</v>
      </c>
    </row>
    <row r="1841" spans="1:20" x14ac:dyDescent="0.25">
      <c r="A1841" s="1" t="s">
        <v>5798</v>
      </c>
      <c r="B1841" s="1" t="s">
        <v>228</v>
      </c>
      <c r="C1841" s="1" t="s">
        <v>808</v>
      </c>
      <c r="D1841" s="1" t="s">
        <v>288</v>
      </c>
      <c r="E1841" s="1" t="s">
        <v>49</v>
      </c>
      <c r="F1841" s="1" t="s">
        <v>50</v>
      </c>
      <c r="G1841" s="2">
        <v>45424</v>
      </c>
      <c r="H1841" s="2"/>
      <c r="I1841">
        <v>25</v>
      </c>
      <c r="J1841">
        <v>10</v>
      </c>
      <c r="K1841">
        <v>0</v>
      </c>
      <c r="L1841" s="1" t="s">
        <v>26</v>
      </c>
      <c r="M1841">
        <v>145.5</v>
      </c>
      <c r="N1841">
        <v>511019.7</v>
      </c>
      <c r="O1841">
        <v>2613299.75</v>
      </c>
      <c r="P1841">
        <v>351758.92</v>
      </c>
      <c r="Q1841" s="1" t="s">
        <v>4608</v>
      </c>
      <c r="R1841">
        <v>37</v>
      </c>
      <c r="S1841" s="1" t="s">
        <v>5799</v>
      </c>
      <c r="T1841" t="b">
        <v>0</v>
      </c>
    </row>
    <row r="1842" spans="1:20" x14ac:dyDescent="0.25">
      <c r="A1842" s="1" t="s">
        <v>5800</v>
      </c>
      <c r="B1842" s="1" t="s">
        <v>38</v>
      </c>
      <c r="C1842" s="1" t="s">
        <v>1452</v>
      </c>
      <c r="D1842" s="1" t="s">
        <v>359</v>
      </c>
      <c r="E1842" s="1" t="s">
        <v>57</v>
      </c>
      <c r="F1842" s="1" t="s">
        <v>25</v>
      </c>
      <c r="G1842" s="2">
        <v>45189</v>
      </c>
      <c r="H1842" s="2">
        <v>45245</v>
      </c>
      <c r="I1842">
        <v>40</v>
      </c>
      <c r="J1842">
        <v>56</v>
      </c>
      <c r="K1842">
        <v>16</v>
      </c>
      <c r="L1842" s="1" t="s">
        <v>101</v>
      </c>
      <c r="M1842">
        <v>586</v>
      </c>
      <c r="N1842">
        <v>1438257.41</v>
      </c>
      <c r="O1842">
        <v>3971736.99</v>
      </c>
      <c r="P1842">
        <v>953056.46</v>
      </c>
      <c r="Q1842" s="1" t="s">
        <v>4369</v>
      </c>
      <c r="R1842">
        <v>50</v>
      </c>
      <c r="S1842" s="1" t="s">
        <v>5801</v>
      </c>
      <c r="T1842" t="b">
        <v>1</v>
      </c>
    </row>
    <row r="1843" spans="1:20" x14ac:dyDescent="0.25">
      <c r="A1843" s="1" t="s">
        <v>5802</v>
      </c>
      <c r="B1843" s="1" t="s">
        <v>629</v>
      </c>
      <c r="C1843" s="1" t="s">
        <v>419</v>
      </c>
      <c r="D1843" s="1" t="s">
        <v>758</v>
      </c>
      <c r="E1843" s="1" t="s">
        <v>57</v>
      </c>
      <c r="F1843" s="1" t="s">
        <v>50</v>
      </c>
      <c r="G1843" s="2">
        <v>45284</v>
      </c>
      <c r="H1843" s="2"/>
      <c r="I1843">
        <v>40</v>
      </c>
      <c r="J1843">
        <v>58</v>
      </c>
      <c r="K1843">
        <v>18</v>
      </c>
      <c r="L1843" s="1" t="s">
        <v>42</v>
      </c>
      <c r="M1843">
        <v>245.8</v>
      </c>
      <c r="N1843">
        <v>554472.93000000005</v>
      </c>
      <c r="O1843">
        <v>2162068.2799999998</v>
      </c>
      <c r="P1843">
        <v>519613.41</v>
      </c>
      <c r="Q1843" s="1" t="s">
        <v>5803</v>
      </c>
      <c r="R1843">
        <v>20</v>
      </c>
      <c r="S1843" s="1" t="s">
        <v>5804</v>
      </c>
      <c r="T1843" t="b">
        <v>1</v>
      </c>
    </row>
    <row r="1844" spans="1:20" x14ac:dyDescent="0.25">
      <c r="A1844" s="1" t="s">
        <v>5805</v>
      </c>
      <c r="B1844" s="1" t="s">
        <v>328</v>
      </c>
      <c r="C1844" s="1" t="s">
        <v>262</v>
      </c>
      <c r="D1844" s="1" t="s">
        <v>306</v>
      </c>
      <c r="E1844" s="1" t="s">
        <v>57</v>
      </c>
      <c r="F1844" s="1" t="s">
        <v>66</v>
      </c>
      <c r="G1844" s="2">
        <v>44977</v>
      </c>
      <c r="H1844" s="2"/>
      <c r="I1844">
        <v>40</v>
      </c>
      <c r="J1844">
        <v>56</v>
      </c>
      <c r="K1844">
        <v>16</v>
      </c>
      <c r="L1844" s="1" t="s">
        <v>58</v>
      </c>
      <c r="M1844">
        <v>234.7</v>
      </c>
      <c r="N1844">
        <v>446499.4</v>
      </c>
      <c r="O1844">
        <v>4857234.87</v>
      </c>
      <c r="P1844">
        <v>559863.31000000006</v>
      </c>
      <c r="Q1844" s="1" t="s">
        <v>2006</v>
      </c>
      <c r="R1844">
        <v>48</v>
      </c>
      <c r="S1844" s="1" t="s">
        <v>5806</v>
      </c>
      <c r="T1844" t="b">
        <v>0</v>
      </c>
    </row>
    <row r="1845" spans="1:20" x14ac:dyDescent="0.25">
      <c r="A1845" s="1" t="s">
        <v>5807</v>
      </c>
      <c r="B1845" s="1" t="s">
        <v>21</v>
      </c>
      <c r="C1845" s="1" t="s">
        <v>1021</v>
      </c>
      <c r="D1845" s="1" t="s">
        <v>72</v>
      </c>
      <c r="E1845" s="1" t="s">
        <v>41</v>
      </c>
      <c r="F1845" s="1" t="s">
        <v>34</v>
      </c>
      <c r="G1845" s="2">
        <v>45072</v>
      </c>
      <c r="H1845" s="2"/>
      <c r="I1845">
        <v>9</v>
      </c>
      <c r="J1845">
        <v>8</v>
      </c>
      <c r="K1845">
        <v>0</v>
      </c>
      <c r="L1845" s="1" t="s">
        <v>26</v>
      </c>
      <c r="M1845">
        <v>62.5</v>
      </c>
      <c r="N1845">
        <v>223648.66</v>
      </c>
      <c r="O1845">
        <v>271962.46999999997</v>
      </c>
      <c r="P1845">
        <v>95210.71</v>
      </c>
      <c r="Q1845" s="1" t="s">
        <v>5808</v>
      </c>
      <c r="R1845">
        <v>29</v>
      </c>
      <c r="S1845" s="1" t="s">
        <v>5809</v>
      </c>
      <c r="T1845" t="b">
        <v>1</v>
      </c>
    </row>
    <row r="1846" spans="1:20" x14ac:dyDescent="0.25">
      <c r="A1846" s="1" t="s">
        <v>5810</v>
      </c>
      <c r="B1846" s="1" t="s">
        <v>54</v>
      </c>
      <c r="C1846" s="1" t="s">
        <v>884</v>
      </c>
      <c r="D1846" s="1" t="s">
        <v>758</v>
      </c>
      <c r="E1846" s="1" t="s">
        <v>65</v>
      </c>
      <c r="F1846" s="1" t="s">
        <v>25</v>
      </c>
      <c r="G1846" s="2">
        <v>45448</v>
      </c>
      <c r="H1846" s="2">
        <v>45453</v>
      </c>
      <c r="I1846">
        <v>4</v>
      </c>
      <c r="J1846">
        <v>5</v>
      </c>
      <c r="K1846">
        <v>0.5</v>
      </c>
      <c r="L1846" s="1" t="s">
        <v>26</v>
      </c>
      <c r="M1846">
        <v>76.8</v>
      </c>
      <c r="N1846">
        <v>184820.07</v>
      </c>
      <c r="O1846">
        <v>990300.02</v>
      </c>
      <c r="P1846">
        <v>229848.53</v>
      </c>
      <c r="Q1846" s="1" t="s">
        <v>5811</v>
      </c>
      <c r="R1846">
        <v>74</v>
      </c>
      <c r="S1846" s="1" t="s">
        <v>5812</v>
      </c>
      <c r="T1846" t="b">
        <v>1</v>
      </c>
    </row>
    <row r="1847" spans="1:20" x14ac:dyDescent="0.25">
      <c r="A1847" s="1" t="s">
        <v>5813</v>
      </c>
      <c r="B1847" s="1" t="s">
        <v>334</v>
      </c>
      <c r="C1847" s="1" t="s">
        <v>31</v>
      </c>
      <c r="D1847" s="1" t="s">
        <v>713</v>
      </c>
      <c r="E1847" s="1" t="s">
        <v>41</v>
      </c>
      <c r="F1847" s="1" t="s">
        <v>25</v>
      </c>
      <c r="G1847" s="2">
        <v>44937</v>
      </c>
      <c r="H1847" s="2">
        <v>44942</v>
      </c>
      <c r="I1847">
        <v>9</v>
      </c>
      <c r="J1847">
        <v>5</v>
      </c>
      <c r="K1847">
        <v>0</v>
      </c>
      <c r="L1847" s="1" t="s">
        <v>26</v>
      </c>
      <c r="M1847">
        <v>50.8</v>
      </c>
      <c r="N1847">
        <v>167966.49</v>
      </c>
      <c r="O1847">
        <v>1119936.1100000001</v>
      </c>
      <c r="P1847">
        <v>187605.37</v>
      </c>
      <c r="Q1847" s="1" t="s">
        <v>5814</v>
      </c>
      <c r="R1847">
        <v>34</v>
      </c>
      <c r="S1847" s="1" t="s">
        <v>5815</v>
      </c>
      <c r="T1847" t="b">
        <v>1</v>
      </c>
    </row>
    <row r="1848" spans="1:20" x14ac:dyDescent="0.25">
      <c r="A1848" s="1" t="s">
        <v>5816</v>
      </c>
      <c r="B1848" s="1" t="s">
        <v>328</v>
      </c>
      <c r="C1848" s="1" t="s">
        <v>1521</v>
      </c>
      <c r="D1848" s="1" t="s">
        <v>64</v>
      </c>
      <c r="E1848" s="1" t="s">
        <v>65</v>
      </c>
      <c r="F1848" s="1" t="s">
        <v>25</v>
      </c>
      <c r="G1848" s="2">
        <v>44602</v>
      </c>
      <c r="H1848" s="2">
        <v>44607</v>
      </c>
      <c r="I1848">
        <v>4</v>
      </c>
      <c r="J1848">
        <v>5</v>
      </c>
      <c r="K1848">
        <v>0.5</v>
      </c>
      <c r="L1848" s="1" t="s">
        <v>26</v>
      </c>
      <c r="M1848">
        <v>40.4</v>
      </c>
      <c r="N1848">
        <v>141339.1</v>
      </c>
      <c r="O1848">
        <v>4192903.61</v>
      </c>
      <c r="P1848">
        <v>523659.48</v>
      </c>
      <c r="Q1848" s="1" t="s">
        <v>5817</v>
      </c>
      <c r="R1848">
        <v>31</v>
      </c>
      <c r="S1848" s="1" t="s">
        <v>5818</v>
      </c>
      <c r="T1848" t="b">
        <v>1</v>
      </c>
    </row>
    <row r="1849" spans="1:20" x14ac:dyDescent="0.25">
      <c r="A1849" s="1" t="s">
        <v>5819</v>
      </c>
      <c r="B1849" s="1" t="s">
        <v>358</v>
      </c>
      <c r="C1849" s="1" t="s">
        <v>1442</v>
      </c>
      <c r="D1849" s="1" t="s">
        <v>758</v>
      </c>
      <c r="E1849" s="1" t="s">
        <v>65</v>
      </c>
      <c r="F1849" s="1" t="s">
        <v>25</v>
      </c>
      <c r="G1849" s="2">
        <v>45162</v>
      </c>
      <c r="H1849" s="2">
        <v>45163</v>
      </c>
      <c r="I1849">
        <v>4</v>
      </c>
      <c r="J1849">
        <v>1</v>
      </c>
      <c r="K1849">
        <v>0</v>
      </c>
      <c r="L1849" s="1" t="s">
        <v>26</v>
      </c>
      <c r="M1849">
        <v>11.6</v>
      </c>
      <c r="N1849">
        <v>37753.14</v>
      </c>
      <c r="O1849">
        <v>962478.33</v>
      </c>
      <c r="P1849">
        <v>181935.28</v>
      </c>
      <c r="Q1849" s="1" t="s">
        <v>5820</v>
      </c>
      <c r="R1849">
        <v>78</v>
      </c>
      <c r="S1849" s="1" t="s">
        <v>5821</v>
      </c>
      <c r="T1849" t="b">
        <v>1</v>
      </c>
    </row>
    <row r="1850" spans="1:20" x14ac:dyDescent="0.25">
      <c r="A1850" s="1" t="s">
        <v>5822</v>
      </c>
      <c r="B1850" s="1" t="s">
        <v>545</v>
      </c>
      <c r="C1850" s="1" t="s">
        <v>94</v>
      </c>
      <c r="D1850" s="1" t="s">
        <v>64</v>
      </c>
      <c r="E1850" s="1" t="s">
        <v>33</v>
      </c>
      <c r="F1850" s="1" t="s">
        <v>25</v>
      </c>
      <c r="G1850" s="2">
        <v>45380</v>
      </c>
      <c r="H1850" s="2">
        <v>45389</v>
      </c>
      <c r="I1850">
        <v>12</v>
      </c>
      <c r="J1850">
        <v>9</v>
      </c>
      <c r="K1850">
        <v>0</v>
      </c>
      <c r="L1850" s="1" t="s">
        <v>26</v>
      </c>
      <c r="M1850">
        <v>124.7</v>
      </c>
      <c r="N1850">
        <v>334440.99</v>
      </c>
      <c r="O1850">
        <v>4096079.33</v>
      </c>
      <c r="P1850">
        <v>659028.24</v>
      </c>
      <c r="Q1850" s="1" t="s">
        <v>5823</v>
      </c>
      <c r="R1850">
        <v>51</v>
      </c>
      <c r="S1850" s="1" t="s">
        <v>5824</v>
      </c>
      <c r="T1850" t="b">
        <v>1</v>
      </c>
    </row>
    <row r="1851" spans="1:20" x14ac:dyDescent="0.25">
      <c r="A1851" s="1" t="s">
        <v>5825</v>
      </c>
      <c r="B1851" s="1" t="s">
        <v>328</v>
      </c>
      <c r="C1851" s="1" t="s">
        <v>287</v>
      </c>
      <c r="D1851" s="1" t="s">
        <v>670</v>
      </c>
      <c r="E1851" s="1" t="s">
        <v>41</v>
      </c>
      <c r="F1851" s="1" t="s">
        <v>34</v>
      </c>
      <c r="G1851" s="2">
        <v>45108</v>
      </c>
      <c r="H1851" s="2"/>
      <c r="I1851">
        <v>9</v>
      </c>
      <c r="J1851">
        <v>3</v>
      </c>
      <c r="K1851">
        <v>0</v>
      </c>
      <c r="L1851" s="1" t="s">
        <v>26</v>
      </c>
      <c r="M1851">
        <v>21.8</v>
      </c>
      <c r="N1851">
        <v>48205.120000000003</v>
      </c>
      <c r="O1851">
        <v>3241675.1</v>
      </c>
      <c r="P1851">
        <v>555028.13</v>
      </c>
      <c r="Q1851" s="1" t="s">
        <v>1217</v>
      </c>
      <c r="R1851">
        <v>57</v>
      </c>
      <c r="S1851" s="1" t="s">
        <v>5826</v>
      </c>
      <c r="T1851" t="b">
        <v>1</v>
      </c>
    </row>
    <row r="1852" spans="1:20" x14ac:dyDescent="0.25">
      <c r="A1852" s="1" t="s">
        <v>5827</v>
      </c>
      <c r="B1852" s="1" t="s">
        <v>220</v>
      </c>
      <c r="C1852" s="1" t="s">
        <v>399</v>
      </c>
      <c r="D1852" s="1" t="s">
        <v>64</v>
      </c>
      <c r="E1852" s="1" t="s">
        <v>24</v>
      </c>
      <c r="F1852" s="1" t="s">
        <v>50</v>
      </c>
      <c r="G1852" s="2">
        <v>45322</v>
      </c>
      <c r="H1852" s="2"/>
      <c r="I1852">
        <v>3</v>
      </c>
      <c r="J1852">
        <v>1</v>
      </c>
      <c r="K1852">
        <v>0</v>
      </c>
      <c r="L1852" s="1" t="s">
        <v>26</v>
      </c>
      <c r="M1852">
        <v>5.6</v>
      </c>
      <c r="N1852">
        <v>13596.46</v>
      </c>
      <c r="O1852">
        <v>4005914.08</v>
      </c>
      <c r="P1852">
        <v>416257.83</v>
      </c>
      <c r="Q1852" s="1" t="s">
        <v>5828</v>
      </c>
      <c r="R1852">
        <v>35</v>
      </c>
      <c r="S1852" s="1" t="s">
        <v>5829</v>
      </c>
      <c r="T1852" t="b">
        <v>0</v>
      </c>
    </row>
    <row r="1853" spans="1:20" x14ac:dyDescent="0.25">
      <c r="A1853" s="1" t="s">
        <v>5830</v>
      </c>
      <c r="B1853" s="1" t="s">
        <v>451</v>
      </c>
      <c r="C1853" s="1" t="s">
        <v>3479</v>
      </c>
      <c r="D1853" s="1" t="s">
        <v>207</v>
      </c>
      <c r="E1853" s="1" t="s">
        <v>24</v>
      </c>
      <c r="F1853" s="1" t="s">
        <v>34</v>
      </c>
      <c r="G1853" s="2">
        <v>44605</v>
      </c>
      <c r="H1853" s="2"/>
      <c r="I1853">
        <v>3</v>
      </c>
      <c r="J1853">
        <v>2</v>
      </c>
      <c r="K1853">
        <v>0</v>
      </c>
      <c r="L1853" s="1" t="s">
        <v>26</v>
      </c>
      <c r="M1853">
        <v>25.5</v>
      </c>
      <c r="N1853">
        <v>67247.66</v>
      </c>
      <c r="O1853">
        <v>4805380.0199999996</v>
      </c>
      <c r="P1853">
        <v>941197.05</v>
      </c>
      <c r="Q1853" s="1" t="s">
        <v>5831</v>
      </c>
      <c r="R1853">
        <v>64</v>
      </c>
      <c r="S1853" s="1" t="s">
        <v>5832</v>
      </c>
      <c r="T1853" t="b">
        <v>0</v>
      </c>
    </row>
    <row r="1854" spans="1:20" x14ac:dyDescent="0.25">
      <c r="A1854" s="1" t="s">
        <v>5833</v>
      </c>
      <c r="B1854" s="1" t="s">
        <v>117</v>
      </c>
      <c r="C1854" s="1" t="s">
        <v>546</v>
      </c>
      <c r="D1854" s="1" t="s">
        <v>249</v>
      </c>
      <c r="E1854" s="1" t="s">
        <v>24</v>
      </c>
      <c r="F1854" s="1" t="s">
        <v>25</v>
      </c>
      <c r="G1854" s="2">
        <v>45205</v>
      </c>
      <c r="H1854" s="2">
        <v>45206</v>
      </c>
      <c r="I1854">
        <v>3</v>
      </c>
      <c r="J1854">
        <v>1</v>
      </c>
      <c r="K1854">
        <v>0</v>
      </c>
      <c r="L1854" s="1" t="s">
        <v>26</v>
      </c>
      <c r="M1854">
        <v>14.7</v>
      </c>
      <c r="N1854">
        <v>42031.65</v>
      </c>
      <c r="O1854">
        <v>3989733.8</v>
      </c>
      <c r="P1854">
        <v>473199.3</v>
      </c>
      <c r="Q1854" s="1" t="s">
        <v>5834</v>
      </c>
      <c r="R1854">
        <v>21</v>
      </c>
      <c r="S1854" s="1" t="s">
        <v>5835</v>
      </c>
      <c r="T1854" t="b">
        <v>0</v>
      </c>
    </row>
    <row r="1855" spans="1:20" x14ac:dyDescent="0.25">
      <c r="A1855" s="1" t="s">
        <v>5836</v>
      </c>
      <c r="B1855" s="1" t="s">
        <v>286</v>
      </c>
      <c r="C1855" s="1" t="s">
        <v>1584</v>
      </c>
      <c r="D1855" s="1" t="s">
        <v>758</v>
      </c>
      <c r="E1855" s="1" t="s">
        <v>41</v>
      </c>
      <c r="F1855" s="1" t="s">
        <v>25</v>
      </c>
      <c r="G1855" s="2">
        <v>44808</v>
      </c>
      <c r="H1855" s="2">
        <v>44813</v>
      </c>
      <c r="I1855">
        <v>9</v>
      </c>
      <c r="J1855">
        <v>5</v>
      </c>
      <c r="K1855">
        <v>0</v>
      </c>
      <c r="L1855" s="1" t="s">
        <v>26</v>
      </c>
      <c r="M1855">
        <v>70.7</v>
      </c>
      <c r="N1855">
        <v>141468.60999999999</v>
      </c>
      <c r="O1855">
        <v>3351377.96</v>
      </c>
      <c r="P1855">
        <v>536657.27</v>
      </c>
      <c r="Q1855" s="1" t="s">
        <v>5837</v>
      </c>
      <c r="R1855">
        <v>28</v>
      </c>
      <c r="S1855" s="1" t="s">
        <v>5838</v>
      </c>
      <c r="T1855" t="b">
        <v>1</v>
      </c>
    </row>
    <row r="1856" spans="1:20" x14ac:dyDescent="0.25">
      <c r="A1856" s="1" t="s">
        <v>5839</v>
      </c>
      <c r="B1856" s="1" t="s">
        <v>358</v>
      </c>
      <c r="C1856" s="1" t="s">
        <v>2485</v>
      </c>
      <c r="D1856" s="1" t="s">
        <v>72</v>
      </c>
      <c r="E1856" s="1" t="s">
        <v>65</v>
      </c>
      <c r="F1856" s="1" t="s">
        <v>25</v>
      </c>
      <c r="G1856" s="2">
        <v>44563</v>
      </c>
      <c r="H1856" s="2">
        <v>44565</v>
      </c>
      <c r="I1856">
        <v>4</v>
      </c>
      <c r="J1856">
        <v>2</v>
      </c>
      <c r="K1856">
        <v>0</v>
      </c>
      <c r="L1856" s="1" t="s">
        <v>26</v>
      </c>
      <c r="M1856">
        <v>15.5</v>
      </c>
      <c r="N1856">
        <v>40001.42</v>
      </c>
      <c r="O1856">
        <v>283127.43</v>
      </c>
      <c r="P1856">
        <v>51930.47</v>
      </c>
      <c r="Q1856" s="1" t="s">
        <v>1378</v>
      </c>
      <c r="R1856">
        <v>48</v>
      </c>
      <c r="S1856" s="1" t="s">
        <v>5840</v>
      </c>
      <c r="T1856" t="b">
        <v>0</v>
      </c>
    </row>
    <row r="1857" spans="1:20" x14ac:dyDescent="0.25">
      <c r="A1857" s="1" t="s">
        <v>5841</v>
      </c>
      <c r="B1857" s="1" t="s">
        <v>148</v>
      </c>
      <c r="C1857" s="1" t="s">
        <v>1442</v>
      </c>
      <c r="D1857" s="1" t="s">
        <v>670</v>
      </c>
      <c r="E1857" s="1" t="s">
        <v>24</v>
      </c>
      <c r="F1857" s="1" t="s">
        <v>25</v>
      </c>
      <c r="G1857" s="2">
        <v>44720</v>
      </c>
      <c r="H1857" s="2">
        <v>44722</v>
      </c>
      <c r="I1857">
        <v>3</v>
      </c>
      <c r="J1857">
        <v>2</v>
      </c>
      <c r="K1857">
        <v>0</v>
      </c>
      <c r="L1857" s="1" t="s">
        <v>26</v>
      </c>
      <c r="M1857">
        <v>24.6</v>
      </c>
      <c r="N1857">
        <v>72339.67</v>
      </c>
      <c r="O1857">
        <v>4565390.4800000004</v>
      </c>
      <c r="P1857">
        <v>698064.83</v>
      </c>
      <c r="Q1857" s="1" t="s">
        <v>5842</v>
      </c>
      <c r="R1857">
        <v>78</v>
      </c>
      <c r="S1857" s="1" t="s">
        <v>5843</v>
      </c>
      <c r="T1857" t="b">
        <v>0</v>
      </c>
    </row>
    <row r="1858" spans="1:20" x14ac:dyDescent="0.25">
      <c r="A1858" s="1" t="s">
        <v>5844</v>
      </c>
      <c r="B1858" s="1" t="s">
        <v>566</v>
      </c>
      <c r="C1858" s="1" t="s">
        <v>1574</v>
      </c>
      <c r="D1858" s="1" t="s">
        <v>582</v>
      </c>
      <c r="E1858" s="1" t="s">
        <v>41</v>
      </c>
      <c r="F1858" s="1" t="s">
        <v>25</v>
      </c>
      <c r="G1858" s="2">
        <v>45417</v>
      </c>
      <c r="H1858" s="2">
        <v>45420</v>
      </c>
      <c r="I1858">
        <v>9</v>
      </c>
      <c r="J1858">
        <v>3</v>
      </c>
      <c r="K1858">
        <v>0</v>
      </c>
      <c r="L1858" s="1" t="s">
        <v>26</v>
      </c>
      <c r="M1858">
        <v>38.4</v>
      </c>
      <c r="N1858">
        <v>131317.19</v>
      </c>
      <c r="O1858">
        <v>2433105</v>
      </c>
      <c r="P1858">
        <v>388111</v>
      </c>
      <c r="Q1858" s="1" t="s">
        <v>5845</v>
      </c>
      <c r="R1858">
        <v>37</v>
      </c>
      <c r="S1858" s="1" t="s">
        <v>5846</v>
      </c>
      <c r="T1858" t="b">
        <v>0</v>
      </c>
    </row>
    <row r="1859" spans="1:20" x14ac:dyDescent="0.25">
      <c r="A1859" s="1" t="s">
        <v>5847</v>
      </c>
      <c r="B1859" s="1" t="s">
        <v>358</v>
      </c>
      <c r="C1859" s="1" t="s">
        <v>2485</v>
      </c>
      <c r="D1859" s="1" t="s">
        <v>297</v>
      </c>
      <c r="E1859" s="1" t="s">
        <v>65</v>
      </c>
      <c r="F1859" s="1" t="s">
        <v>25</v>
      </c>
      <c r="G1859" s="2">
        <v>44796</v>
      </c>
      <c r="H1859" s="2">
        <v>44798</v>
      </c>
      <c r="I1859">
        <v>4</v>
      </c>
      <c r="J1859">
        <v>2</v>
      </c>
      <c r="K1859">
        <v>0</v>
      </c>
      <c r="L1859" s="1" t="s">
        <v>26</v>
      </c>
      <c r="M1859">
        <v>17.8</v>
      </c>
      <c r="N1859">
        <v>56466.79</v>
      </c>
      <c r="O1859">
        <v>3541530.5</v>
      </c>
      <c r="P1859">
        <v>623842.04</v>
      </c>
      <c r="Q1859" s="1" t="s">
        <v>340</v>
      </c>
      <c r="R1859">
        <v>58</v>
      </c>
      <c r="S1859" s="1" t="s">
        <v>5848</v>
      </c>
      <c r="T1859" t="b">
        <v>1</v>
      </c>
    </row>
    <row r="1860" spans="1:20" x14ac:dyDescent="0.25">
      <c r="A1860" s="1" t="s">
        <v>5849</v>
      </c>
      <c r="B1860" s="1" t="s">
        <v>403</v>
      </c>
      <c r="C1860" s="1" t="s">
        <v>1542</v>
      </c>
      <c r="D1860" s="1" t="s">
        <v>192</v>
      </c>
      <c r="E1860" s="1" t="s">
        <v>41</v>
      </c>
      <c r="F1860" s="1" t="s">
        <v>25</v>
      </c>
      <c r="G1860" s="2">
        <v>45279</v>
      </c>
      <c r="H1860" s="2">
        <v>45292</v>
      </c>
      <c r="I1860">
        <v>9</v>
      </c>
      <c r="J1860">
        <v>13</v>
      </c>
      <c r="K1860">
        <v>4</v>
      </c>
      <c r="L1860" s="1" t="s">
        <v>193</v>
      </c>
      <c r="M1860">
        <v>144.19999999999999</v>
      </c>
      <c r="N1860">
        <v>389627.35</v>
      </c>
      <c r="O1860">
        <v>2007296.1</v>
      </c>
      <c r="P1860">
        <v>373154.08</v>
      </c>
      <c r="Q1860" s="1" t="s">
        <v>4961</v>
      </c>
      <c r="R1860">
        <v>50</v>
      </c>
      <c r="S1860" s="1" t="s">
        <v>5850</v>
      </c>
      <c r="T1860" t="b">
        <v>1</v>
      </c>
    </row>
    <row r="1861" spans="1:20" x14ac:dyDescent="0.25">
      <c r="A1861" s="1" t="s">
        <v>5851</v>
      </c>
      <c r="B1861" s="1" t="s">
        <v>111</v>
      </c>
      <c r="C1861" s="1" t="s">
        <v>677</v>
      </c>
      <c r="D1861" s="1" t="s">
        <v>372</v>
      </c>
      <c r="E1861" s="1" t="s">
        <v>57</v>
      </c>
      <c r="F1861" s="1" t="s">
        <v>50</v>
      </c>
      <c r="G1861" s="2">
        <v>45561</v>
      </c>
      <c r="H1861" s="2"/>
      <c r="I1861">
        <v>40</v>
      </c>
      <c r="J1861">
        <v>20</v>
      </c>
      <c r="K1861">
        <v>0</v>
      </c>
      <c r="L1861" s="1" t="s">
        <v>26</v>
      </c>
      <c r="M1861">
        <v>253.8</v>
      </c>
      <c r="N1861">
        <v>1130804.1100000001</v>
      </c>
      <c r="O1861">
        <v>570176.64</v>
      </c>
      <c r="P1861">
        <v>283853.63</v>
      </c>
      <c r="Q1861" s="1" t="s">
        <v>5852</v>
      </c>
      <c r="R1861">
        <v>42</v>
      </c>
      <c r="S1861" s="1" t="s">
        <v>5853</v>
      </c>
      <c r="T1861" t="b">
        <v>0</v>
      </c>
    </row>
    <row r="1862" spans="1:20" x14ac:dyDescent="0.25">
      <c r="A1862" s="1" t="s">
        <v>5854</v>
      </c>
      <c r="B1862" s="1" t="s">
        <v>566</v>
      </c>
      <c r="C1862" s="1" t="s">
        <v>725</v>
      </c>
      <c r="D1862" s="1" t="s">
        <v>48</v>
      </c>
      <c r="E1862" s="1" t="s">
        <v>33</v>
      </c>
      <c r="F1862" s="1" t="s">
        <v>25</v>
      </c>
      <c r="G1862" s="2">
        <v>45141</v>
      </c>
      <c r="H1862" s="2">
        <v>45155</v>
      </c>
      <c r="I1862">
        <v>12</v>
      </c>
      <c r="J1862">
        <v>14</v>
      </c>
      <c r="K1862">
        <v>2</v>
      </c>
      <c r="L1862" s="1" t="s">
        <v>26</v>
      </c>
      <c r="M1862">
        <v>93.5</v>
      </c>
      <c r="N1862">
        <v>351182.37</v>
      </c>
      <c r="O1862">
        <v>3907532.24</v>
      </c>
      <c r="P1862">
        <v>834464.18</v>
      </c>
      <c r="Q1862" s="1" t="s">
        <v>5855</v>
      </c>
      <c r="R1862">
        <v>53</v>
      </c>
      <c r="S1862" s="1" t="s">
        <v>5856</v>
      </c>
      <c r="T1862" t="b">
        <v>0</v>
      </c>
    </row>
    <row r="1863" spans="1:20" x14ac:dyDescent="0.25">
      <c r="A1863" s="1" t="s">
        <v>5857</v>
      </c>
      <c r="B1863" s="1" t="s">
        <v>242</v>
      </c>
      <c r="C1863" s="1" t="s">
        <v>1591</v>
      </c>
      <c r="D1863" s="1" t="s">
        <v>582</v>
      </c>
      <c r="E1863" s="1" t="s">
        <v>41</v>
      </c>
      <c r="F1863" s="1" t="s">
        <v>25</v>
      </c>
      <c r="G1863" s="2">
        <v>44773</v>
      </c>
      <c r="H1863" s="2">
        <v>44781</v>
      </c>
      <c r="I1863">
        <v>9</v>
      </c>
      <c r="J1863">
        <v>8</v>
      </c>
      <c r="K1863">
        <v>0</v>
      </c>
      <c r="L1863" s="1" t="s">
        <v>26</v>
      </c>
      <c r="M1863">
        <v>125.8</v>
      </c>
      <c r="N1863">
        <v>432805.48</v>
      </c>
      <c r="O1863">
        <v>1030053.55</v>
      </c>
      <c r="P1863">
        <v>213789.62</v>
      </c>
      <c r="Q1863" s="1" t="s">
        <v>5858</v>
      </c>
      <c r="R1863">
        <v>80</v>
      </c>
      <c r="S1863" s="1" t="s">
        <v>5859</v>
      </c>
      <c r="T1863" t="b">
        <v>0</v>
      </c>
    </row>
    <row r="1864" spans="1:20" x14ac:dyDescent="0.25">
      <c r="A1864" s="1" t="s">
        <v>5860</v>
      </c>
      <c r="B1864" s="1" t="s">
        <v>328</v>
      </c>
      <c r="C1864" s="1" t="s">
        <v>1790</v>
      </c>
      <c r="D1864" s="1" t="s">
        <v>595</v>
      </c>
      <c r="E1864" s="1" t="s">
        <v>49</v>
      </c>
      <c r="F1864" s="1" t="s">
        <v>66</v>
      </c>
      <c r="G1864" s="2">
        <v>45338</v>
      </c>
      <c r="H1864" s="2"/>
      <c r="I1864">
        <v>25</v>
      </c>
      <c r="J1864">
        <v>33</v>
      </c>
      <c r="K1864">
        <v>8</v>
      </c>
      <c r="L1864" s="1" t="s">
        <v>26</v>
      </c>
      <c r="M1864">
        <v>297.5</v>
      </c>
      <c r="N1864">
        <v>834770.26</v>
      </c>
      <c r="O1864">
        <v>4343302.5999999996</v>
      </c>
      <c r="P1864">
        <v>692632.64</v>
      </c>
      <c r="Q1864" s="1" t="s">
        <v>225</v>
      </c>
      <c r="R1864">
        <v>22</v>
      </c>
      <c r="S1864" s="1" t="s">
        <v>5861</v>
      </c>
      <c r="T1864" t="b">
        <v>0</v>
      </c>
    </row>
    <row r="1865" spans="1:20" x14ac:dyDescent="0.25">
      <c r="A1865" s="1" t="s">
        <v>5862</v>
      </c>
      <c r="B1865" s="1" t="s">
        <v>471</v>
      </c>
      <c r="C1865" s="1" t="s">
        <v>784</v>
      </c>
      <c r="D1865" s="1" t="s">
        <v>124</v>
      </c>
      <c r="E1865" s="1" t="s">
        <v>65</v>
      </c>
      <c r="F1865" s="1" t="s">
        <v>25</v>
      </c>
      <c r="G1865" s="2">
        <v>45310</v>
      </c>
      <c r="H1865" s="2">
        <v>45315</v>
      </c>
      <c r="I1865">
        <v>4</v>
      </c>
      <c r="J1865">
        <v>5</v>
      </c>
      <c r="K1865">
        <v>0.5</v>
      </c>
      <c r="L1865" s="1" t="s">
        <v>26</v>
      </c>
      <c r="M1865">
        <v>34.9</v>
      </c>
      <c r="N1865">
        <v>133539.06</v>
      </c>
      <c r="O1865">
        <v>2523865.77</v>
      </c>
      <c r="P1865">
        <v>509186.67</v>
      </c>
      <c r="Q1865" s="1" t="s">
        <v>5863</v>
      </c>
      <c r="R1865">
        <v>22</v>
      </c>
      <c r="S1865" s="1" t="s">
        <v>5864</v>
      </c>
      <c r="T1865" t="b">
        <v>1</v>
      </c>
    </row>
    <row r="1866" spans="1:20" x14ac:dyDescent="0.25">
      <c r="A1866" s="1" t="s">
        <v>5865</v>
      </c>
      <c r="B1866" s="1" t="s">
        <v>629</v>
      </c>
      <c r="C1866" s="1" t="s">
        <v>621</v>
      </c>
      <c r="D1866" s="1" t="s">
        <v>89</v>
      </c>
      <c r="E1866" s="1" t="s">
        <v>49</v>
      </c>
      <c r="F1866" s="1" t="s">
        <v>50</v>
      </c>
      <c r="G1866" s="2">
        <v>45277</v>
      </c>
      <c r="H1866" s="2"/>
      <c r="I1866">
        <v>25</v>
      </c>
      <c r="J1866">
        <v>40</v>
      </c>
      <c r="K1866">
        <v>15</v>
      </c>
      <c r="L1866" s="1" t="s">
        <v>42</v>
      </c>
      <c r="M1866">
        <v>326.10000000000002</v>
      </c>
      <c r="N1866">
        <v>878659.02</v>
      </c>
      <c r="O1866">
        <v>3957125.82</v>
      </c>
      <c r="P1866">
        <v>599746.81000000006</v>
      </c>
      <c r="Q1866" s="1" t="s">
        <v>5866</v>
      </c>
      <c r="R1866">
        <v>32</v>
      </c>
      <c r="S1866" s="1" t="s">
        <v>5867</v>
      </c>
      <c r="T1866" t="b">
        <v>1</v>
      </c>
    </row>
    <row r="1867" spans="1:20" x14ac:dyDescent="0.25">
      <c r="A1867" s="1" t="s">
        <v>5868</v>
      </c>
      <c r="B1867" s="1" t="s">
        <v>272</v>
      </c>
      <c r="C1867" s="1" t="s">
        <v>734</v>
      </c>
      <c r="D1867" s="1" t="s">
        <v>306</v>
      </c>
      <c r="E1867" s="1" t="s">
        <v>65</v>
      </c>
      <c r="F1867" s="1" t="s">
        <v>34</v>
      </c>
      <c r="G1867" s="2">
        <v>45337</v>
      </c>
      <c r="H1867" s="2"/>
      <c r="I1867">
        <v>4</v>
      </c>
      <c r="J1867">
        <v>8</v>
      </c>
      <c r="K1867">
        <v>3.5</v>
      </c>
      <c r="L1867" s="1" t="s">
        <v>193</v>
      </c>
      <c r="M1867">
        <v>42.4</v>
      </c>
      <c r="N1867">
        <v>165930.91</v>
      </c>
      <c r="O1867">
        <v>4199849.82</v>
      </c>
      <c r="P1867">
        <v>483611.15</v>
      </c>
      <c r="Q1867" s="1" t="s">
        <v>5869</v>
      </c>
      <c r="R1867">
        <v>36</v>
      </c>
      <c r="S1867" s="1" t="s">
        <v>5870</v>
      </c>
      <c r="T1867" t="b">
        <v>1</v>
      </c>
    </row>
    <row r="1868" spans="1:20" x14ac:dyDescent="0.25">
      <c r="A1868" s="1" t="s">
        <v>5871</v>
      </c>
      <c r="B1868" s="1" t="s">
        <v>138</v>
      </c>
      <c r="C1868" s="1" t="s">
        <v>1591</v>
      </c>
      <c r="D1868" s="1" t="s">
        <v>130</v>
      </c>
      <c r="E1868" s="1" t="s">
        <v>24</v>
      </c>
      <c r="F1868" s="1" t="s">
        <v>50</v>
      </c>
      <c r="G1868" s="2">
        <v>44845</v>
      </c>
      <c r="H1868" s="2"/>
      <c r="I1868">
        <v>3</v>
      </c>
      <c r="J1868">
        <v>3</v>
      </c>
      <c r="K1868">
        <v>0</v>
      </c>
      <c r="L1868" s="1" t="s">
        <v>26</v>
      </c>
      <c r="M1868">
        <v>24.1</v>
      </c>
      <c r="N1868">
        <v>44927.040000000001</v>
      </c>
      <c r="O1868">
        <v>298439.40999999997</v>
      </c>
      <c r="P1868">
        <v>46083.26</v>
      </c>
      <c r="Q1868" s="1" t="s">
        <v>5872</v>
      </c>
      <c r="R1868">
        <v>78</v>
      </c>
      <c r="S1868" s="1" t="s">
        <v>5873</v>
      </c>
      <c r="T1868" t="b">
        <v>1</v>
      </c>
    </row>
    <row r="1869" spans="1:20" x14ac:dyDescent="0.25">
      <c r="A1869" s="1" t="s">
        <v>5874</v>
      </c>
      <c r="B1869" s="1" t="s">
        <v>163</v>
      </c>
      <c r="C1869" s="1" t="s">
        <v>2880</v>
      </c>
      <c r="D1869" s="1" t="s">
        <v>655</v>
      </c>
      <c r="E1869" s="1" t="s">
        <v>65</v>
      </c>
      <c r="F1869" s="1" t="s">
        <v>34</v>
      </c>
      <c r="G1869" s="2">
        <v>45577</v>
      </c>
      <c r="H1869" s="2"/>
      <c r="I1869">
        <v>4</v>
      </c>
      <c r="J1869">
        <v>8</v>
      </c>
      <c r="K1869">
        <v>3.5</v>
      </c>
      <c r="L1869" s="1" t="s">
        <v>42</v>
      </c>
      <c r="M1869">
        <v>54.7</v>
      </c>
      <c r="N1869">
        <v>173782.18</v>
      </c>
      <c r="O1869">
        <v>684172.06</v>
      </c>
      <c r="P1869">
        <v>118183.76</v>
      </c>
      <c r="Q1869" s="1" t="s">
        <v>5875</v>
      </c>
      <c r="R1869">
        <v>34</v>
      </c>
      <c r="S1869" s="1" t="s">
        <v>5876</v>
      </c>
      <c r="T1869" t="b">
        <v>1</v>
      </c>
    </row>
    <row r="1870" spans="1:20" x14ac:dyDescent="0.25">
      <c r="A1870" s="1" t="s">
        <v>5877</v>
      </c>
      <c r="B1870" s="1" t="s">
        <v>117</v>
      </c>
      <c r="C1870" s="1" t="s">
        <v>757</v>
      </c>
      <c r="D1870" s="1" t="s">
        <v>230</v>
      </c>
      <c r="E1870" s="1" t="s">
        <v>33</v>
      </c>
      <c r="F1870" s="1" t="s">
        <v>66</v>
      </c>
      <c r="G1870" s="2">
        <v>44618</v>
      </c>
      <c r="H1870" s="2"/>
      <c r="I1870">
        <v>12</v>
      </c>
      <c r="J1870">
        <v>7</v>
      </c>
      <c r="K1870">
        <v>0</v>
      </c>
      <c r="L1870" s="1" t="s">
        <v>26</v>
      </c>
      <c r="M1870">
        <v>52.4</v>
      </c>
      <c r="N1870">
        <v>138585.04</v>
      </c>
      <c r="O1870">
        <v>3079289.17</v>
      </c>
      <c r="P1870">
        <v>520800.5</v>
      </c>
      <c r="Q1870" s="1" t="s">
        <v>5878</v>
      </c>
      <c r="R1870">
        <v>56</v>
      </c>
      <c r="S1870" s="1" t="s">
        <v>5879</v>
      </c>
      <c r="T1870" t="b">
        <v>0</v>
      </c>
    </row>
    <row r="1871" spans="1:20" x14ac:dyDescent="0.25">
      <c r="A1871" s="1" t="s">
        <v>5880</v>
      </c>
      <c r="B1871" s="1" t="s">
        <v>174</v>
      </c>
      <c r="C1871" s="1" t="s">
        <v>243</v>
      </c>
      <c r="D1871" s="1" t="s">
        <v>207</v>
      </c>
      <c r="E1871" s="1" t="s">
        <v>24</v>
      </c>
      <c r="F1871" s="1" t="s">
        <v>25</v>
      </c>
      <c r="G1871" s="2">
        <v>45205</v>
      </c>
      <c r="H1871" s="2">
        <v>45209</v>
      </c>
      <c r="I1871">
        <v>3</v>
      </c>
      <c r="J1871">
        <v>4</v>
      </c>
      <c r="K1871">
        <v>1</v>
      </c>
      <c r="L1871" s="1" t="s">
        <v>26</v>
      </c>
      <c r="M1871">
        <v>23.3</v>
      </c>
      <c r="N1871">
        <v>80893.7</v>
      </c>
      <c r="O1871">
        <v>3469003.31</v>
      </c>
      <c r="P1871">
        <v>482511.34</v>
      </c>
      <c r="Q1871" s="1" t="s">
        <v>5881</v>
      </c>
      <c r="R1871">
        <v>29</v>
      </c>
      <c r="S1871" s="1" t="s">
        <v>5882</v>
      </c>
      <c r="T1871" t="b">
        <v>0</v>
      </c>
    </row>
    <row r="1872" spans="1:20" x14ac:dyDescent="0.25">
      <c r="A1872" s="1" t="s">
        <v>5883</v>
      </c>
      <c r="B1872" s="1" t="s">
        <v>128</v>
      </c>
      <c r="C1872" s="1" t="s">
        <v>486</v>
      </c>
      <c r="D1872" s="1" t="s">
        <v>230</v>
      </c>
      <c r="E1872" s="1" t="s">
        <v>41</v>
      </c>
      <c r="F1872" s="1" t="s">
        <v>25</v>
      </c>
      <c r="G1872" s="2">
        <v>45232</v>
      </c>
      <c r="H1872" s="2">
        <v>45235</v>
      </c>
      <c r="I1872">
        <v>9</v>
      </c>
      <c r="J1872">
        <v>3</v>
      </c>
      <c r="K1872">
        <v>0</v>
      </c>
      <c r="L1872" s="1" t="s">
        <v>26</v>
      </c>
      <c r="M1872">
        <v>12.2</v>
      </c>
      <c r="N1872">
        <v>26156.38</v>
      </c>
      <c r="O1872">
        <v>196401.37</v>
      </c>
      <c r="P1872">
        <v>27251.19</v>
      </c>
      <c r="Q1872" s="1" t="s">
        <v>5884</v>
      </c>
      <c r="R1872">
        <v>74</v>
      </c>
      <c r="S1872" s="1" t="s">
        <v>5885</v>
      </c>
      <c r="T1872" t="b">
        <v>1</v>
      </c>
    </row>
    <row r="1873" spans="1:20" x14ac:dyDescent="0.25">
      <c r="A1873" s="1" t="s">
        <v>5886</v>
      </c>
      <c r="B1873" s="1" t="s">
        <v>334</v>
      </c>
      <c r="C1873" s="1" t="s">
        <v>2038</v>
      </c>
      <c r="D1873" s="1" t="s">
        <v>207</v>
      </c>
      <c r="E1873" s="1" t="s">
        <v>24</v>
      </c>
      <c r="F1873" s="1" t="s">
        <v>25</v>
      </c>
      <c r="G1873" s="2">
        <v>44939</v>
      </c>
      <c r="H1873" s="2">
        <v>44942</v>
      </c>
      <c r="I1873">
        <v>3</v>
      </c>
      <c r="J1873">
        <v>3</v>
      </c>
      <c r="K1873">
        <v>0</v>
      </c>
      <c r="L1873" s="1" t="s">
        <v>26</v>
      </c>
      <c r="M1873">
        <v>30.7</v>
      </c>
      <c r="N1873">
        <v>116315.02</v>
      </c>
      <c r="O1873">
        <v>4132068.17</v>
      </c>
      <c r="P1873">
        <v>468294.6</v>
      </c>
      <c r="Q1873" s="1" t="s">
        <v>5887</v>
      </c>
      <c r="R1873">
        <v>24</v>
      </c>
      <c r="S1873" s="1" t="s">
        <v>5888</v>
      </c>
      <c r="T1873" t="b">
        <v>0</v>
      </c>
    </row>
    <row r="1874" spans="1:20" x14ac:dyDescent="0.25">
      <c r="A1874" s="1" t="s">
        <v>5889</v>
      </c>
      <c r="B1874" s="1" t="s">
        <v>253</v>
      </c>
      <c r="C1874" s="1" t="s">
        <v>1542</v>
      </c>
      <c r="D1874" s="1" t="s">
        <v>130</v>
      </c>
      <c r="E1874" s="1" t="s">
        <v>65</v>
      </c>
      <c r="F1874" s="1" t="s">
        <v>25</v>
      </c>
      <c r="G1874" s="2">
        <v>45386</v>
      </c>
      <c r="H1874" s="2">
        <v>45388</v>
      </c>
      <c r="I1874">
        <v>4</v>
      </c>
      <c r="J1874">
        <v>2</v>
      </c>
      <c r="K1874">
        <v>0</v>
      </c>
      <c r="L1874" s="1" t="s">
        <v>26</v>
      </c>
      <c r="M1874">
        <v>28.4</v>
      </c>
      <c r="N1874">
        <v>67798.66</v>
      </c>
      <c r="O1874">
        <v>644177.74</v>
      </c>
      <c r="P1874">
        <v>108733.35</v>
      </c>
      <c r="Q1874" s="1" t="s">
        <v>2551</v>
      </c>
      <c r="R1874">
        <v>55</v>
      </c>
      <c r="S1874" s="1" t="s">
        <v>5890</v>
      </c>
      <c r="T1874" t="b">
        <v>0</v>
      </c>
    </row>
    <row r="1875" spans="1:20" x14ac:dyDescent="0.25">
      <c r="A1875" s="1" t="s">
        <v>5891</v>
      </c>
      <c r="B1875" s="1" t="s">
        <v>328</v>
      </c>
      <c r="C1875" s="1" t="s">
        <v>558</v>
      </c>
      <c r="D1875" s="1" t="s">
        <v>306</v>
      </c>
      <c r="E1875" s="1" t="s">
        <v>65</v>
      </c>
      <c r="F1875" s="1" t="s">
        <v>25</v>
      </c>
      <c r="G1875" s="2">
        <v>44958</v>
      </c>
      <c r="H1875" s="2">
        <v>44964</v>
      </c>
      <c r="I1875">
        <v>4</v>
      </c>
      <c r="J1875">
        <v>6</v>
      </c>
      <c r="K1875">
        <v>1.5</v>
      </c>
      <c r="L1875" s="1" t="s">
        <v>26</v>
      </c>
      <c r="M1875">
        <v>34.1</v>
      </c>
      <c r="N1875">
        <v>97370.91</v>
      </c>
      <c r="O1875">
        <v>1621565.8</v>
      </c>
      <c r="P1875">
        <v>266719.73</v>
      </c>
      <c r="Q1875" s="1" t="s">
        <v>5892</v>
      </c>
      <c r="R1875">
        <v>20</v>
      </c>
      <c r="S1875" s="1" t="s">
        <v>5893</v>
      </c>
      <c r="T1875" t="b">
        <v>1</v>
      </c>
    </row>
    <row r="1876" spans="1:20" x14ac:dyDescent="0.25">
      <c r="A1876" s="1" t="s">
        <v>5894</v>
      </c>
      <c r="B1876" s="1" t="s">
        <v>629</v>
      </c>
      <c r="C1876" s="1" t="s">
        <v>314</v>
      </c>
      <c r="D1876" s="1" t="s">
        <v>159</v>
      </c>
      <c r="E1876" s="1" t="s">
        <v>24</v>
      </c>
      <c r="F1876" s="1" t="s">
        <v>34</v>
      </c>
      <c r="G1876" s="2">
        <v>44889</v>
      </c>
      <c r="H1876" s="2"/>
      <c r="I1876">
        <v>3</v>
      </c>
      <c r="J1876">
        <v>5</v>
      </c>
      <c r="K1876">
        <v>2</v>
      </c>
      <c r="L1876" s="1" t="s">
        <v>26</v>
      </c>
      <c r="M1876">
        <v>29</v>
      </c>
      <c r="N1876">
        <v>94222.91</v>
      </c>
      <c r="O1876">
        <v>4183596.8</v>
      </c>
      <c r="P1876">
        <v>509656.38</v>
      </c>
      <c r="Q1876" s="1" t="s">
        <v>5895</v>
      </c>
      <c r="R1876">
        <v>39</v>
      </c>
      <c r="S1876" s="1" t="s">
        <v>5896</v>
      </c>
      <c r="T1876" t="b">
        <v>0</v>
      </c>
    </row>
    <row r="1877" spans="1:20" x14ac:dyDescent="0.25">
      <c r="A1877" s="1" t="s">
        <v>5897</v>
      </c>
      <c r="B1877" s="1" t="s">
        <v>242</v>
      </c>
      <c r="C1877" s="1" t="s">
        <v>1514</v>
      </c>
      <c r="D1877" s="1" t="s">
        <v>72</v>
      </c>
      <c r="E1877" s="1" t="s">
        <v>57</v>
      </c>
      <c r="F1877" s="1" t="s">
        <v>25</v>
      </c>
      <c r="G1877" s="2">
        <v>44647</v>
      </c>
      <c r="H1877" s="2">
        <v>44674</v>
      </c>
      <c r="I1877">
        <v>40</v>
      </c>
      <c r="J1877">
        <v>27</v>
      </c>
      <c r="K1877">
        <v>0</v>
      </c>
      <c r="L1877" s="1" t="s">
        <v>26</v>
      </c>
      <c r="M1877">
        <v>403.9</v>
      </c>
      <c r="N1877">
        <v>761443.86</v>
      </c>
      <c r="O1877">
        <v>770972.91</v>
      </c>
      <c r="P1877">
        <v>257298.9</v>
      </c>
      <c r="Q1877" s="1" t="s">
        <v>5898</v>
      </c>
      <c r="R1877">
        <v>68</v>
      </c>
      <c r="S1877" s="1" t="s">
        <v>5899</v>
      </c>
      <c r="T1877" t="b">
        <v>1</v>
      </c>
    </row>
    <row r="1878" spans="1:20" x14ac:dyDescent="0.25">
      <c r="A1878" s="1" t="s">
        <v>5900</v>
      </c>
      <c r="B1878" s="1" t="s">
        <v>105</v>
      </c>
      <c r="C1878" s="1" t="s">
        <v>734</v>
      </c>
      <c r="D1878" s="1" t="s">
        <v>336</v>
      </c>
      <c r="E1878" s="1" t="s">
        <v>33</v>
      </c>
      <c r="F1878" s="1" t="s">
        <v>25</v>
      </c>
      <c r="G1878" s="2">
        <v>45399</v>
      </c>
      <c r="H1878" s="2">
        <v>45406</v>
      </c>
      <c r="I1878">
        <v>12</v>
      </c>
      <c r="J1878">
        <v>7</v>
      </c>
      <c r="K1878">
        <v>0</v>
      </c>
      <c r="L1878" s="1" t="s">
        <v>26</v>
      </c>
      <c r="M1878">
        <v>30.1</v>
      </c>
      <c r="N1878">
        <v>91092.84</v>
      </c>
      <c r="O1878">
        <v>3914731.87</v>
      </c>
      <c r="P1878">
        <v>437642.31</v>
      </c>
      <c r="Q1878" s="1" t="s">
        <v>5901</v>
      </c>
      <c r="R1878">
        <v>57</v>
      </c>
      <c r="S1878" s="1" t="s">
        <v>5902</v>
      </c>
      <c r="T1878" t="b">
        <v>1</v>
      </c>
    </row>
    <row r="1879" spans="1:20" x14ac:dyDescent="0.25">
      <c r="A1879" s="1" t="s">
        <v>5903</v>
      </c>
      <c r="B1879" s="1" t="s">
        <v>138</v>
      </c>
      <c r="C1879" s="1" t="s">
        <v>301</v>
      </c>
      <c r="D1879" s="1" t="s">
        <v>144</v>
      </c>
      <c r="E1879" s="1" t="s">
        <v>65</v>
      </c>
      <c r="F1879" s="1" t="s">
        <v>34</v>
      </c>
      <c r="G1879" s="2">
        <v>45207</v>
      </c>
      <c r="H1879" s="2"/>
      <c r="I1879">
        <v>4</v>
      </c>
      <c r="J1879">
        <v>3</v>
      </c>
      <c r="K1879">
        <v>0</v>
      </c>
      <c r="L1879" s="1" t="s">
        <v>26</v>
      </c>
      <c r="M1879">
        <v>44</v>
      </c>
      <c r="N1879">
        <v>165482.19</v>
      </c>
      <c r="O1879">
        <v>2051942.7</v>
      </c>
      <c r="P1879">
        <v>344191.25</v>
      </c>
      <c r="Q1879" s="1" t="s">
        <v>5904</v>
      </c>
      <c r="R1879">
        <v>25</v>
      </c>
      <c r="S1879" s="1" t="s">
        <v>5905</v>
      </c>
      <c r="T1879" t="b">
        <v>0</v>
      </c>
    </row>
    <row r="1880" spans="1:20" x14ac:dyDescent="0.25">
      <c r="A1880" s="1" t="s">
        <v>5906</v>
      </c>
      <c r="B1880" s="1" t="s">
        <v>228</v>
      </c>
      <c r="C1880" s="1" t="s">
        <v>371</v>
      </c>
      <c r="D1880" s="1" t="s">
        <v>410</v>
      </c>
      <c r="E1880" s="1" t="s">
        <v>57</v>
      </c>
      <c r="F1880" s="1" t="s">
        <v>50</v>
      </c>
      <c r="G1880" s="2">
        <v>44752</v>
      </c>
      <c r="H1880" s="2"/>
      <c r="I1880">
        <v>40</v>
      </c>
      <c r="J1880">
        <v>24</v>
      </c>
      <c r="K1880">
        <v>0</v>
      </c>
      <c r="L1880" s="1" t="s">
        <v>26</v>
      </c>
      <c r="M1880">
        <v>244.5</v>
      </c>
      <c r="N1880">
        <v>513287.09</v>
      </c>
      <c r="O1880">
        <v>4290748.05</v>
      </c>
      <c r="P1880">
        <v>891098.26</v>
      </c>
      <c r="Q1880" s="1" t="s">
        <v>5907</v>
      </c>
      <c r="R1880">
        <v>65</v>
      </c>
      <c r="S1880" s="1" t="s">
        <v>5908</v>
      </c>
      <c r="T1880" t="b">
        <v>1</v>
      </c>
    </row>
    <row r="1881" spans="1:20" x14ac:dyDescent="0.25">
      <c r="A1881" s="1" t="s">
        <v>5909</v>
      </c>
      <c r="B1881" s="1" t="s">
        <v>272</v>
      </c>
      <c r="C1881" s="1" t="s">
        <v>630</v>
      </c>
      <c r="D1881" s="1" t="s">
        <v>288</v>
      </c>
      <c r="E1881" s="1" t="s">
        <v>24</v>
      </c>
      <c r="F1881" s="1" t="s">
        <v>34</v>
      </c>
      <c r="G1881" s="2">
        <v>44882</v>
      </c>
      <c r="H1881" s="2"/>
      <c r="I1881">
        <v>3</v>
      </c>
      <c r="J1881">
        <v>1</v>
      </c>
      <c r="K1881">
        <v>0</v>
      </c>
      <c r="L1881" s="1" t="s">
        <v>26</v>
      </c>
      <c r="M1881">
        <v>9.3000000000000007</v>
      </c>
      <c r="N1881">
        <v>31485.759999999998</v>
      </c>
      <c r="O1881">
        <v>21109.99</v>
      </c>
      <c r="P1881">
        <v>6899.61</v>
      </c>
      <c r="Q1881" s="1" t="s">
        <v>5910</v>
      </c>
      <c r="R1881">
        <v>37</v>
      </c>
      <c r="S1881" s="1" t="s">
        <v>5911</v>
      </c>
      <c r="T1881" t="b">
        <v>1</v>
      </c>
    </row>
    <row r="1882" spans="1:20" x14ac:dyDescent="0.25">
      <c r="A1882" s="1" t="s">
        <v>5912</v>
      </c>
      <c r="B1882" s="1" t="s">
        <v>358</v>
      </c>
      <c r="C1882" s="1" t="s">
        <v>248</v>
      </c>
      <c r="D1882" s="1" t="s">
        <v>84</v>
      </c>
      <c r="E1882" s="1" t="s">
        <v>65</v>
      </c>
      <c r="F1882" s="1" t="s">
        <v>25</v>
      </c>
      <c r="G1882" s="2">
        <v>45353</v>
      </c>
      <c r="H1882" s="2">
        <v>45358</v>
      </c>
      <c r="I1882">
        <v>4</v>
      </c>
      <c r="J1882">
        <v>5</v>
      </c>
      <c r="K1882">
        <v>0.5</v>
      </c>
      <c r="L1882" s="1" t="s">
        <v>26</v>
      </c>
      <c r="M1882">
        <v>59.6</v>
      </c>
      <c r="N1882">
        <v>188275.63</v>
      </c>
      <c r="O1882">
        <v>2637569.73</v>
      </c>
      <c r="P1882">
        <v>302141.92</v>
      </c>
      <c r="Q1882" s="1" t="s">
        <v>5913</v>
      </c>
      <c r="R1882">
        <v>40</v>
      </c>
      <c r="S1882" s="1" t="s">
        <v>5914</v>
      </c>
      <c r="T1882" t="b">
        <v>0</v>
      </c>
    </row>
    <row r="1883" spans="1:20" x14ac:dyDescent="0.25">
      <c r="A1883" s="1" t="s">
        <v>5915</v>
      </c>
      <c r="B1883" s="1" t="s">
        <v>76</v>
      </c>
      <c r="C1883" s="1" t="s">
        <v>463</v>
      </c>
      <c r="D1883" s="1" t="s">
        <v>144</v>
      </c>
      <c r="E1883" s="1" t="s">
        <v>57</v>
      </c>
      <c r="F1883" s="1" t="s">
        <v>25</v>
      </c>
      <c r="G1883" s="2">
        <v>44818</v>
      </c>
      <c r="H1883" s="2">
        <v>44858</v>
      </c>
      <c r="I1883">
        <v>40</v>
      </c>
      <c r="J1883">
        <v>40</v>
      </c>
      <c r="K1883">
        <v>0</v>
      </c>
      <c r="L1883" s="1" t="s">
        <v>26</v>
      </c>
      <c r="M1883">
        <v>477.5</v>
      </c>
      <c r="N1883">
        <v>1468537.21</v>
      </c>
      <c r="O1883">
        <v>1351278.07</v>
      </c>
      <c r="P1883">
        <v>297392.57</v>
      </c>
      <c r="Q1883" s="1" t="s">
        <v>5916</v>
      </c>
      <c r="R1883">
        <v>36</v>
      </c>
      <c r="S1883" s="1" t="s">
        <v>5917</v>
      </c>
      <c r="T1883" t="b">
        <v>0</v>
      </c>
    </row>
    <row r="1884" spans="1:20" x14ac:dyDescent="0.25">
      <c r="A1884" s="1" t="s">
        <v>5918</v>
      </c>
      <c r="B1884" s="1" t="s">
        <v>21</v>
      </c>
      <c r="C1884" s="1" t="s">
        <v>581</v>
      </c>
      <c r="D1884" s="1" t="s">
        <v>159</v>
      </c>
      <c r="E1884" s="1" t="s">
        <v>49</v>
      </c>
      <c r="F1884" s="1" t="s">
        <v>25</v>
      </c>
      <c r="G1884" s="2">
        <v>44569</v>
      </c>
      <c r="H1884" s="2">
        <v>44586</v>
      </c>
      <c r="I1884">
        <v>25</v>
      </c>
      <c r="J1884">
        <v>17</v>
      </c>
      <c r="K1884">
        <v>0</v>
      </c>
      <c r="L1884" s="1" t="s">
        <v>26</v>
      </c>
      <c r="M1884">
        <v>192.1</v>
      </c>
      <c r="N1884">
        <v>713008.18</v>
      </c>
      <c r="O1884">
        <v>1971990.23</v>
      </c>
      <c r="P1884">
        <v>528856.22</v>
      </c>
      <c r="Q1884" s="1" t="s">
        <v>5919</v>
      </c>
      <c r="R1884">
        <v>20</v>
      </c>
      <c r="S1884" s="1" t="s">
        <v>5920</v>
      </c>
      <c r="T1884" t="b">
        <v>0</v>
      </c>
    </row>
    <row r="1885" spans="1:20" x14ac:dyDescent="0.25">
      <c r="A1885" s="1" t="s">
        <v>5921</v>
      </c>
      <c r="B1885" s="1" t="s">
        <v>21</v>
      </c>
      <c r="C1885" s="1" t="s">
        <v>55</v>
      </c>
      <c r="D1885" s="1" t="s">
        <v>670</v>
      </c>
      <c r="E1885" s="1" t="s">
        <v>57</v>
      </c>
      <c r="F1885" s="1" t="s">
        <v>25</v>
      </c>
      <c r="G1885" s="2">
        <v>44596</v>
      </c>
      <c r="H1885" s="2">
        <v>44643</v>
      </c>
      <c r="I1885">
        <v>40</v>
      </c>
      <c r="J1885">
        <v>47</v>
      </c>
      <c r="K1885">
        <v>7</v>
      </c>
      <c r="L1885" s="1" t="s">
        <v>26</v>
      </c>
      <c r="M1885">
        <v>616.1</v>
      </c>
      <c r="N1885">
        <v>1859072.36</v>
      </c>
      <c r="O1885">
        <v>1176376.5900000001</v>
      </c>
      <c r="P1885">
        <v>323386.90999999997</v>
      </c>
      <c r="Q1885" s="1" t="s">
        <v>5922</v>
      </c>
      <c r="R1885">
        <v>63</v>
      </c>
      <c r="S1885" s="1" t="s">
        <v>5923</v>
      </c>
      <c r="T1885" t="b">
        <v>1</v>
      </c>
    </row>
    <row r="1886" spans="1:20" x14ac:dyDescent="0.25">
      <c r="A1886" s="1" t="s">
        <v>5924</v>
      </c>
      <c r="B1886" s="1" t="s">
        <v>128</v>
      </c>
      <c r="C1886" s="1" t="s">
        <v>606</v>
      </c>
      <c r="D1886" s="1" t="s">
        <v>505</v>
      </c>
      <c r="E1886" s="1" t="s">
        <v>33</v>
      </c>
      <c r="F1886" s="1" t="s">
        <v>66</v>
      </c>
      <c r="G1886" s="2">
        <v>44728</v>
      </c>
      <c r="H1886" s="2"/>
      <c r="I1886">
        <v>12</v>
      </c>
      <c r="J1886">
        <v>15</v>
      </c>
      <c r="K1886">
        <v>3</v>
      </c>
      <c r="L1886" s="1" t="s">
        <v>26</v>
      </c>
      <c r="M1886">
        <v>133.1</v>
      </c>
      <c r="N1886">
        <v>358994.08</v>
      </c>
      <c r="O1886">
        <v>2040948.46</v>
      </c>
      <c r="P1886">
        <v>262702.77</v>
      </c>
      <c r="Q1886" s="1" t="s">
        <v>5925</v>
      </c>
      <c r="R1886">
        <v>23</v>
      </c>
      <c r="S1886" s="1" t="s">
        <v>5926</v>
      </c>
      <c r="T1886" t="b">
        <v>0</v>
      </c>
    </row>
    <row r="1887" spans="1:20" x14ac:dyDescent="0.25">
      <c r="A1887" s="1" t="s">
        <v>5927</v>
      </c>
      <c r="B1887" s="1" t="s">
        <v>220</v>
      </c>
      <c r="C1887" s="1" t="s">
        <v>738</v>
      </c>
      <c r="D1887" s="1" t="s">
        <v>726</v>
      </c>
      <c r="E1887" s="1" t="s">
        <v>24</v>
      </c>
      <c r="F1887" s="1" t="s">
        <v>66</v>
      </c>
      <c r="G1887" s="2">
        <v>45464</v>
      </c>
      <c r="H1887" s="2"/>
      <c r="I1887">
        <v>3</v>
      </c>
      <c r="J1887">
        <v>4</v>
      </c>
      <c r="K1887">
        <v>1</v>
      </c>
      <c r="L1887" s="1" t="s">
        <v>26</v>
      </c>
      <c r="M1887">
        <v>38.299999999999997</v>
      </c>
      <c r="N1887">
        <v>99995.43</v>
      </c>
      <c r="O1887">
        <v>2811538.91</v>
      </c>
      <c r="P1887">
        <v>516767.47</v>
      </c>
      <c r="Q1887" s="1" t="s">
        <v>5928</v>
      </c>
      <c r="R1887">
        <v>36</v>
      </c>
      <c r="S1887" s="1" t="s">
        <v>5929</v>
      </c>
      <c r="T1887" t="b">
        <v>1</v>
      </c>
    </row>
    <row r="1888" spans="1:20" x14ac:dyDescent="0.25">
      <c r="A1888" s="1" t="s">
        <v>5930</v>
      </c>
      <c r="B1888" s="1" t="s">
        <v>82</v>
      </c>
      <c r="C1888" s="1" t="s">
        <v>725</v>
      </c>
      <c r="D1888" s="1" t="s">
        <v>263</v>
      </c>
      <c r="E1888" s="1" t="s">
        <v>33</v>
      </c>
      <c r="F1888" s="1" t="s">
        <v>34</v>
      </c>
      <c r="G1888" s="2">
        <v>45519</v>
      </c>
      <c r="H1888" s="2"/>
      <c r="I1888">
        <v>12</v>
      </c>
      <c r="J1888">
        <v>9</v>
      </c>
      <c r="K1888">
        <v>0</v>
      </c>
      <c r="L1888" s="1" t="s">
        <v>26</v>
      </c>
      <c r="M1888">
        <v>79.8</v>
      </c>
      <c r="N1888">
        <v>166591.59</v>
      </c>
      <c r="O1888">
        <v>4941256.72</v>
      </c>
      <c r="P1888">
        <v>981398.06</v>
      </c>
      <c r="Q1888" s="1" t="s">
        <v>5931</v>
      </c>
      <c r="R1888">
        <v>80</v>
      </c>
      <c r="S1888" s="1" t="s">
        <v>5932</v>
      </c>
      <c r="T1888" t="b">
        <v>1</v>
      </c>
    </row>
    <row r="1889" spans="1:20" x14ac:dyDescent="0.25">
      <c r="A1889" s="1" t="s">
        <v>5933</v>
      </c>
      <c r="B1889" s="1" t="s">
        <v>82</v>
      </c>
      <c r="C1889" s="1" t="s">
        <v>254</v>
      </c>
      <c r="D1889" s="1" t="s">
        <v>686</v>
      </c>
      <c r="E1889" s="1" t="s">
        <v>24</v>
      </c>
      <c r="F1889" s="1" t="s">
        <v>66</v>
      </c>
      <c r="G1889" s="2">
        <v>45546</v>
      </c>
      <c r="H1889" s="2"/>
      <c r="I1889">
        <v>3</v>
      </c>
      <c r="J1889">
        <v>3</v>
      </c>
      <c r="K1889">
        <v>0</v>
      </c>
      <c r="L1889" s="1" t="s">
        <v>26</v>
      </c>
      <c r="M1889">
        <v>33.4</v>
      </c>
      <c r="N1889">
        <v>133070.63</v>
      </c>
      <c r="O1889">
        <v>4081207.7</v>
      </c>
      <c r="P1889">
        <v>815139.21</v>
      </c>
      <c r="Q1889" s="1" t="s">
        <v>5934</v>
      </c>
      <c r="R1889">
        <v>56</v>
      </c>
      <c r="S1889" s="1" t="s">
        <v>5935</v>
      </c>
      <c r="T1889" t="b">
        <v>0</v>
      </c>
    </row>
    <row r="1890" spans="1:20" x14ac:dyDescent="0.25">
      <c r="A1890" s="1" t="s">
        <v>5936</v>
      </c>
      <c r="B1890" s="1" t="s">
        <v>228</v>
      </c>
      <c r="C1890" s="1" t="s">
        <v>1321</v>
      </c>
      <c r="D1890" s="1" t="s">
        <v>230</v>
      </c>
      <c r="E1890" s="1" t="s">
        <v>33</v>
      </c>
      <c r="F1890" s="1" t="s">
        <v>25</v>
      </c>
      <c r="G1890" s="2">
        <v>44668</v>
      </c>
      <c r="H1890" s="2">
        <v>44683</v>
      </c>
      <c r="I1890">
        <v>12</v>
      </c>
      <c r="J1890">
        <v>15</v>
      </c>
      <c r="K1890">
        <v>3</v>
      </c>
      <c r="L1890" s="1" t="s">
        <v>26</v>
      </c>
      <c r="M1890">
        <v>64.3</v>
      </c>
      <c r="N1890">
        <v>275793.43</v>
      </c>
      <c r="O1890">
        <v>1347567.13</v>
      </c>
      <c r="P1890">
        <v>210018.16</v>
      </c>
      <c r="Q1890" s="1" t="s">
        <v>5937</v>
      </c>
      <c r="R1890">
        <v>37</v>
      </c>
      <c r="S1890" s="1" t="s">
        <v>5938</v>
      </c>
      <c r="T1890" t="b">
        <v>1</v>
      </c>
    </row>
    <row r="1891" spans="1:20" x14ac:dyDescent="0.25">
      <c r="A1891" s="1" t="s">
        <v>5939</v>
      </c>
      <c r="B1891" s="1" t="s">
        <v>185</v>
      </c>
      <c r="C1891" s="1" t="s">
        <v>1493</v>
      </c>
      <c r="D1891" s="1" t="s">
        <v>350</v>
      </c>
      <c r="E1891" s="1" t="s">
        <v>57</v>
      </c>
      <c r="F1891" s="1" t="s">
        <v>34</v>
      </c>
      <c r="G1891" s="2">
        <v>45037</v>
      </c>
      <c r="H1891" s="2"/>
      <c r="I1891">
        <v>40</v>
      </c>
      <c r="J1891">
        <v>53</v>
      </c>
      <c r="K1891">
        <v>13</v>
      </c>
      <c r="L1891" s="1" t="s">
        <v>193</v>
      </c>
      <c r="M1891">
        <v>404.7</v>
      </c>
      <c r="N1891">
        <v>1345441.54</v>
      </c>
      <c r="O1891">
        <v>2041713.93</v>
      </c>
      <c r="P1891">
        <v>576266.81000000006</v>
      </c>
      <c r="Q1891" s="1" t="s">
        <v>5940</v>
      </c>
      <c r="R1891">
        <v>69</v>
      </c>
      <c r="S1891" s="1" t="s">
        <v>5941</v>
      </c>
      <c r="T1891" t="b">
        <v>1</v>
      </c>
    </row>
    <row r="1892" spans="1:20" x14ac:dyDescent="0.25">
      <c r="A1892" s="1" t="s">
        <v>5942</v>
      </c>
      <c r="B1892" s="1" t="s">
        <v>220</v>
      </c>
      <c r="C1892" s="1" t="s">
        <v>512</v>
      </c>
      <c r="D1892" s="1" t="s">
        <v>293</v>
      </c>
      <c r="E1892" s="1" t="s">
        <v>41</v>
      </c>
      <c r="F1892" s="1" t="s">
        <v>25</v>
      </c>
      <c r="G1892" s="2">
        <v>44994</v>
      </c>
      <c r="H1892" s="2">
        <v>45002</v>
      </c>
      <c r="I1892">
        <v>9</v>
      </c>
      <c r="J1892">
        <v>8</v>
      </c>
      <c r="K1892">
        <v>0</v>
      </c>
      <c r="L1892" s="1" t="s">
        <v>26</v>
      </c>
      <c r="M1892">
        <v>55.4</v>
      </c>
      <c r="N1892">
        <v>99908.81</v>
      </c>
      <c r="O1892">
        <v>4684634.3499999996</v>
      </c>
      <c r="P1892">
        <v>504961.27</v>
      </c>
      <c r="Q1892" s="1" t="s">
        <v>5943</v>
      </c>
      <c r="R1892">
        <v>60</v>
      </c>
      <c r="S1892" s="1" t="s">
        <v>5944</v>
      </c>
      <c r="T1892" t="b">
        <v>0</v>
      </c>
    </row>
    <row r="1893" spans="1:20" x14ac:dyDescent="0.25">
      <c r="A1893" s="1" t="s">
        <v>5945</v>
      </c>
      <c r="B1893" s="1" t="s">
        <v>76</v>
      </c>
      <c r="C1893" s="1" t="s">
        <v>1286</v>
      </c>
      <c r="D1893" s="1" t="s">
        <v>32</v>
      </c>
      <c r="E1893" s="1" t="s">
        <v>57</v>
      </c>
      <c r="F1893" s="1" t="s">
        <v>34</v>
      </c>
      <c r="G1893" s="2">
        <v>45274</v>
      </c>
      <c r="H1893" s="2"/>
      <c r="I1893">
        <v>40</v>
      </c>
      <c r="J1893">
        <v>44</v>
      </c>
      <c r="K1893">
        <v>4</v>
      </c>
      <c r="L1893" s="1" t="s">
        <v>26</v>
      </c>
      <c r="M1893">
        <v>554.9</v>
      </c>
      <c r="N1893">
        <v>2432992.9700000002</v>
      </c>
      <c r="O1893">
        <v>3070983.6</v>
      </c>
      <c r="P1893">
        <v>906832.14</v>
      </c>
      <c r="Q1893" s="1" t="s">
        <v>3358</v>
      </c>
      <c r="R1893">
        <v>39</v>
      </c>
      <c r="S1893" s="1" t="s">
        <v>5946</v>
      </c>
      <c r="T1893" t="b">
        <v>0</v>
      </c>
    </row>
    <row r="1894" spans="1:20" x14ac:dyDescent="0.25">
      <c r="A1894" s="1" t="s">
        <v>5947</v>
      </c>
      <c r="B1894" s="1" t="s">
        <v>403</v>
      </c>
      <c r="C1894" s="1" t="s">
        <v>139</v>
      </c>
      <c r="D1894" s="1" t="s">
        <v>64</v>
      </c>
      <c r="E1894" s="1" t="s">
        <v>24</v>
      </c>
      <c r="F1894" s="1" t="s">
        <v>66</v>
      </c>
      <c r="G1894" s="2">
        <v>44878</v>
      </c>
      <c r="H1894" s="2"/>
      <c r="I1894">
        <v>3</v>
      </c>
      <c r="J1894">
        <v>4</v>
      </c>
      <c r="K1894">
        <v>1</v>
      </c>
      <c r="L1894" s="1" t="s">
        <v>26</v>
      </c>
      <c r="M1894">
        <v>50.4</v>
      </c>
      <c r="N1894">
        <v>111436.34</v>
      </c>
      <c r="O1894">
        <v>4592060.53</v>
      </c>
      <c r="P1894">
        <v>843233.44</v>
      </c>
      <c r="Q1894" s="1" t="s">
        <v>5948</v>
      </c>
      <c r="R1894">
        <v>41</v>
      </c>
      <c r="S1894" s="1" t="s">
        <v>5949</v>
      </c>
      <c r="T1894" t="b">
        <v>1</v>
      </c>
    </row>
    <row r="1895" spans="1:20" x14ac:dyDescent="0.25">
      <c r="A1895" s="1" t="s">
        <v>5950</v>
      </c>
      <c r="B1895" s="1" t="s">
        <v>185</v>
      </c>
      <c r="C1895" s="1" t="s">
        <v>123</v>
      </c>
      <c r="D1895" s="1" t="s">
        <v>359</v>
      </c>
      <c r="E1895" s="1" t="s">
        <v>65</v>
      </c>
      <c r="F1895" s="1" t="s">
        <v>34</v>
      </c>
      <c r="G1895" s="2">
        <v>44876</v>
      </c>
      <c r="H1895" s="2"/>
      <c r="I1895">
        <v>4</v>
      </c>
      <c r="J1895">
        <v>7</v>
      </c>
      <c r="K1895">
        <v>2.5</v>
      </c>
      <c r="L1895" s="1" t="s">
        <v>26</v>
      </c>
      <c r="M1895">
        <v>74.5</v>
      </c>
      <c r="N1895">
        <v>267619.63</v>
      </c>
      <c r="O1895">
        <v>1311264.75</v>
      </c>
      <c r="P1895">
        <v>170241.77</v>
      </c>
      <c r="Q1895" s="1" t="s">
        <v>5595</v>
      </c>
      <c r="R1895">
        <v>27</v>
      </c>
      <c r="S1895" s="1" t="s">
        <v>5951</v>
      </c>
      <c r="T1895" t="b">
        <v>0</v>
      </c>
    </row>
    <row r="1896" spans="1:20" x14ac:dyDescent="0.25">
      <c r="A1896" s="1" t="s">
        <v>5952</v>
      </c>
      <c r="B1896" s="1" t="s">
        <v>566</v>
      </c>
      <c r="C1896" s="1" t="s">
        <v>877</v>
      </c>
      <c r="D1896" s="1" t="s">
        <v>1022</v>
      </c>
      <c r="E1896" s="1" t="s">
        <v>65</v>
      </c>
      <c r="F1896" s="1" t="s">
        <v>25</v>
      </c>
      <c r="G1896" s="2">
        <v>45361</v>
      </c>
      <c r="H1896" s="2">
        <v>45368</v>
      </c>
      <c r="I1896">
        <v>4</v>
      </c>
      <c r="J1896">
        <v>7</v>
      </c>
      <c r="K1896">
        <v>2.5</v>
      </c>
      <c r="L1896" s="1" t="s">
        <v>26</v>
      </c>
      <c r="M1896">
        <v>28.5</v>
      </c>
      <c r="N1896">
        <v>79297.3</v>
      </c>
      <c r="O1896">
        <v>3209008.68</v>
      </c>
      <c r="P1896">
        <v>485910</v>
      </c>
      <c r="Q1896" s="1" t="s">
        <v>5953</v>
      </c>
      <c r="R1896">
        <v>76</v>
      </c>
      <c r="S1896" s="1" t="s">
        <v>5954</v>
      </c>
      <c r="T1896" t="b">
        <v>1</v>
      </c>
    </row>
    <row r="1897" spans="1:20" x14ac:dyDescent="0.25">
      <c r="A1897" s="1" t="s">
        <v>5955</v>
      </c>
      <c r="B1897" s="1" t="s">
        <v>21</v>
      </c>
      <c r="C1897" s="1" t="s">
        <v>262</v>
      </c>
      <c r="D1897" s="1" t="s">
        <v>23</v>
      </c>
      <c r="E1897" s="1" t="s">
        <v>57</v>
      </c>
      <c r="F1897" s="1" t="s">
        <v>25</v>
      </c>
      <c r="G1897" s="2">
        <v>45357</v>
      </c>
      <c r="H1897" s="2">
        <v>45378</v>
      </c>
      <c r="I1897">
        <v>40</v>
      </c>
      <c r="J1897">
        <v>21</v>
      </c>
      <c r="K1897">
        <v>0</v>
      </c>
      <c r="L1897" s="1" t="s">
        <v>26</v>
      </c>
      <c r="M1897">
        <v>183.1</v>
      </c>
      <c r="N1897">
        <v>730744.93</v>
      </c>
      <c r="O1897">
        <v>2790888.22</v>
      </c>
      <c r="P1897">
        <v>418362.29</v>
      </c>
      <c r="Q1897" s="1" t="s">
        <v>5956</v>
      </c>
      <c r="R1897">
        <v>33</v>
      </c>
      <c r="S1897" s="1" t="s">
        <v>5957</v>
      </c>
      <c r="T1897" t="b">
        <v>0</v>
      </c>
    </row>
    <row r="1898" spans="1:20" x14ac:dyDescent="0.25">
      <c r="A1898" s="1" t="s">
        <v>5958</v>
      </c>
      <c r="B1898" s="1" t="s">
        <v>242</v>
      </c>
      <c r="C1898" s="1" t="s">
        <v>730</v>
      </c>
      <c r="D1898" s="1" t="s">
        <v>350</v>
      </c>
      <c r="E1898" s="1" t="s">
        <v>33</v>
      </c>
      <c r="F1898" s="1" t="s">
        <v>25</v>
      </c>
      <c r="G1898" s="2">
        <v>44593</v>
      </c>
      <c r="H1898" s="2">
        <v>44609</v>
      </c>
      <c r="I1898">
        <v>12</v>
      </c>
      <c r="J1898">
        <v>16</v>
      </c>
      <c r="K1898">
        <v>4</v>
      </c>
      <c r="L1898" s="1" t="s">
        <v>193</v>
      </c>
      <c r="M1898">
        <v>251.6</v>
      </c>
      <c r="N1898">
        <v>891644.76</v>
      </c>
      <c r="O1898">
        <v>1809489.91</v>
      </c>
      <c r="P1898">
        <v>271437.71999999997</v>
      </c>
      <c r="Q1898" s="1" t="s">
        <v>5506</v>
      </c>
      <c r="R1898">
        <v>64</v>
      </c>
      <c r="S1898" s="1" t="s">
        <v>5959</v>
      </c>
      <c r="T1898" t="b">
        <v>1</v>
      </c>
    </row>
    <row r="1899" spans="1:20" x14ac:dyDescent="0.25">
      <c r="A1899" s="1" t="s">
        <v>5960</v>
      </c>
      <c r="B1899" s="1" t="s">
        <v>46</v>
      </c>
      <c r="C1899" s="1" t="s">
        <v>248</v>
      </c>
      <c r="D1899" s="1" t="s">
        <v>107</v>
      </c>
      <c r="E1899" s="1" t="s">
        <v>65</v>
      </c>
      <c r="F1899" s="1" t="s">
        <v>34</v>
      </c>
      <c r="G1899" s="2">
        <v>45371</v>
      </c>
      <c r="H1899" s="2"/>
      <c r="I1899">
        <v>4</v>
      </c>
      <c r="J1899">
        <v>3</v>
      </c>
      <c r="K1899">
        <v>0</v>
      </c>
      <c r="L1899" s="1" t="s">
        <v>26</v>
      </c>
      <c r="M1899">
        <v>25</v>
      </c>
      <c r="N1899">
        <v>53514.66</v>
      </c>
      <c r="O1899">
        <v>4170417.45</v>
      </c>
      <c r="P1899">
        <v>696292.84</v>
      </c>
      <c r="Q1899" s="1" t="s">
        <v>5961</v>
      </c>
      <c r="R1899">
        <v>20</v>
      </c>
      <c r="S1899" s="1" t="s">
        <v>5962</v>
      </c>
      <c r="T1899" t="b">
        <v>1</v>
      </c>
    </row>
    <row r="1900" spans="1:20" x14ac:dyDescent="0.25">
      <c r="A1900" s="1" t="s">
        <v>5963</v>
      </c>
      <c r="B1900" s="1" t="s">
        <v>99</v>
      </c>
      <c r="C1900" s="1" t="s">
        <v>428</v>
      </c>
      <c r="D1900" s="1" t="s">
        <v>359</v>
      </c>
      <c r="E1900" s="1" t="s">
        <v>33</v>
      </c>
      <c r="F1900" s="1" t="s">
        <v>34</v>
      </c>
      <c r="G1900" s="2">
        <v>44726</v>
      </c>
      <c r="H1900" s="2"/>
      <c r="I1900">
        <v>12</v>
      </c>
      <c r="J1900">
        <v>18</v>
      </c>
      <c r="K1900">
        <v>6</v>
      </c>
      <c r="L1900" s="1" t="s">
        <v>193</v>
      </c>
      <c r="M1900">
        <v>234</v>
      </c>
      <c r="N1900">
        <v>473743.14</v>
      </c>
      <c r="O1900">
        <v>1640247.71</v>
      </c>
      <c r="P1900">
        <v>227000.25</v>
      </c>
      <c r="Q1900" s="1" t="s">
        <v>5964</v>
      </c>
      <c r="R1900">
        <v>36</v>
      </c>
      <c r="S1900" s="1" t="s">
        <v>5965</v>
      </c>
      <c r="T1900" t="b">
        <v>1</v>
      </c>
    </row>
    <row r="1901" spans="1:20" x14ac:dyDescent="0.25">
      <c r="A1901" s="1" t="s">
        <v>5966</v>
      </c>
      <c r="B1901" s="1" t="s">
        <v>328</v>
      </c>
      <c r="C1901" s="1" t="s">
        <v>139</v>
      </c>
      <c r="D1901" s="1" t="s">
        <v>244</v>
      </c>
      <c r="E1901" s="1" t="s">
        <v>33</v>
      </c>
      <c r="F1901" s="1" t="s">
        <v>50</v>
      </c>
      <c r="G1901" s="2">
        <v>44847</v>
      </c>
      <c r="H1901" s="2"/>
      <c r="I1901">
        <v>12</v>
      </c>
      <c r="J1901">
        <v>9</v>
      </c>
      <c r="K1901">
        <v>0</v>
      </c>
      <c r="L1901" s="1" t="s">
        <v>26</v>
      </c>
      <c r="M1901">
        <v>36.1</v>
      </c>
      <c r="N1901">
        <v>130536.95</v>
      </c>
      <c r="O1901">
        <v>2784645.44</v>
      </c>
      <c r="P1901">
        <v>332310.87</v>
      </c>
      <c r="Q1901" s="1" t="s">
        <v>4690</v>
      </c>
      <c r="R1901">
        <v>56</v>
      </c>
      <c r="S1901" s="1" t="s">
        <v>5967</v>
      </c>
      <c r="T1901" t="b">
        <v>1</v>
      </c>
    </row>
    <row r="1902" spans="1:20" x14ac:dyDescent="0.25">
      <c r="A1902" s="1" t="s">
        <v>5968</v>
      </c>
      <c r="B1902" s="1" t="s">
        <v>418</v>
      </c>
      <c r="C1902" s="1" t="s">
        <v>2304</v>
      </c>
      <c r="D1902" s="1" t="s">
        <v>95</v>
      </c>
      <c r="E1902" s="1" t="s">
        <v>65</v>
      </c>
      <c r="F1902" s="1" t="s">
        <v>25</v>
      </c>
      <c r="G1902" s="2">
        <v>45391</v>
      </c>
      <c r="H1902" s="2">
        <v>45395</v>
      </c>
      <c r="I1902">
        <v>4</v>
      </c>
      <c r="J1902">
        <v>4</v>
      </c>
      <c r="K1902">
        <v>0</v>
      </c>
      <c r="L1902" s="1" t="s">
        <v>26</v>
      </c>
      <c r="M1902">
        <v>48.3</v>
      </c>
      <c r="N1902">
        <v>115376.07</v>
      </c>
      <c r="O1902">
        <v>316192.96000000002</v>
      </c>
      <c r="P1902">
        <v>71869.64</v>
      </c>
      <c r="Q1902" s="1" t="s">
        <v>5969</v>
      </c>
      <c r="R1902">
        <v>46</v>
      </c>
      <c r="S1902" s="1" t="s">
        <v>5970</v>
      </c>
      <c r="T1902" t="b">
        <v>0</v>
      </c>
    </row>
    <row r="1903" spans="1:20" x14ac:dyDescent="0.25">
      <c r="A1903" s="1" t="s">
        <v>5971</v>
      </c>
      <c r="B1903" s="1" t="s">
        <v>54</v>
      </c>
      <c r="C1903" s="1" t="s">
        <v>3419</v>
      </c>
      <c r="D1903" s="1" t="s">
        <v>372</v>
      </c>
      <c r="E1903" s="1" t="s">
        <v>41</v>
      </c>
      <c r="F1903" s="1" t="s">
        <v>25</v>
      </c>
      <c r="G1903" s="2">
        <v>45211</v>
      </c>
      <c r="H1903" s="2">
        <v>45215</v>
      </c>
      <c r="I1903">
        <v>9</v>
      </c>
      <c r="J1903">
        <v>4</v>
      </c>
      <c r="K1903">
        <v>0</v>
      </c>
      <c r="L1903" s="1" t="s">
        <v>26</v>
      </c>
      <c r="M1903">
        <v>45.1</v>
      </c>
      <c r="N1903">
        <v>96577.23</v>
      </c>
      <c r="O1903">
        <v>368390.26</v>
      </c>
      <c r="P1903">
        <v>92589.67</v>
      </c>
      <c r="Q1903" s="1" t="s">
        <v>5972</v>
      </c>
      <c r="R1903">
        <v>68</v>
      </c>
      <c r="S1903" s="1" t="s">
        <v>5973</v>
      </c>
      <c r="T1903" t="b">
        <v>1</v>
      </c>
    </row>
    <row r="1904" spans="1:20" x14ac:dyDescent="0.25">
      <c r="A1904" s="1" t="s">
        <v>5974</v>
      </c>
      <c r="B1904" s="1" t="s">
        <v>471</v>
      </c>
      <c r="C1904" s="1" t="s">
        <v>1364</v>
      </c>
      <c r="D1904" s="1" t="s">
        <v>113</v>
      </c>
      <c r="E1904" s="1" t="s">
        <v>41</v>
      </c>
      <c r="F1904" s="1" t="s">
        <v>25</v>
      </c>
      <c r="G1904" s="2">
        <v>45639</v>
      </c>
      <c r="H1904" s="2">
        <v>45646</v>
      </c>
      <c r="I1904">
        <v>9</v>
      </c>
      <c r="J1904">
        <v>7</v>
      </c>
      <c r="K1904">
        <v>0</v>
      </c>
      <c r="L1904" s="1" t="s">
        <v>26</v>
      </c>
      <c r="M1904">
        <v>38.200000000000003</v>
      </c>
      <c r="N1904">
        <v>108407.67999999999</v>
      </c>
      <c r="O1904">
        <v>3193994.24</v>
      </c>
      <c r="P1904">
        <v>537425.78</v>
      </c>
      <c r="Q1904" s="1" t="s">
        <v>5975</v>
      </c>
      <c r="R1904">
        <v>36</v>
      </c>
      <c r="S1904" s="1" t="s">
        <v>5976</v>
      </c>
      <c r="T1904" t="b">
        <v>1</v>
      </c>
    </row>
    <row r="1905" spans="1:20" x14ac:dyDescent="0.25">
      <c r="A1905" s="1" t="s">
        <v>5977</v>
      </c>
      <c r="B1905" s="1" t="s">
        <v>117</v>
      </c>
      <c r="C1905" s="1" t="s">
        <v>1794</v>
      </c>
      <c r="D1905" s="1" t="s">
        <v>244</v>
      </c>
      <c r="E1905" s="1" t="s">
        <v>49</v>
      </c>
      <c r="F1905" s="1" t="s">
        <v>25</v>
      </c>
      <c r="G1905" s="2">
        <v>45455</v>
      </c>
      <c r="H1905" s="2">
        <v>45478</v>
      </c>
      <c r="I1905">
        <v>25</v>
      </c>
      <c r="J1905">
        <v>23</v>
      </c>
      <c r="K1905">
        <v>0</v>
      </c>
      <c r="L1905" s="1" t="s">
        <v>26</v>
      </c>
      <c r="M1905">
        <v>231.9</v>
      </c>
      <c r="N1905">
        <v>615818.16</v>
      </c>
      <c r="O1905">
        <v>3132122.51</v>
      </c>
      <c r="P1905">
        <v>596317.94999999995</v>
      </c>
      <c r="Q1905" s="1" t="s">
        <v>5978</v>
      </c>
      <c r="R1905">
        <v>35</v>
      </c>
      <c r="S1905" s="1" t="s">
        <v>5979</v>
      </c>
      <c r="T1905" t="b">
        <v>1</v>
      </c>
    </row>
    <row r="1906" spans="1:20" x14ac:dyDescent="0.25">
      <c r="A1906" s="1" t="s">
        <v>5980</v>
      </c>
      <c r="B1906" s="1" t="s">
        <v>471</v>
      </c>
      <c r="C1906" s="1" t="s">
        <v>4467</v>
      </c>
      <c r="D1906" s="1" t="s">
        <v>165</v>
      </c>
      <c r="E1906" s="1" t="s">
        <v>49</v>
      </c>
      <c r="F1906" s="1" t="s">
        <v>34</v>
      </c>
      <c r="G1906" s="2">
        <v>45023</v>
      </c>
      <c r="H1906" s="2"/>
      <c r="I1906">
        <v>25</v>
      </c>
      <c r="J1906">
        <v>12</v>
      </c>
      <c r="K1906">
        <v>0</v>
      </c>
      <c r="L1906" s="1" t="s">
        <v>26</v>
      </c>
      <c r="M1906">
        <v>150.69999999999999</v>
      </c>
      <c r="N1906">
        <v>569987.51</v>
      </c>
      <c r="O1906">
        <v>3296360.15</v>
      </c>
      <c r="P1906">
        <v>764574.44</v>
      </c>
      <c r="Q1906" s="1" t="s">
        <v>5981</v>
      </c>
      <c r="R1906">
        <v>49</v>
      </c>
      <c r="S1906" s="1" t="s">
        <v>5982</v>
      </c>
      <c r="T1906" t="b">
        <v>1</v>
      </c>
    </row>
    <row r="1907" spans="1:20" x14ac:dyDescent="0.25">
      <c r="A1907" s="1" t="s">
        <v>5983</v>
      </c>
      <c r="B1907" s="1" t="s">
        <v>46</v>
      </c>
      <c r="C1907" s="1" t="s">
        <v>1394</v>
      </c>
      <c r="D1907" s="1" t="s">
        <v>344</v>
      </c>
      <c r="E1907" s="1" t="s">
        <v>65</v>
      </c>
      <c r="F1907" s="1" t="s">
        <v>66</v>
      </c>
      <c r="G1907" s="2">
        <v>44920</v>
      </c>
      <c r="H1907" s="2"/>
      <c r="I1907">
        <v>4</v>
      </c>
      <c r="J1907">
        <v>4</v>
      </c>
      <c r="K1907">
        <v>0</v>
      </c>
      <c r="L1907" s="1" t="s">
        <v>26</v>
      </c>
      <c r="M1907">
        <v>38.1</v>
      </c>
      <c r="N1907">
        <v>95329.98</v>
      </c>
      <c r="O1907">
        <v>4230115.17</v>
      </c>
      <c r="P1907">
        <v>678087.26</v>
      </c>
      <c r="Q1907" s="1" t="s">
        <v>5984</v>
      </c>
      <c r="R1907">
        <v>78</v>
      </c>
      <c r="S1907" s="1" t="s">
        <v>5985</v>
      </c>
      <c r="T1907" t="b">
        <v>0</v>
      </c>
    </row>
    <row r="1908" spans="1:20" x14ac:dyDescent="0.25">
      <c r="A1908" s="1" t="s">
        <v>5986</v>
      </c>
      <c r="B1908" s="1" t="s">
        <v>122</v>
      </c>
      <c r="C1908" s="1" t="s">
        <v>1560</v>
      </c>
      <c r="D1908" s="1" t="s">
        <v>726</v>
      </c>
      <c r="E1908" s="1" t="s">
        <v>24</v>
      </c>
      <c r="F1908" s="1" t="s">
        <v>25</v>
      </c>
      <c r="G1908" s="2">
        <v>45088</v>
      </c>
      <c r="H1908" s="2">
        <v>45093</v>
      </c>
      <c r="I1908">
        <v>3</v>
      </c>
      <c r="J1908">
        <v>5</v>
      </c>
      <c r="K1908">
        <v>2</v>
      </c>
      <c r="L1908" s="1" t="s">
        <v>26</v>
      </c>
      <c r="M1908">
        <v>36.700000000000003</v>
      </c>
      <c r="N1908">
        <v>161328.5</v>
      </c>
      <c r="O1908">
        <v>4009159.72</v>
      </c>
      <c r="P1908">
        <v>728581.3</v>
      </c>
      <c r="Q1908" s="1" t="s">
        <v>5987</v>
      </c>
      <c r="R1908">
        <v>27</v>
      </c>
      <c r="S1908" s="1" t="s">
        <v>5988</v>
      </c>
      <c r="T1908" t="b">
        <v>1</v>
      </c>
    </row>
    <row r="1909" spans="1:20" x14ac:dyDescent="0.25">
      <c r="A1909" s="1" t="s">
        <v>5989</v>
      </c>
      <c r="B1909" s="1" t="s">
        <v>451</v>
      </c>
      <c r="C1909" s="1" t="s">
        <v>371</v>
      </c>
      <c r="D1909" s="1" t="s">
        <v>244</v>
      </c>
      <c r="E1909" s="1" t="s">
        <v>24</v>
      </c>
      <c r="F1909" s="1" t="s">
        <v>50</v>
      </c>
      <c r="G1909" s="2">
        <v>44714</v>
      </c>
      <c r="H1909" s="2"/>
      <c r="I1909">
        <v>3</v>
      </c>
      <c r="J1909">
        <v>2</v>
      </c>
      <c r="K1909">
        <v>0</v>
      </c>
      <c r="L1909" s="1" t="s">
        <v>26</v>
      </c>
      <c r="M1909">
        <v>13.3</v>
      </c>
      <c r="N1909">
        <v>39240.74</v>
      </c>
      <c r="O1909">
        <v>131297.81</v>
      </c>
      <c r="P1909">
        <v>29120.01</v>
      </c>
      <c r="Q1909" s="1" t="s">
        <v>5990</v>
      </c>
      <c r="R1909">
        <v>41</v>
      </c>
      <c r="S1909" s="1" t="s">
        <v>5991</v>
      </c>
      <c r="T1909" t="b">
        <v>0</v>
      </c>
    </row>
    <row r="1910" spans="1:20" x14ac:dyDescent="0.25">
      <c r="A1910" s="1" t="s">
        <v>5992</v>
      </c>
      <c r="B1910" s="1" t="s">
        <v>451</v>
      </c>
      <c r="C1910" s="1" t="s">
        <v>1639</v>
      </c>
      <c r="D1910" s="1" t="s">
        <v>154</v>
      </c>
      <c r="E1910" s="1" t="s">
        <v>49</v>
      </c>
      <c r="F1910" s="1" t="s">
        <v>34</v>
      </c>
      <c r="G1910" s="2">
        <v>45274</v>
      </c>
      <c r="H1910" s="2"/>
      <c r="I1910">
        <v>25</v>
      </c>
      <c r="J1910">
        <v>31</v>
      </c>
      <c r="K1910">
        <v>6</v>
      </c>
      <c r="L1910" s="1" t="s">
        <v>26</v>
      </c>
      <c r="M1910">
        <v>414.8</v>
      </c>
      <c r="N1910">
        <v>809118.41</v>
      </c>
      <c r="O1910">
        <v>3205138.74</v>
      </c>
      <c r="P1910">
        <v>557442.41</v>
      </c>
      <c r="Q1910" s="1" t="s">
        <v>551</v>
      </c>
      <c r="R1910">
        <v>79</v>
      </c>
      <c r="S1910" s="1" t="s">
        <v>5993</v>
      </c>
      <c r="T1910" t="b">
        <v>0</v>
      </c>
    </row>
    <row r="1911" spans="1:20" x14ac:dyDescent="0.25">
      <c r="A1911" s="1" t="s">
        <v>5994</v>
      </c>
      <c r="B1911" s="1" t="s">
        <v>21</v>
      </c>
      <c r="C1911" s="1" t="s">
        <v>476</v>
      </c>
      <c r="D1911" s="1" t="s">
        <v>124</v>
      </c>
      <c r="E1911" s="1" t="s">
        <v>41</v>
      </c>
      <c r="F1911" s="1" t="s">
        <v>25</v>
      </c>
      <c r="G1911" s="2">
        <v>44762</v>
      </c>
      <c r="H1911" s="2">
        <v>44765</v>
      </c>
      <c r="I1911">
        <v>9</v>
      </c>
      <c r="J1911">
        <v>3</v>
      </c>
      <c r="K1911">
        <v>0</v>
      </c>
      <c r="L1911" s="1" t="s">
        <v>26</v>
      </c>
      <c r="M1911">
        <v>37.700000000000003</v>
      </c>
      <c r="N1911">
        <v>94981.6</v>
      </c>
      <c r="O1911">
        <v>1956965.74</v>
      </c>
      <c r="P1911">
        <v>253493.59</v>
      </c>
      <c r="Q1911" s="1" t="s">
        <v>5995</v>
      </c>
      <c r="R1911">
        <v>21</v>
      </c>
      <c r="S1911" s="1" t="s">
        <v>5996</v>
      </c>
      <c r="T1911" t="b">
        <v>1</v>
      </c>
    </row>
    <row r="1912" spans="1:20" x14ac:dyDescent="0.25">
      <c r="A1912" s="1" t="s">
        <v>5997</v>
      </c>
      <c r="B1912" s="1" t="s">
        <v>30</v>
      </c>
      <c r="C1912" s="1" t="s">
        <v>486</v>
      </c>
      <c r="D1912" s="1" t="s">
        <v>541</v>
      </c>
      <c r="E1912" s="1" t="s">
        <v>57</v>
      </c>
      <c r="F1912" s="1" t="s">
        <v>25</v>
      </c>
      <c r="G1912" s="2">
        <v>44860</v>
      </c>
      <c r="H1912" s="2">
        <v>44912</v>
      </c>
      <c r="I1912">
        <v>40</v>
      </c>
      <c r="J1912">
        <v>52</v>
      </c>
      <c r="K1912">
        <v>12</v>
      </c>
      <c r="L1912" s="1" t="s">
        <v>26</v>
      </c>
      <c r="M1912">
        <v>393.3</v>
      </c>
      <c r="N1912">
        <v>1276260.8500000001</v>
      </c>
      <c r="O1912">
        <v>43500.27</v>
      </c>
      <c r="P1912">
        <v>214129.76</v>
      </c>
      <c r="Q1912" s="1" t="s">
        <v>5998</v>
      </c>
      <c r="R1912">
        <v>34</v>
      </c>
      <c r="S1912" s="1" t="s">
        <v>5999</v>
      </c>
      <c r="T1912" t="b">
        <v>0</v>
      </c>
    </row>
    <row r="1913" spans="1:20" x14ac:dyDescent="0.25">
      <c r="A1913" s="1" t="s">
        <v>6000</v>
      </c>
      <c r="B1913" s="1" t="s">
        <v>471</v>
      </c>
      <c r="C1913" s="1" t="s">
        <v>1103</v>
      </c>
      <c r="D1913" s="1" t="s">
        <v>124</v>
      </c>
      <c r="E1913" s="1" t="s">
        <v>49</v>
      </c>
      <c r="F1913" s="1" t="s">
        <v>50</v>
      </c>
      <c r="G1913" s="2">
        <v>44962</v>
      </c>
      <c r="H1913" s="2"/>
      <c r="I1913">
        <v>25</v>
      </c>
      <c r="J1913">
        <v>21</v>
      </c>
      <c r="K1913">
        <v>0</v>
      </c>
      <c r="L1913" s="1" t="s">
        <v>26</v>
      </c>
      <c r="M1913">
        <v>330.1</v>
      </c>
      <c r="N1913">
        <v>1354179.23</v>
      </c>
      <c r="O1913">
        <v>1586077.24</v>
      </c>
      <c r="P1913">
        <v>395834</v>
      </c>
      <c r="Q1913" s="1" t="s">
        <v>6001</v>
      </c>
      <c r="R1913">
        <v>48</v>
      </c>
      <c r="S1913" s="1" t="s">
        <v>6002</v>
      </c>
      <c r="T1913" t="b">
        <v>0</v>
      </c>
    </row>
    <row r="1914" spans="1:20" x14ac:dyDescent="0.25">
      <c r="A1914" s="1" t="s">
        <v>6003</v>
      </c>
      <c r="B1914" s="1" t="s">
        <v>471</v>
      </c>
      <c r="C1914" s="1" t="s">
        <v>1790</v>
      </c>
      <c r="D1914" s="1" t="s">
        <v>23</v>
      </c>
      <c r="E1914" s="1" t="s">
        <v>33</v>
      </c>
      <c r="F1914" s="1" t="s">
        <v>25</v>
      </c>
      <c r="G1914" s="2">
        <v>44736</v>
      </c>
      <c r="H1914" s="2">
        <v>44749</v>
      </c>
      <c r="I1914">
        <v>12</v>
      </c>
      <c r="J1914">
        <v>13</v>
      </c>
      <c r="K1914">
        <v>1</v>
      </c>
      <c r="L1914" s="1" t="s">
        <v>26</v>
      </c>
      <c r="M1914">
        <v>157.4</v>
      </c>
      <c r="N1914">
        <v>703046.82</v>
      </c>
      <c r="O1914">
        <v>4816244.88</v>
      </c>
      <c r="P1914">
        <v>803636.25</v>
      </c>
      <c r="Q1914" s="1" t="s">
        <v>6004</v>
      </c>
      <c r="R1914">
        <v>61</v>
      </c>
      <c r="S1914" s="1" t="s">
        <v>6005</v>
      </c>
      <c r="T1914" t="b">
        <v>0</v>
      </c>
    </row>
    <row r="1915" spans="1:20" x14ac:dyDescent="0.25">
      <c r="A1915" s="1" t="s">
        <v>6006</v>
      </c>
      <c r="B1915" s="1" t="s">
        <v>122</v>
      </c>
      <c r="C1915" s="1" t="s">
        <v>1216</v>
      </c>
      <c r="D1915" s="1" t="s">
        <v>56</v>
      </c>
      <c r="E1915" s="1" t="s">
        <v>33</v>
      </c>
      <c r="F1915" s="1" t="s">
        <v>25</v>
      </c>
      <c r="G1915" s="2">
        <v>45444</v>
      </c>
      <c r="H1915" s="2">
        <v>45452</v>
      </c>
      <c r="I1915">
        <v>12</v>
      </c>
      <c r="J1915">
        <v>8</v>
      </c>
      <c r="K1915">
        <v>0</v>
      </c>
      <c r="L1915" s="1" t="s">
        <v>26</v>
      </c>
      <c r="M1915">
        <v>67</v>
      </c>
      <c r="N1915">
        <v>221110.03</v>
      </c>
      <c r="O1915">
        <v>3654113.76</v>
      </c>
      <c r="P1915">
        <v>449668.46</v>
      </c>
      <c r="Q1915" s="1" t="s">
        <v>5576</v>
      </c>
      <c r="R1915">
        <v>45</v>
      </c>
      <c r="S1915" s="1" t="s">
        <v>6007</v>
      </c>
      <c r="T1915" t="b">
        <v>1</v>
      </c>
    </row>
    <row r="1916" spans="1:20" x14ac:dyDescent="0.25">
      <c r="A1916" s="1" t="s">
        <v>6008</v>
      </c>
      <c r="B1916" s="1" t="s">
        <v>174</v>
      </c>
      <c r="C1916" s="1" t="s">
        <v>3479</v>
      </c>
      <c r="D1916" s="1" t="s">
        <v>582</v>
      </c>
      <c r="E1916" s="1" t="s">
        <v>41</v>
      </c>
      <c r="F1916" s="1" t="s">
        <v>66</v>
      </c>
      <c r="G1916" s="2">
        <v>44627</v>
      </c>
      <c r="H1916" s="2"/>
      <c r="I1916">
        <v>9</v>
      </c>
      <c r="J1916">
        <v>14</v>
      </c>
      <c r="K1916">
        <v>5</v>
      </c>
      <c r="L1916" s="1" t="s">
        <v>193</v>
      </c>
      <c r="M1916">
        <v>80.599999999999994</v>
      </c>
      <c r="N1916">
        <v>354867.28</v>
      </c>
      <c r="O1916">
        <v>3145110.29</v>
      </c>
      <c r="P1916">
        <v>697974.73</v>
      </c>
      <c r="Q1916" s="1" t="s">
        <v>6009</v>
      </c>
      <c r="R1916">
        <v>76</v>
      </c>
      <c r="S1916" s="1" t="s">
        <v>6010</v>
      </c>
      <c r="T1916" t="b">
        <v>0</v>
      </c>
    </row>
    <row r="1917" spans="1:20" x14ac:dyDescent="0.25">
      <c r="A1917" s="1" t="s">
        <v>6011</v>
      </c>
      <c r="B1917" s="1" t="s">
        <v>358</v>
      </c>
      <c r="C1917" s="1" t="s">
        <v>858</v>
      </c>
      <c r="D1917" s="1" t="s">
        <v>344</v>
      </c>
      <c r="E1917" s="1" t="s">
        <v>49</v>
      </c>
      <c r="F1917" s="1" t="s">
        <v>25</v>
      </c>
      <c r="G1917" s="2">
        <v>45630</v>
      </c>
      <c r="H1917" s="2">
        <v>45642</v>
      </c>
      <c r="I1917">
        <v>25</v>
      </c>
      <c r="J1917">
        <v>12</v>
      </c>
      <c r="K1917">
        <v>0</v>
      </c>
      <c r="L1917" s="1" t="s">
        <v>26</v>
      </c>
      <c r="M1917">
        <v>72.7</v>
      </c>
      <c r="N1917">
        <v>217497.84</v>
      </c>
      <c r="O1917">
        <v>3584182.82</v>
      </c>
      <c r="P1917">
        <v>753337.19</v>
      </c>
      <c r="Q1917" s="1" t="s">
        <v>3296</v>
      </c>
      <c r="R1917">
        <v>20</v>
      </c>
      <c r="S1917" s="1" t="s">
        <v>6012</v>
      </c>
      <c r="T1917" t="b">
        <v>0</v>
      </c>
    </row>
    <row r="1918" spans="1:20" x14ac:dyDescent="0.25">
      <c r="A1918" s="1" t="s">
        <v>6013</v>
      </c>
      <c r="B1918" s="1" t="s">
        <v>286</v>
      </c>
      <c r="C1918" s="1" t="s">
        <v>1009</v>
      </c>
      <c r="D1918" s="1" t="s">
        <v>263</v>
      </c>
      <c r="E1918" s="1" t="s">
        <v>33</v>
      </c>
      <c r="F1918" s="1" t="s">
        <v>25</v>
      </c>
      <c r="G1918" s="2">
        <v>44835</v>
      </c>
      <c r="H1918" s="2">
        <v>44850</v>
      </c>
      <c r="I1918">
        <v>12</v>
      </c>
      <c r="J1918">
        <v>15</v>
      </c>
      <c r="K1918">
        <v>3</v>
      </c>
      <c r="L1918" s="1" t="s">
        <v>26</v>
      </c>
      <c r="M1918">
        <v>140.9</v>
      </c>
      <c r="N1918">
        <v>262181.88</v>
      </c>
      <c r="O1918">
        <v>1481684.07</v>
      </c>
      <c r="P1918">
        <v>269387.18</v>
      </c>
      <c r="Q1918" s="1" t="s">
        <v>6014</v>
      </c>
      <c r="R1918">
        <v>59</v>
      </c>
      <c r="S1918" s="1" t="s">
        <v>6015</v>
      </c>
      <c r="T1918" t="b">
        <v>0</v>
      </c>
    </row>
    <row r="1919" spans="1:20" x14ac:dyDescent="0.25">
      <c r="A1919" s="1" t="s">
        <v>6016</v>
      </c>
      <c r="B1919" s="1" t="s">
        <v>54</v>
      </c>
      <c r="C1919" s="1" t="s">
        <v>540</v>
      </c>
      <c r="D1919" s="1" t="s">
        <v>48</v>
      </c>
      <c r="E1919" s="1" t="s">
        <v>41</v>
      </c>
      <c r="F1919" s="1" t="s">
        <v>25</v>
      </c>
      <c r="G1919" s="2">
        <v>44990</v>
      </c>
      <c r="H1919" s="2">
        <v>44998</v>
      </c>
      <c r="I1919">
        <v>9</v>
      </c>
      <c r="J1919">
        <v>8</v>
      </c>
      <c r="K1919">
        <v>0</v>
      </c>
      <c r="L1919" s="1" t="s">
        <v>26</v>
      </c>
      <c r="M1919">
        <v>38.4</v>
      </c>
      <c r="N1919">
        <v>133889.48000000001</v>
      </c>
      <c r="O1919">
        <v>3656004.78</v>
      </c>
      <c r="P1919">
        <v>512955.54</v>
      </c>
      <c r="Q1919" s="1" t="s">
        <v>6017</v>
      </c>
      <c r="R1919">
        <v>25</v>
      </c>
      <c r="S1919" s="1" t="s">
        <v>6018</v>
      </c>
      <c r="T1919" t="b">
        <v>1</v>
      </c>
    </row>
    <row r="1920" spans="1:20" x14ac:dyDescent="0.25">
      <c r="A1920" s="1" t="s">
        <v>6019</v>
      </c>
      <c r="B1920" s="1" t="s">
        <v>62</v>
      </c>
      <c r="C1920" s="1" t="s">
        <v>2038</v>
      </c>
      <c r="D1920" s="1" t="s">
        <v>372</v>
      </c>
      <c r="E1920" s="1" t="s">
        <v>33</v>
      </c>
      <c r="F1920" s="1" t="s">
        <v>66</v>
      </c>
      <c r="G1920" s="2">
        <v>45613</v>
      </c>
      <c r="H1920" s="2"/>
      <c r="I1920">
        <v>12</v>
      </c>
      <c r="J1920">
        <v>10</v>
      </c>
      <c r="K1920">
        <v>0</v>
      </c>
      <c r="L1920" s="1" t="s">
        <v>26</v>
      </c>
      <c r="M1920">
        <v>122.6</v>
      </c>
      <c r="N1920">
        <v>475096.51</v>
      </c>
      <c r="O1920">
        <v>3552926.41</v>
      </c>
      <c r="P1920">
        <v>454691.81</v>
      </c>
      <c r="Q1920" s="1" t="s">
        <v>6020</v>
      </c>
      <c r="R1920">
        <v>46</v>
      </c>
      <c r="S1920" s="1" t="s">
        <v>6021</v>
      </c>
      <c r="T1920" t="b">
        <v>1</v>
      </c>
    </row>
    <row r="1921" spans="1:20" x14ac:dyDescent="0.25">
      <c r="A1921" s="1" t="s">
        <v>6022</v>
      </c>
      <c r="B1921" s="1" t="s">
        <v>117</v>
      </c>
      <c r="C1921" s="1" t="s">
        <v>610</v>
      </c>
      <c r="D1921" s="1" t="s">
        <v>48</v>
      </c>
      <c r="E1921" s="1" t="s">
        <v>57</v>
      </c>
      <c r="F1921" s="1" t="s">
        <v>25</v>
      </c>
      <c r="G1921" s="2">
        <v>45487</v>
      </c>
      <c r="H1921" s="2">
        <v>45522</v>
      </c>
      <c r="I1921">
        <v>40</v>
      </c>
      <c r="J1921">
        <v>35</v>
      </c>
      <c r="K1921">
        <v>0</v>
      </c>
      <c r="L1921" s="1" t="s">
        <v>26</v>
      </c>
      <c r="M1921">
        <v>275.3</v>
      </c>
      <c r="N1921">
        <v>609668.36</v>
      </c>
      <c r="O1921">
        <v>3274426.73</v>
      </c>
      <c r="P1921">
        <v>478098.62</v>
      </c>
      <c r="Q1921" s="1" t="s">
        <v>6023</v>
      </c>
      <c r="R1921">
        <v>72</v>
      </c>
      <c r="S1921" s="1" t="s">
        <v>6024</v>
      </c>
      <c r="T1921" t="b">
        <v>0</v>
      </c>
    </row>
    <row r="1922" spans="1:20" x14ac:dyDescent="0.25">
      <c r="A1922" s="1" t="s">
        <v>6025</v>
      </c>
      <c r="B1922" s="1" t="s">
        <v>566</v>
      </c>
      <c r="C1922" s="1" t="s">
        <v>175</v>
      </c>
      <c r="D1922" s="1" t="s">
        <v>32</v>
      </c>
      <c r="E1922" s="1" t="s">
        <v>65</v>
      </c>
      <c r="F1922" s="1" t="s">
        <v>25</v>
      </c>
      <c r="G1922" s="2">
        <v>44966</v>
      </c>
      <c r="H1922" s="2">
        <v>44970</v>
      </c>
      <c r="I1922">
        <v>4</v>
      </c>
      <c r="J1922">
        <v>4</v>
      </c>
      <c r="K1922">
        <v>0</v>
      </c>
      <c r="L1922" s="1" t="s">
        <v>26</v>
      </c>
      <c r="M1922">
        <v>43.6</v>
      </c>
      <c r="N1922">
        <v>193917.52</v>
      </c>
      <c r="O1922">
        <v>3839925.13</v>
      </c>
      <c r="P1922">
        <v>460481.62</v>
      </c>
      <c r="Q1922" s="1" t="s">
        <v>6026</v>
      </c>
      <c r="R1922">
        <v>46</v>
      </c>
      <c r="S1922" s="1" t="s">
        <v>6027</v>
      </c>
      <c r="T1922" t="b">
        <v>0</v>
      </c>
    </row>
    <row r="1923" spans="1:20" x14ac:dyDescent="0.25">
      <c r="A1923" s="1" t="s">
        <v>6028</v>
      </c>
      <c r="B1923" s="1" t="s">
        <v>272</v>
      </c>
      <c r="C1923" s="1" t="s">
        <v>1103</v>
      </c>
      <c r="D1923" s="1" t="s">
        <v>56</v>
      </c>
      <c r="E1923" s="1" t="s">
        <v>33</v>
      </c>
      <c r="F1923" s="1" t="s">
        <v>25</v>
      </c>
      <c r="G1923" s="2">
        <v>45014</v>
      </c>
      <c r="H1923" s="2">
        <v>45032</v>
      </c>
      <c r="I1923">
        <v>12</v>
      </c>
      <c r="J1923">
        <v>18</v>
      </c>
      <c r="K1923">
        <v>6</v>
      </c>
      <c r="L1923" s="1" t="s">
        <v>42</v>
      </c>
      <c r="M1923">
        <v>164.1</v>
      </c>
      <c r="N1923">
        <v>466186.57</v>
      </c>
      <c r="O1923">
        <v>2795177.44</v>
      </c>
      <c r="P1923">
        <v>563199.49</v>
      </c>
      <c r="Q1923" s="1" t="s">
        <v>6029</v>
      </c>
      <c r="R1923">
        <v>37</v>
      </c>
      <c r="S1923" s="1" t="s">
        <v>6030</v>
      </c>
      <c r="T1923" t="b">
        <v>0</v>
      </c>
    </row>
    <row r="1924" spans="1:20" x14ac:dyDescent="0.25">
      <c r="A1924" s="1" t="s">
        <v>6031</v>
      </c>
      <c r="B1924" s="1" t="s">
        <v>228</v>
      </c>
      <c r="C1924" s="1" t="s">
        <v>1311</v>
      </c>
      <c r="D1924" s="1" t="s">
        <v>505</v>
      </c>
      <c r="E1924" s="1" t="s">
        <v>33</v>
      </c>
      <c r="F1924" s="1" t="s">
        <v>25</v>
      </c>
      <c r="G1924" s="2">
        <v>44693</v>
      </c>
      <c r="H1924" s="2">
        <v>44700</v>
      </c>
      <c r="I1924">
        <v>12</v>
      </c>
      <c r="J1924">
        <v>7</v>
      </c>
      <c r="K1924">
        <v>0</v>
      </c>
      <c r="L1924" s="1" t="s">
        <v>26</v>
      </c>
      <c r="M1924">
        <v>64.599999999999994</v>
      </c>
      <c r="N1924">
        <v>162310</v>
      </c>
      <c r="O1924">
        <v>2326895.77</v>
      </c>
      <c r="P1924">
        <v>256544.43</v>
      </c>
      <c r="Q1924" s="1" t="s">
        <v>6032</v>
      </c>
      <c r="R1924">
        <v>26</v>
      </c>
      <c r="S1924" s="1" t="s">
        <v>6033</v>
      </c>
      <c r="T1924" t="b">
        <v>0</v>
      </c>
    </row>
    <row r="1925" spans="1:20" x14ac:dyDescent="0.25">
      <c r="A1925" s="1" t="s">
        <v>6034</v>
      </c>
      <c r="B1925" s="1" t="s">
        <v>148</v>
      </c>
      <c r="C1925" s="1" t="s">
        <v>1706</v>
      </c>
      <c r="D1925" s="1" t="s">
        <v>622</v>
      </c>
      <c r="E1925" s="1" t="s">
        <v>65</v>
      </c>
      <c r="F1925" s="1" t="s">
        <v>25</v>
      </c>
      <c r="G1925" s="2">
        <v>44756</v>
      </c>
      <c r="H1925" s="2">
        <v>44761</v>
      </c>
      <c r="I1925">
        <v>4</v>
      </c>
      <c r="J1925">
        <v>5</v>
      </c>
      <c r="K1925">
        <v>0.5</v>
      </c>
      <c r="L1925" s="1" t="s">
        <v>26</v>
      </c>
      <c r="M1925">
        <v>28.6</v>
      </c>
      <c r="N1925">
        <v>124481.54</v>
      </c>
      <c r="O1925">
        <v>4152376.37</v>
      </c>
      <c r="P1925">
        <v>500373.73</v>
      </c>
      <c r="Q1925" s="1" t="s">
        <v>2214</v>
      </c>
      <c r="R1925">
        <v>20</v>
      </c>
      <c r="S1925" s="1" t="s">
        <v>6035</v>
      </c>
      <c r="T1925" t="b">
        <v>0</v>
      </c>
    </row>
    <row r="1926" spans="1:20" x14ac:dyDescent="0.25">
      <c r="A1926" s="1" t="s">
        <v>6036</v>
      </c>
      <c r="B1926" s="1" t="s">
        <v>174</v>
      </c>
      <c r="C1926" s="1" t="s">
        <v>2318</v>
      </c>
      <c r="D1926" s="1" t="s">
        <v>56</v>
      </c>
      <c r="E1926" s="1" t="s">
        <v>41</v>
      </c>
      <c r="F1926" s="1" t="s">
        <v>66</v>
      </c>
      <c r="G1926" s="2">
        <v>44599</v>
      </c>
      <c r="H1926" s="2"/>
      <c r="I1926">
        <v>9</v>
      </c>
      <c r="J1926">
        <v>15</v>
      </c>
      <c r="K1926">
        <v>6</v>
      </c>
      <c r="L1926" s="1" t="s">
        <v>330</v>
      </c>
      <c r="M1926">
        <v>133.4</v>
      </c>
      <c r="N1926">
        <v>446555.62</v>
      </c>
      <c r="O1926">
        <v>3528345.03</v>
      </c>
      <c r="P1926">
        <v>436728.49</v>
      </c>
      <c r="Q1926" s="1" t="s">
        <v>6037</v>
      </c>
      <c r="R1926">
        <v>30</v>
      </c>
      <c r="S1926" s="1" t="s">
        <v>6038</v>
      </c>
      <c r="T1926" t="b">
        <v>1</v>
      </c>
    </row>
    <row r="1927" spans="1:20" x14ac:dyDescent="0.25">
      <c r="A1927" s="1" t="s">
        <v>6039</v>
      </c>
      <c r="B1927" s="1" t="s">
        <v>629</v>
      </c>
      <c r="C1927" s="1" t="s">
        <v>705</v>
      </c>
      <c r="D1927" s="1" t="s">
        <v>181</v>
      </c>
      <c r="E1927" s="1" t="s">
        <v>57</v>
      </c>
      <c r="F1927" s="1" t="s">
        <v>34</v>
      </c>
      <c r="G1927" s="2">
        <v>44895</v>
      </c>
      <c r="H1927" s="2"/>
      <c r="I1927">
        <v>40</v>
      </c>
      <c r="J1927">
        <v>55</v>
      </c>
      <c r="K1927">
        <v>15</v>
      </c>
      <c r="L1927" s="1" t="s">
        <v>330</v>
      </c>
      <c r="M1927">
        <v>837.4</v>
      </c>
      <c r="N1927">
        <v>2240730.37</v>
      </c>
      <c r="O1927">
        <v>4188891.9</v>
      </c>
      <c r="P1927">
        <v>767122.44</v>
      </c>
      <c r="Q1927" s="1" t="s">
        <v>6040</v>
      </c>
      <c r="R1927">
        <v>37</v>
      </c>
      <c r="S1927" s="1" t="s">
        <v>6041</v>
      </c>
      <c r="T1927" t="b">
        <v>1</v>
      </c>
    </row>
    <row r="1928" spans="1:20" x14ac:dyDescent="0.25">
      <c r="A1928" s="1" t="s">
        <v>6042</v>
      </c>
      <c r="B1928" s="1" t="s">
        <v>105</v>
      </c>
      <c r="C1928" s="1" t="s">
        <v>1595</v>
      </c>
      <c r="D1928" s="1" t="s">
        <v>541</v>
      </c>
      <c r="E1928" s="1" t="s">
        <v>65</v>
      </c>
      <c r="F1928" s="1" t="s">
        <v>25</v>
      </c>
      <c r="G1928" s="2">
        <v>45188</v>
      </c>
      <c r="H1928" s="2">
        <v>45191</v>
      </c>
      <c r="I1928">
        <v>4</v>
      </c>
      <c r="J1928">
        <v>3</v>
      </c>
      <c r="K1928">
        <v>0</v>
      </c>
      <c r="L1928" s="1" t="s">
        <v>26</v>
      </c>
      <c r="M1928">
        <v>45.8</v>
      </c>
      <c r="N1928">
        <v>174709.16</v>
      </c>
      <c r="O1928">
        <v>3385047.28</v>
      </c>
      <c r="P1928">
        <v>568071.05000000005</v>
      </c>
      <c r="Q1928" s="1" t="s">
        <v>6043</v>
      </c>
      <c r="R1928">
        <v>30</v>
      </c>
      <c r="S1928" s="1" t="s">
        <v>6044</v>
      </c>
      <c r="T1928" t="b">
        <v>0</v>
      </c>
    </row>
    <row r="1929" spans="1:20" x14ac:dyDescent="0.25">
      <c r="A1929" s="1" t="s">
        <v>6045</v>
      </c>
      <c r="B1929" s="1" t="s">
        <v>158</v>
      </c>
      <c r="C1929" s="1" t="s">
        <v>725</v>
      </c>
      <c r="D1929" s="1" t="s">
        <v>84</v>
      </c>
      <c r="E1929" s="1" t="s">
        <v>49</v>
      </c>
      <c r="F1929" s="1" t="s">
        <v>34</v>
      </c>
      <c r="G1929" s="2">
        <v>45216</v>
      </c>
      <c r="H1929" s="2"/>
      <c r="I1929">
        <v>25</v>
      </c>
      <c r="J1929">
        <v>23</v>
      </c>
      <c r="K1929">
        <v>0</v>
      </c>
      <c r="L1929" s="1" t="s">
        <v>26</v>
      </c>
      <c r="M1929">
        <v>322.39999999999998</v>
      </c>
      <c r="N1929">
        <v>983358.2</v>
      </c>
      <c r="O1929">
        <v>3523580.43</v>
      </c>
      <c r="P1929">
        <v>699550.47</v>
      </c>
      <c r="Q1929" s="1" t="s">
        <v>6046</v>
      </c>
      <c r="R1929">
        <v>54</v>
      </c>
      <c r="S1929" s="1" t="s">
        <v>6047</v>
      </c>
      <c r="T1929" t="b">
        <v>1</v>
      </c>
    </row>
    <row r="1930" spans="1:20" x14ac:dyDescent="0.25">
      <c r="A1930" s="1" t="s">
        <v>6048</v>
      </c>
      <c r="B1930" s="1" t="s">
        <v>122</v>
      </c>
      <c r="C1930" s="1" t="s">
        <v>1164</v>
      </c>
      <c r="D1930" s="1" t="s">
        <v>159</v>
      </c>
      <c r="E1930" s="1" t="s">
        <v>33</v>
      </c>
      <c r="F1930" s="1" t="s">
        <v>25</v>
      </c>
      <c r="G1930" s="2">
        <v>45049</v>
      </c>
      <c r="H1930" s="2">
        <v>45060</v>
      </c>
      <c r="I1930">
        <v>12</v>
      </c>
      <c r="J1930">
        <v>11</v>
      </c>
      <c r="K1930">
        <v>0</v>
      </c>
      <c r="L1930" s="1" t="s">
        <v>26</v>
      </c>
      <c r="M1930">
        <v>149.9</v>
      </c>
      <c r="N1930">
        <v>485802.85</v>
      </c>
      <c r="O1930">
        <v>3989678.19</v>
      </c>
      <c r="P1930">
        <v>450677.84</v>
      </c>
      <c r="Q1930" s="1" t="s">
        <v>6049</v>
      </c>
      <c r="R1930">
        <v>71</v>
      </c>
      <c r="S1930" s="1" t="s">
        <v>6050</v>
      </c>
      <c r="T1930" t="b">
        <v>0</v>
      </c>
    </row>
    <row r="1931" spans="1:20" x14ac:dyDescent="0.25">
      <c r="A1931" s="1" t="s">
        <v>6051</v>
      </c>
      <c r="B1931" s="1" t="s">
        <v>46</v>
      </c>
      <c r="C1931" s="1" t="s">
        <v>1134</v>
      </c>
      <c r="D1931" s="1" t="s">
        <v>758</v>
      </c>
      <c r="E1931" s="1" t="s">
        <v>57</v>
      </c>
      <c r="F1931" s="1" t="s">
        <v>66</v>
      </c>
      <c r="G1931" s="2">
        <v>44830</v>
      </c>
      <c r="H1931" s="2"/>
      <c r="I1931">
        <v>40</v>
      </c>
      <c r="J1931">
        <v>34</v>
      </c>
      <c r="K1931">
        <v>0</v>
      </c>
      <c r="L1931" s="1" t="s">
        <v>26</v>
      </c>
      <c r="M1931">
        <v>286.10000000000002</v>
      </c>
      <c r="N1931">
        <v>1057654.22</v>
      </c>
      <c r="O1931">
        <v>4798525.24</v>
      </c>
      <c r="P1931">
        <v>1035470.49</v>
      </c>
      <c r="Q1931" s="1" t="s">
        <v>1629</v>
      </c>
      <c r="R1931">
        <v>67</v>
      </c>
      <c r="S1931" s="1" t="s">
        <v>6052</v>
      </c>
      <c r="T1931" t="b">
        <v>0</v>
      </c>
    </row>
    <row r="1932" spans="1:20" x14ac:dyDescent="0.25">
      <c r="A1932" s="1" t="s">
        <v>6053</v>
      </c>
      <c r="B1932" s="1" t="s">
        <v>99</v>
      </c>
      <c r="C1932" s="1" t="s">
        <v>186</v>
      </c>
      <c r="D1932" s="1" t="s">
        <v>505</v>
      </c>
      <c r="E1932" s="1" t="s">
        <v>65</v>
      </c>
      <c r="F1932" s="1" t="s">
        <v>25</v>
      </c>
      <c r="G1932" s="2">
        <v>45395</v>
      </c>
      <c r="H1932" s="2">
        <v>45403</v>
      </c>
      <c r="I1932">
        <v>4</v>
      </c>
      <c r="J1932">
        <v>8</v>
      </c>
      <c r="K1932">
        <v>3.5</v>
      </c>
      <c r="L1932" s="1" t="s">
        <v>26</v>
      </c>
      <c r="M1932">
        <v>79.599999999999994</v>
      </c>
      <c r="N1932">
        <v>273793.8</v>
      </c>
      <c r="O1932">
        <v>4264422.4800000004</v>
      </c>
      <c r="P1932">
        <v>502369.09</v>
      </c>
      <c r="Q1932" s="1" t="s">
        <v>2498</v>
      </c>
      <c r="R1932">
        <v>65</v>
      </c>
      <c r="S1932" s="1" t="s">
        <v>6054</v>
      </c>
      <c r="T1932" t="b">
        <v>0</v>
      </c>
    </row>
    <row r="1933" spans="1:20" x14ac:dyDescent="0.25">
      <c r="A1933" s="1" t="s">
        <v>6055</v>
      </c>
      <c r="B1933" s="1" t="s">
        <v>99</v>
      </c>
      <c r="C1933" s="1" t="s">
        <v>2256</v>
      </c>
      <c r="D1933" s="1" t="s">
        <v>713</v>
      </c>
      <c r="E1933" s="1" t="s">
        <v>65</v>
      </c>
      <c r="F1933" s="1" t="s">
        <v>25</v>
      </c>
      <c r="G1933" s="2">
        <v>45240</v>
      </c>
      <c r="H1933" s="2">
        <v>45243</v>
      </c>
      <c r="I1933">
        <v>4</v>
      </c>
      <c r="J1933">
        <v>3</v>
      </c>
      <c r="K1933">
        <v>0</v>
      </c>
      <c r="L1933" s="1" t="s">
        <v>26</v>
      </c>
      <c r="M1933">
        <v>27.9</v>
      </c>
      <c r="N1933">
        <v>69061.100000000006</v>
      </c>
      <c r="O1933">
        <v>3837600.94</v>
      </c>
      <c r="P1933">
        <v>657424.31000000006</v>
      </c>
      <c r="Q1933" s="1" t="s">
        <v>6056</v>
      </c>
      <c r="R1933">
        <v>74</v>
      </c>
      <c r="S1933" s="1" t="s">
        <v>6057</v>
      </c>
      <c r="T1933" t="b">
        <v>0</v>
      </c>
    </row>
    <row r="1934" spans="1:20" x14ac:dyDescent="0.25">
      <c r="A1934" s="1" t="s">
        <v>6058</v>
      </c>
      <c r="B1934" s="1" t="s">
        <v>76</v>
      </c>
      <c r="C1934" s="1" t="s">
        <v>865</v>
      </c>
      <c r="D1934" s="1" t="s">
        <v>293</v>
      </c>
      <c r="E1934" s="1" t="s">
        <v>49</v>
      </c>
      <c r="F1934" s="1" t="s">
        <v>25</v>
      </c>
      <c r="G1934" s="2">
        <v>45648</v>
      </c>
      <c r="H1934" s="2">
        <v>45687</v>
      </c>
      <c r="I1934">
        <v>25</v>
      </c>
      <c r="J1934">
        <v>39</v>
      </c>
      <c r="K1934">
        <v>14</v>
      </c>
      <c r="L1934" s="1" t="s">
        <v>58</v>
      </c>
      <c r="M1934">
        <v>599.9</v>
      </c>
      <c r="N1934">
        <v>2372351.8199999998</v>
      </c>
      <c r="O1934">
        <v>554058.4</v>
      </c>
      <c r="P1934">
        <v>394664.62</v>
      </c>
      <c r="Q1934" s="1" t="s">
        <v>311</v>
      </c>
      <c r="R1934">
        <v>65</v>
      </c>
      <c r="S1934" s="1" t="s">
        <v>6059</v>
      </c>
      <c r="T1934" t="b">
        <v>0</v>
      </c>
    </row>
    <row r="1935" spans="1:20" x14ac:dyDescent="0.25">
      <c r="A1935" s="1" t="s">
        <v>6060</v>
      </c>
      <c r="B1935" s="1" t="s">
        <v>403</v>
      </c>
      <c r="C1935" s="1" t="s">
        <v>2334</v>
      </c>
      <c r="D1935" s="1" t="s">
        <v>192</v>
      </c>
      <c r="E1935" s="1" t="s">
        <v>33</v>
      </c>
      <c r="F1935" s="1" t="s">
        <v>66</v>
      </c>
      <c r="G1935" s="2">
        <v>44686</v>
      </c>
      <c r="H1935" s="2"/>
      <c r="I1935">
        <v>12</v>
      </c>
      <c r="J1935">
        <v>9</v>
      </c>
      <c r="K1935">
        <v>0</v>
      </c>
      <c r="L1935" s="1" t="s">
        <v>26</v>
      </c>
      <c r="M1935">
        <v>65.400000000000006</v>
      </c>
      <c r="N1935">
        <v>194112.56</v>
      </c>
      <c r="O1935">
        <v>3744183.34</v>
      </c>
      <c r="P1935">
        <v>444989.91</v>
      </c>
      <c r="Q1935" s="1" t="s">
        <v>6061</v>
      </c>
      <c r="R1935">
        <v>63</v>
      </c>
      <c r="S1935" s="1" t="s">
        <v>6062</v>
      </c>
      <c r="T1935" t="b">
        <v>0</v>
      </c>
    </row>
    <row r="1936" spans="1:20" x14ac:dyDescent="0.25">
      <c r="A1936" s="1" t="s">
        <v>6063</v>
      </c>
      <c r="B1936" s="1" t="s">
        <v>566</v>
      </c>
      <c r="C1936" s="1" t="s">
        <v>877</v>
      </c>
      <c r="D1936" s="1" t="s">
        <v>216</v>
      </c>
      <c r="E1936" s="1" t="s">
        <v>65</v>
      </c>
      <c r="F1936" s="1" t="s">
        <v>25</v>
      </c>
      <c r="G1936" s="2">
        <v>45137</v>
      </c>
      <c r="H1936" s="2">
        <v>45139</v>
      </c>
      <c r="I1936">
        <v>4</v>
      </c>
      <c r="J1936">
        <v>2</v>
      </c>
      <c r="K1936">
        <v>0</v>
      </c>
      <c r="L1936" s="1" t="s">
        <v>26</v>
      </c>
      <c r="M1936">
        <v>25.9</v>
      </c>
      <c r="N1936">
        <v>97705.45</v>
      </c>
      <c r="O1936">
        <v>2865502.36</v>
      </c>
      <c r="P1936">
        <v>520073.01</v>
      </c>
      <c r="Q1936" s="1" t="s">
        <v>6064</v>
      </c>
      <c r="R1936">
        <v>26</v>
      </c>
      <c r="S1936" s="1" t="s">
        <v>6065</v>
      </c>
      <c r="T1936" t="b">
        <v>0</v>
      </c>
    </row>
    <row r="1937" spans="1:20" x14ac:dyDescent="0.25">
      <c r="A1937" s="1" t="s">
        <v>6066</v>
      </c>
      <c r="B1937" s="1" t="s">
        <v>471</v>
      </c>
      <c r="C1937" s="1" t="s">
        <v>310</v>
      </c>
      <c r="D1937" s="1" t="s">
        <v>56</v>
      </c>
      <c r="E1937" s="1" t="s">
        <v>33</v>
      </c>
      <c r="F1937" s="1" t="s">
        <v>50</v>
      </c>
      <c r="G1937" s="2">
        <v>45368</v>
      </c>
      <c r="H1937" s="2"/>
      <c r="I1937">
        <v>12</v>
      </c>
      <c r="J1937">
        <v>9</v>
      </c>
      <c r="K1937">
        <v>0</v>
      </c>
      <c r="L1937" s="1" t="s">
        <v>26</v>
      </c>
      <c r="M1937">
        <v>58.8</v>
      </c>
      <c r="N1937">
        <v>213282.25</v>
      </c>
      <c r="O1937">
        <v>3743359.71</v>
      </c>
      <c r="P1937">
        <v>744611.6</v>
      </c>
      <c r="Q1937" s="1" t="s">
        <v>5635</v>
      </c>
      <c r="R1937">
        <v>66</v>
      </c>
      <c r="S1937" s="1" t="s">
        <v>6067</v>
      </c>
      <c r="T1937" t="b">
        <v>0</v>
      </c>
    </row>
    <row r="1938" spans="1:20" x14ac:dyDescent="0.25">
      <c r="A1938" s="1" t="s">
        <v>6068</v>
      </c>
      <c r="B1938" s="1" t="s">
        <v>185</v>
      </c>
      <c r="C1938" s="1" t="s">
        <v>1556</v>
      </c>
      <c r="D1938" s="1" t="s">
        <v>315</v>
      </c>
      <c r="E1938" s="1" t="s">
        <v>41</v>
      </c>
      <c r="F1938" s="1" t="s">
        <v>25</v>
      </c>
      <c r="G1938" s="2">
        <v>45611</v>
      </c>
      <c r="H1938" s="2">
        <v>45622</v>
      </c>
      <c r="I1938">
        <v>9</v>
      </c>
      <c r="J1938">
        <v>11</v>
      </c>
      <c r="K1938">
        <v>2</v>
      </c>
      <c r="L1938" s="1" t="s">
        <v>26</v>
      </c>
      <c r="M1938">
        <v>146</v>
      </c>
      <c r="N1938">
        <v>364583.49</v>
      </c>
      <c r="O1938">
        <v>1181911.82</v>
      </c>
      <c r="P1938">
        <v>243631.84</v>
      </c>
      <c r="Q1938" s="1" t="s">
        <v>6069</v>
      </c>
      <c r="R1938">
        <v>20</v>
      </c>
      <c r="S1938" s="1" t="s">
        <v>6070</v>
      </c>
      <c r="T1938" t="b">
        <v>0</v>
      </c>
    </row>
    <row r="1939" spans="1:20" x14ac:dyDescent="0.25">
      <c r="A1939" s="1" t="s">
        <v>6071</v>
      </c>
      <c r="B1939" s="1" t="s">
        <v>117</v>
      </c>
      <c r="C1939" s="1" t="s">
        <v>1394</v>
      </c>
      <c r="D1939" s="1" t="s">
        <v>216</v>
      </c>
      <c r="E1939" s="1" t="s">
        <v>65</v>
      </c>
      <c r="F1939" s="1" t="s">
        <v>66</v>
      </c>
      <c r="G1939" s="2">
        <v>45047</v>
      </c>
      <c r="H1939" s="2"/>
      <c r="I1939">
        <v>4</v>
      </c>
      <c r="J1939">
        <v>5</v>
      </c>
      <c r="K1939">
        <v>0.5</v>
      </c>
      <c r="L1939" s="1" t="s">
        <v>26</v>
      </c>
      <c r="M1939">
        <v>56.9</v>
      </c>
      <c r="N1939">
        <v>253010.88</v>
      </c>
      <c r="O1939">
        <v>4249769.57</v>
      </c>
      <c r="P1939">
        <v>874727.79</v>
      </c>
      <c r="Q1939" s="1" t="s">
        <v>3640</v>
      </c>
      <c r="R1939">
        <v>63</v>
      </c>
      <c r="S1939" s="1" t="s">
        <v>6072</v>
      </c>
      <c r="T1939" t="b">
        <v>0</v>
      </c>
    </row>
    <row r="1940" spans="1:20" x14ac:dyDescent="0.25">
      <c r="A1940" s="1" t="s">
        <v>6073</v>
      </c>
      <c r="B1940" s="1" t="s">
        <v>228</v>
      </c>
      <c r="C1940" s="1" t="s">
        <v>319</v>
      </c>
      <c r="D1940" s="1" t="s">
        <v>315</v>
      </c>
      <c r="E1940" s="1" t="s">
        <v>24</v>
      </c>
      <c r="F1940" s="1" t="s">
        <v>25</v>
      </c>
      <c r="G1940" s="2">
        <v>45196</v>
      </c>
      <c r="H1940" s="2">
        <v>45197</v>
      </c>
      <c r="I1940">
        <v>3</v>
      </c>
      <c r="J1940">
        <v>1</v>
      </c>
      <c r="K1940">
        <v>0</v>
      </c>
      <c r="L1940" s="1" t="s">
        <v>26</v>
      </c>
      <c r="M1940">
        <v>9.4</v>
      </c>
      <c r="N1940">
        <v>31679.24</v>
      </c>
      <c r="O1940">
        <v>4143411.37</v>
      </c>
      <c r="P1940">
        <v>728059.54</v>
      </c>
      <c r="Q1940" s="1" t="s">
        <v>6074</v>
      </c>
      <c r="R1940">
        <v>34</v>
      </c>
      <c r="S1940" s="1" t="s">
        <v>6075</v>
      </c>
      <c r="T1940" t="b">
        <v>0</v>
      </c>
    </row>
    <row r="1941" spans="1:20" x14ac:dyDescent="0.25">
      <c r="A1941" s="1" t="s">
        <v>6076</v>
      </c>
      <c r="B1941" s="1" t="s">
        <v>334</v>
      </c>
      <c r="C1941" s="1" t="s">
        <v>118</v>
      </c>
      <c r="D1941" s="1" t="s">
        <v>181</v>
      </c>
      <c r="E1941" s="1" t="s">
        <v>24</v>
      </c>
      <c r="F1941" s="1" t="s">
        <v>66</v>
      </c>
      <c r="G1941" s="2">
        <v>45487</v>
      </c>
      <c r="H1941" s="2"/>
      <c r="I1941">
        <v>3</v>
      </c>
      <c r="J1941">
        <v>1</v>
      </c>
      <c r="K1941">
        <v>0</v>
      </c>
      <c r="L1941" s="1" t="s">
        <v>26</v>
      </c>
      <c r="M1941">
        <v>12.3</v>
      </c>
      <c r="N1941">
        <v>23169.26</v>
      </c>
      <c r="O1941">
        <v>4003657.61</v>
      </c>
      <c r="P1941">
        <v>507024.04</v>
      </c>
      <c r="Q1941" s="1" t="s">
        <v>6077</v>
      </c>
      <c r="R1941">
        <v>59</v>
      </c>
      <c r="S1941" s="1" t="s">
        <v>6078</v>
      </c>
      <c r="T1941" t="b">
        <v>0</v>
      </c>
    </row>
    <row r="1942" spans="1:20" x14ac:dyDescent="0.25">
      <c r="A1942" s="1" t="s">
        <v>6079</v>
      </c>
      <c r="B1942" s="1" t="s">
        <v>38</v>
      </c>
      <c r="C1942" s="1" t="s">
        <v>1311</v>
      </c>
      <c r="D1942" s="1" t="s">
        <v>159</v>
      </c>
      <c r="E1942" s="1" t="s">
        <v>65</v>
      </c>
      <c r="F1942" s="1" t="s">
        <v>50</v>
      </c>
      <c r="G1942" s="2">
        <v>44672</v>
      </c>
      <c r="H1942" s="2"/>
      <c r="I1942">
        <v>4</v>
      </c>
      <c r="J1942">
        <v>7</v>
      </c>
      <c r="K1942">
        <v>2.5</v>
      </c>
      <c r="L1942" s="1" t="s">
        <v>26</v>
      </c>
      <c r="M1942">
        <v>58.6</v>
      </c>
      <c r="N1942">
        <v>240769.5</v>
      </c>
      <c r="O1942">
        <v>2257692.9300000002</v>
      </c>
      <c r="P1942">
        <v>438811.93</v>
      </c>
      <c r="Q1942" s="1" t="s">
        <v>635</v>
      </c>
      <c r="R1942">
        <v>44</v>
      </c>
      <c r="S1942" s="1" t="s">
        <v>6080</v>
      </c>
      <c r="T1942" t="b">
        <v>0</v>
      </c>
    </row>
    <row r="1943" spans="1:20" x14ac:dyDescent="0.25">
      <c r="A1943" s="1" t="s">
        <v>6081</v>
      </c>
      <c r="B1943" s="1" t="s">
        <v>148</v>
      </c>
      <c r="C1943" s="1" t="s">
        <v>77</v>
      </c>
      <c r="D1943" s="1" t="s">
        <v>216</v>
      </c>
      <c r="E1943" s="1" t="s">
        <v>24</v>
      </c>
      <c r="F1943" s="1" t="s">
        <v>50</v>
      </c>
      <c r="G1943" s="2">
        <v>45639</v>
      </c>
      <c r="H1943" s="2"/>
      <c r="I1943">
        <v>3</v>
      </c>
      <c r="J1943">
        <v>2</v>
      </c>
      <c r="K1943">
        <v>0</v>
      </c>
      <c r="L1943" s="1" t="s">
        <v>26</v>
      </c>
      <c r="M1943">
        <v>31.8</v>
      </c>
      <c r="N1943">
        <v>115383.58</v>
      </c>
      <c r="O1943">
        <v>2449140.4900000002</v>
      </c>
      <c r="P1943">
        <v>501427.32</v>
      </c>
      <c r="Q1943" s="1" t="s">
        <v>6082</v>
      </c>
      <c r="R1943">
        <v>44</v>
      </c>
      <c r="S1943" s="1" t="s">
        <v>6083</v>
      </c>
      <c r="T1943" t="b">
        <v>1</v>
      </c>
    </row>
    <row r="1944" spans="1:20" x14ac:dyDescent="0.25">
      <c r="A1944" s="1" t="s">
        <v>6084</v>
      </c>
      <c r="B1944" s="1" t="s">
        <v>111</v>
      </c>
      <c r="C1944" s="1" t="s">
        <v>594</v>
      </c>
      <c r="D1944" s="1" t="s">
        <v>758</v>
      </c>
      <c r="E1944" s="1" t="s">
        <v>24</v>
      </c>
      <c r="F1944" s="1" t="s">
        <v>34</v>
      </c>
      <c r="G1944" s="2">
        <v>44957</v>
      </c>
      <c r="H1944" s="2"/>
      <c r="I1944">
        <v>3</v>
      </c>
      <c r="J1944">
        <v>1</v>
      </c>
      <c r="K1944">
        <v>0</v>
      </c>
      <c r="L1944" s="1" t="s">
        <v>26</v>
      </c>
      <c r="M1944">
        <v>11.7</v>
      </c>
      <c r="N1944">
        <v>21142.58</v>
      </c>
      <c r="O1944">
        <v>2544226.7200000002</v>
      </c>
      <c r="P1944">
        <v>312439.40999999997</v>
      </c>
      <c r="Q1944" s="1" t="s">
        <v>6085</v>
      </c>
      <c r="R1944">
        <v>38</v>
      </c>
      <c r="S1944" s="1" t="s">
        <v>6086</v>
      </c>
      <c r="T1944" t="b">
        <v>1</v>
      </c>
    </row>
    <row r="1945" spans="1:20" x14ac:dyDescent="0.25">
      <c r="A1945" s="1" t="s">
        <v>6087</v>
      </c>
      <c r="B1945" s="1" t="s">
        <v>158</v>
      </c>
      <c r="C1945" s="1" t="s">
        <v>646</v>
      </c>
      <c r="D1945" s="1" t="s">
        <v>297</v>
      </c>
      <c r="E1945" s="1" t="s">
        <v>57</v>
      </c>
      <c r="F1945" s="1" t="s">
        <v>25</v>
      </c>
      <c r="G1945" s="2">
        <v>45045</v>
      </c>
      <c r="H1945" s="2">
        <v>45102</v>
      </c>
      <c r="I1945">
        <v>40</v>
      </c>
      <c r="J1945">
        <v>57</v>
      </c>
      <c r="K1945">
        <v>17</v>
      </c>
      <c r="L1945" s="1" t="s">
        <v>193</v>
      </c>
      <c r="M1945">
        <v>630.1</v>
      </c>
      <c r="N1945">
        <v>1712726.74</v>
      </c>
      <c r="O1945">
        <v>4770137.18</v>
      </c>
      <c r="P1945">
        <v>864185.64</v>
      </c>
      <c r="Q1945" s="1" t="s">
        <v>6088</v>
      </c>
      <c r="R1945">
        <v>72</v>
      </c>
      <c r="S1945" s="1" t="s">
        <v>6089</v>
      </c>
      <c r="T1945" t="b">
        <v>0</v>
      </c>
    </row>
    <row r="1946" spans="1:20" x14ac:dyDescent="0.25">
      <c r="A1946" s="1" t="s">
        <v>6090</v>
      </c>
      <c r="B1946" s="1" t="s">
        <v>566</v>
      </c>
      <c r="C1946" s="1" t="s">
        <v>191</v>
      </c>
      <c r="D1946" s="1" t="s">
        <v>513</v>
      </c>
      <c r="E1946" s="1" t="s">
        <v>57</v>
      </c>
      <c r="F1946" s="1" t="s">
        <v>25</v>
      </c>
      <c r="G1946" s="2">
        <v>45207</v>
      </c>
      <c r="H1946" s="2">
        <v>45256</v>
      </c>
      <c r="I1946">
        <v>40</v>
      </c>
      <c r="J1946">
        <v>49</v>
      </c>
      <c r="K1946">
        <v>9</v>
      </c>
      <c r="L1946" s="1" t="s">
        <v>330</v>
      </c>
      <c r="M1946">
        <v>335.9</v>
      </c>
      <c r="N1946">
        <v>1234352.06</v>
      </c>
      <c r="O1946">
        <v>3557566.65</v>
      </c>
      <c r="P1946">
        <v>866791.98</v>
      </c>
      <c r="Q1946" s="1" t="s">
        <v>6091</v>
      </c>
      <c r="R1946">
        <v>28</v>
      </c>
      <c r="S1946" s="1" t="s">
        <v>6092</v>
      </c>
      <c r="T1946" t="b">
        <v>1</v>
      </c>
    </row>
    <row r="1947" spans="1:20" x14ac:dyDescent="0.25">
      <c r="A1947" s="1" t="s">
        <v>6093</v>
      </c>
      <c r="B1947" s="1" t="s">
        <v>545</v>
      </c>
      <c r="C1947" s="1" t="s">
        <v>3385</v>
      </c>
      <c r="D1947" s="1" t="s">
        <v>622</v>
      </c>
      <c r="E1947" s="1" t="s">
        <v>24</v>
      </c>
      <c r="F1947" s="1" t="s">
        <v>25</v>
      </c>
      <c r="G1947" s="2">
        <v>45065</v>
      </c>
      <c r="H1947" s="2">
        <v>45069</v>
      </c>
      <c r="I1947">
        <v>3</v>
      </c>
      <c r="J1947">
        <v>4</v>
      </c>
      <c r="K1947">
        <v>1</v>
      </c>
      <c r="L1947" s="1" t="s">
        <v>26</v>
      </c>
      <c r="M1947">
        <v>19.600000000000001</v>
      </c>
      <c r="N1947">
        <v>57711.78</v>
      </c>
      <c r="O1947">
        <v>3065747.35</v>
      </c>
      <c r="P1947">
        <v>589156.18999999994</v>
      </c>
      <c r="Q1947" s="1" t="s">
        <v>6094</v>
      </c>
      <c r="R1947">
        <v>64</v>
      </c>
      <c r="S1947" s="1" t="s">
        <v>6095</v>
      </c>
      <c r="T1947" t="b">
        <v>0</v>
      </c>
    </row>
    <row r="1948" spans="1:20" x14ac:dyDescent="0.25">
      <c r="A1948" s="1" t="s">
        <v>6096</v>
      </c>
      <c r="B1948" s="1" t="s">
        <v>348</v>
      </c>
      <c r="C1948" s="1" t="s">
        <v>1591</v>
      </c>
      <c r="D1948" s="1" t="s">
        <v>84</v>
      </c>
      <c r="E1948" s="1" t="s">
        <v>57</v>
      </c>
      <c r="F1948" s="1" t="s">
        <v>25</v>
      </c>
      <c r="G1948" s="2">
        <v>44647</v>
      </c>
      <c r="H1948" s="2">
        <v>44669</v>
      </c>
      <c r="I1948">
        <v>40</v>
      </c>
      <c r="J1948">
        <v>22</v>
      </c>
      <c r="K1948">
        <v>0</v>
      </c>
      <c r="L1948" s="1" t="s">
        <v>26</v>
      </c>
      <c r="M1948">
        <v>196.5</v>
      </c>
      <c r="N1948">
        <v>603198.30000000005</v>
      </c>
      <c r="O1948">
        <v>377478.09</v>
      </c>
      <c r="P1948">
        <v>139069.39000000001</v>
      </c>
      <c r="Q1948" s="1" t="s">
        <v>3634</v>
      </c>
      <c r="R1948">
        <v>71</v>
      </c>
      <c r="S1948" s="1" t="s">
        <v>6097</v>
      </c>
      <c r="T1948" t="b">
        <v>0</v>
      </c>
    </row>
    <row r="1949" spans="1:20" x14ac:dyDescent="0.25">
      <c r="A1949" s="1" t="s">
        <v>6098</v>
      </c>
      <c r="B1949" s="1" t="s">
        <v>272</v>
      </c>
      <c r="C1949" s="1" t="s">
        <v>1126</v>
      </c>
      <c r="D1949" s="1" t="s">
        <v>758</v>
      </c>
      <c r="E1949" s="1" t="s">
        <v>33</v>
      </c>
      <c r="F1949" s="1" t="s">
        <v>50</v>
      </c>
      <c r="G1949" s="2">
        <v>45364</v>
      </c>
      <c r="H1949" s="2"/>
      <c r="I1949">
        <v>12</v>
      </c>
      <c r="J1949">
        <v>8</v>
      </c>
      <c r="K1949">
        <v>0</v>
      </c>
      <c r="L1949" s="1" t="s">
        <v>26</v>
      </c>
      <c r="M1949">
        <v>42.3</v>
      </c>
      <c r="N1949">
        <v>140522.28</v>
      </c>
      <c r="O1949">
        <v>4636586.03</v>
      </c>
      <c r="P1949">
        <v>762935.46</v>
      </c>
      <c r="Q1949" s="1" t="s">
        <v>6099</v>
      </c>
      <c r="R1949">
        <v>21</v>
      </c>
      <c r="S1949" s="1" t="s">
        <v>6100</v>
      </c>
      <c r="T1949" t="b">
        <v>0</v>
      </c>
    </row>
    <row r="1950" spans="1:20" x14ac:dyDescent="0.25">
      <c r="A1950" s="1" t="s">
        <v>6101</v>
      </c>
      <c r="B1950" s="1" t="s">
        <v>128</v>
      </c>
      <c r="C1950" s="1" t="s">
        <v>153</v>
      </c>
      <c r="D1950" s="1" t="s">
        <v>238</v>
      </c>
      <c r="E1950" s="1" t="s">
        <v>33</v>
      </c>
      <c r="F1950" s="1" t="s">
        <v>25</v>
      </c>
      <c r="G1950" s="2">
        <v>45391</v>
      </c>
      <c r="H1950" s="2">
        <v>45399</v>
      </c>
      <c r="I1950">
        <v>12</v>
      </c>
      <c r="J1950">
        <v>8</v>
      </c>
      <c r="K1950">
        <v>0</v>
      </c>
      <c r="L1950" s="1" t="s">
        <v>26</v>
      </c>
      <c r="M1950">
        <v>115.5</v>
      </c>
      <c r="N1950">
        <v>490545.81</v>
      </c>
      <c r="O1950">
        <v>2709691.71</v>
      </c>
      <c r="P1950">
        <v>395823.07</v>
      </c>
      <c r="Q1950" s="1" t="s">
        <v>6102</v>
      </c>
      <c r="R1950">
        <v>46</v>
      </c>
      <c r="S1950" s="1" t="s">
        <v>6103</v>
      </c>
      <c r="T1950" t="b">
        <v>0</v>
      </c>
    </row>
    <row r="1951" spans="1:20" x14ac:dyDescent="0.25">
      <c r="A1951" s="1" t="s">
        <v>6104</v>
      </c>
      <c r="B1951" s="1" t="s">
        <v>76</v>
      </c>
      <c r="C1951" s="1" t="s">
        <v>1949</v>
      </c>
      <c r="D1951" s="1" t="s">
        <v>595</v>
      </c>
      <c r="E1951" s="1" t="s">
        <v>41</v>
      </c>
      <c r="F1951" s="1" t="s">
        <v>25</v>
      </c>
      <c r="G1951" s="2">
        <v>45070</v>
      </c>
      <c r="H1951" s="2">
        <v>45077</v>
      </c>
      <c r="I1951">
        <v>9</v>
      </c>
      <c r="J1951">
        <v>7</v>
      </c>
      <c r="K1951">
        <v>0</v>
      </c>
      <c r="L1951" s="1" t="s">
        <v>26</v>
      </c>
      <c r="M1951">
        <v>59.2</v>
      </c>
      <c r="N1951">
        <v>158322.91</v>
      </c>
      <c r="O1951">
        <v>4698493.0999999996</v>
      </c>
      <c r="P1951">
        <v>767684.03</v>
      </c>
      <c r="Q1951" s="1" t="s">
        <v>6105</v>
      </c>
      <c r="R1951">
        <v>20</v>
      </c>
      <c r="S1951" s="1" t="s">
        <v>6106</v>
      </c>
      <c r="T1951" t="b">
        <v>0</v>
      </c>
    </row>
    <row r="1952" spans="1:20" x14ac:dyDescent="0.25">
      <c r="A1952" s="1" t="s">
        <v>6107</v>
      </c>
      <c r="B1952" s="1" t="s">
        <v>566</v>
      </c>
      <c r="C1952" s="1" t="s">
        <v>2185</v>
      </c>
      <c r="D1952" s="1" t="s">
        <v>144</v>
      </c>
      <c r="E1952" s="1" t="s">
        <v>65</v>
      </c>
      <c r="F1952" s="1" t="s">
        <v>50</v>
      </c>
      <c r="G1952" s="2">
        <v>45582</v>
      </c>
      <c r="H1952" s="2"/>
      <c r="I1952">
        <v>4</v>
      </c>
      <c r="J1952">
        <v>5</v>
      </c>
      <c r="K1952">
        <v>0.5</v>
      </c>
      <c r="L1952" s="1" t="s">
        <v>26</v>
      </c>
      <c r="M1952">
        <v>75.400000000000006</v>
      </c>
      <c r="N1952">
        <v>179772.17</v>
      </c>
      <c r="O1952">
        <v>3234368.37</v>
      </c>
      <c r="P1952">
        <v>508078.27</v>
      </c>
      <c r="Q1952" s="1" t="s">
        <v>2411</v>
      </c>
      <c r="R1952">
        <v>63</v>
      </c>
      <c r="S1952" s="1" t="s">
        <v>6108</v>
      </c>
      <c r="T1952" t="b">
        <v>0</v>
      </c>
    </row>
    <row r="1953" spans="1:20" x14ac:dyDescent="0.25">
      <c r="A1953" s="1" t="s">
        <v>6109</v>
      </c>
      <c r="B1953" s="1" t="s">
        <v>471</v>
      </c>
      <c r="C1953" s="1" t="s">
        <v>2232</v>
      </c>
      <c r="D1953" s="1" t="s">
        <v>48</v>
      </c>
      <c r="E1953" s="1" t="s">
        <v>33</v>
      </c>
      <c r="F1953" s="1" t="s">
        <v>66</v>
      </c>
      <c r="G1953" s="2">
        <v>44634</v>
      </c>
      <c r="H1953" s="2"/>
      <c r="I1953">
        <v>12</v>
      </c>
      <c r="J1953">
        <v>8</v>
      </c>
      <c r="K1953">
        <v>0</v>
      </c>
      <c r="L1953" s="1" t="s">
        <v>26</v>
      </c>
      <c r="M1953">
        <v>98.7</v>
      </c>
      <c r="N1953">
        <v>397463.57</v>
      </c>
      <c r="O1953">
        <v>2007533.88</v>
      </c>
      <c r="P1953">
        <v>331175.28000000003</v>
      </c>
      <c r="Q1953" s="1" t="s">
        <v>6110</v>
      </c>
      <c r="R1953">
        <v>79</v>
      </c>
      <c r="S1953" s="1" t="s">
        <v>6111</v>
      </c>
      <c r="T1953" t="b">
        <v>1</v>
      </c>
    </row>
    <row r="1954" spans="1:20" x14ac:dyDescent="0.25">
      <c r="A1954" s="1" t="s">
        <v>6112</v>
      </c>
      <c r="B1954" s="1" t="s">
        <v>566</v>
      </c>
      <c r="C1954" s="1" t="s">
        <v>22</v>
      </c>
      <c r="D1954" s="1" t="s">
        <v>595</v>
      </c>
      <c r="E1954" s="1" t="s">
        <v>41</v>
      </c>
      <c r="F1954" s="1" t="s">
        <v>25</v>
      </c>
      <c r="G1954" s="2">
        <v>44938</v>
      </c>
      <c r="H1954" s="2">
        <v>44943</v>
      </c>
      <c r="I1954">
        <v>9</v>
      </c>
      <c r="J1954">
        <v>5</v>
      </c>
      <c r="K1954">
        <v>0</v>
      </c>
      <c r="L1954" s="1" t="s">
        <v>26</v>
      </c>
      <c r="M1954">
        <v>23.7</v>
      </c>
      <c r="N1954">
        <v>71079.41</v>
      </c>
      <c r="O1954">
        <v>4744998.8099999996</v>
      </c>
      <c r="P1954">
        <v>807432.17</v>
      </c>
      <c r="Q1954" s="1" t="s">
        <v>6113</v>
      </c>
      <c r="R1954">
        <v>61</v>
      </c>
      <c r="S1954" s="1" t="s">
        <v>6114</v>
      </c>
      <c r="T1954" t="b">
        <v>0</v>
      </c>
    </row>
    <row r="1955" spans="1:20" x14ac:dyDescent="0.25">
      <c r="A1955" s="1" t="s">
        <v>6115</v>
      </c>
      <c r="B1955" s="1" t="s">
        <v>138</v>
      </c>
      <c r="C1955" s="1" t="s">
        <v>677</v>
      </c>
      <c r="D1955" s="1" t="s">
        <v>595</v>
      </c>
      <c r="E1955" s="1" t="s">
        <v>41</v>
      </c>
      <c r="F1955" s="1" t="s">
        <v>25</v>
      </c>
      <c r="G1955" s="2">
        <v>44610</v>
      </c>
      <c r="H1955" s="2">
        <v>44618</v>
      </c>
      <c r="I1955">
        <v>9</v>
      </c>
      <c r="J1955">
        <v>8</v>
      </c>
      <c r="K1955">
        <v>0</v>
      </c>
      <c r="L1955" s="1" t="s">
        <v>26</v>
      </c>
      <c r="M1955">
        <v>97.1</v>
      </c>
      <c r="N1955">
        <v>220041.93</v>
      </c>
      <c r="O1955">
        <v>288526.51</v>
      </c>
      <c r="P1955">
        <v>80558.19</v>
      </c>
      <c r="Q1955" s="1" t="s">
        <v>5084</v>
      </c>
      <c r="R1955">
        <v>58</v>
      </c>
      <c r="S1955" s="1" t="s">
        <v>6116</v>
      </c>
      <c r="T1955" t="b">
        <v>0</v>
      </c>
    </row>
    <row r="1956" spans="1:20" x14ac:dyDescent="0.25">
      <c r="A1956" s="1" t="s">
        <v>6117</v>
      </c>
      <c r="B1956" s="1" t="s">
        <v>82</v>
      </c>
      <c r="C1956" s="1" t="s">
        <v>873</v>
      </c>
      <c r="D1956" s="1" t="s">
        <v>420</v>
      </c>
      <c r="E1956" s="1" t="s">
        <v>33</v>
      </c>
      <c r="F1956" s="1" t="s">
        <v>25</v>
      </c>
      <c r="G1956" s="2">
        <v>44897</v>
      </c>
      <c r="H1956" s="2">
        <v>44905</v>
      </c>
      <c r="I1956">
        <v>12</v>
      </c>
      <c r="J1956">
        <v>8</v>
      </c>
      <c r="K1956">
        <v>0</v>
      </c>
      <c r="L1956" s="1" t="s">
        <v>26</v>
      </c>
      <c r="M1956">
        <v>101.9</v>
      </c>
      <c r="N1956">
        <v>335080.74</v>
      </c>
      <c r="O1956">
        <v>976250.58</v>
      </c>
      <c r="P1956">
        <v>162299.63</v>
      </c>
      <c r="Q1956" s="1" t="s">
        <v>6118</v>
      </c>
      <c r="R1956">
        <v>78</v>
      </c>
      <c r="S1956" s="1" t="s">
        <v>6119</v>
      </c>
      <c r="T1956" t="b">
        <v>0</v>
      </c>
    </row>
    <row r="1957" spans="1:20" x14ac:dyDescent="0.25">
      <c r="A1957" s="1" t="s">
        <v>6120</v>
      </c>
      <c r="B1957" s="1" t="s">
        <v>99</v>
      </c>
      <c r="C1957" s="1" t="s">
        <v>877</v>
      </c>
      <c r="D1957" s="1" t="s">
        <v>48</v>
      </c>
      <c r="E1957" s="1" t="s">
        <v>33</v>
      </c>
      <c r="F1957" s="1" t="s">
        <v>25</v>
      </c>
      <c r="G1957" s="2">
        <v>44862</v>
      </c>
      <c r="H1957" s="2">
        <v>44873</v>
      </c>
      <c r="I1957">
        <v>12</v>
      </c>
      <c r="J1957">
        <v>11</v>
      </c>
      <c r="K1957">
        <v>0</v>
      </c>
      <c r="L1957" s="1" t="s">
        <v>26</v>
      </c>
      <c r="M1957">
        <v>73.599999999999994</v>
      </c>
      <c r="N1957">
        <v>227941.9</v>
      </c>
      <c r="O1957">
        <v>806480.91</v>
      </c>
      <c r="P1957">
        <v>198572.38</v>
      </c>
      <c r="Q1957" s="1" t="s">
        <v>6121</v>
      </c>
      <c r="R1957">
        <v>29</v>
      </c>
      <c r="S1957" s="1" t="s">
        <v>6122</v>
      </c>
      <c r="T1957" t="b">
        <v>1</v>
      </c>
    </row>
    <row r="1958" spans="1:20" x14ac:dyDescent="0.25">
      <c r="A1958" s="1" t="s">
        <v>6123</v>
      </c>
      <c r="B1958" s="1" t="s">
        <v>122</v>
      </c>
      <c r="C1958" s="1" t="s">
        <v>725</v>
      </c>
      <c r="D1958" s="1" t="s">
        <v>359</v>
      </c>
      <c r="E1958" s="1" t="s">
        <v>65</v>
      </c>
      <c r="F1958" s="1" t="s">
        <v>34</v>
      </c>
      <c r="G1958" s="2">
        <v>45510</v>
      </c>
      <c r="H1958" s="2"/>
      <c r="I1958">
        <v>4</v>
      </c>
      <c r="J1958">
        <v>5</v>
      </c>
      <c r="K1958">
        <v>0.5</v>
      </c>
      <c r="L1958" s="1" t="s">
        <v>26</v>
      </c>
      <c r="M1958">
        <v>30.9</v>
      </c>
      <c r="N1958">
        <v>120645.66</v>
      </c>
      <c r="O1958">
        <v>1584627.08</v>
      </c>
      <c r="P1958">
        <v>276329.65000000002</v>
      </c>
      <c r="Q1958" s="1" t="s">
        <v>6124</v>
      </c>
      <c r="R1958">
        <v>30</v>
      </c>
      <c r="S1958" s="1" t="s">
        <v>6125</v>
      </c>
      <c r="T1958" t="b">
        <v>1</v>
      </c>
    </row>
    <row r="1959" spans="1:20" x14ac:dyDescent="0.25">
      <c r="A1959" s="1" t="s">
        <v>6126</v>
      </c>
      <c r="B1959" s="1" t="s">
        <v>174</v>
      </c>
      <c r="C1959" s="1" t="s">
        <v>2485</v>
      </c>
      <c r="D1959" s="1" t="s">
        <v>420</v>
      </c>
      <c r="E1959" s="1" t="s">
        <v>65</v>
      </c>
      <c r="F1959" s="1" t="s">
        <v>25</v>
      </c>
      <c r="G1959" s="2">
        <v>44689</v>
      </c>
      <c r="H1959" s="2">
        <v>44692</v>
      </c>
      <c r="I1959">
        <v>4</v>
      </c>
      <c r="J1959">
        <v>3</v>
      </c>
      <c r="K1959">
        <v>0</v>
      </c>
      <c r="L1959" s="1" t="s">
        <v>26</v>
      </c>
      <c r="M1959">
        <v>17.7</v>
      </c>
      <c r="N1959">
        <v>63412.57</v>
      </c>
      <c r="O1959">
        <v>4154668.01</v>
      </c>
      <c r="P1959">
        <v>737021.28</v>
      </c>
      <c r="Q1959" s="1" t="s">
        <v>2003</v>
      </c>
      <c r="R1959">
        <v>55</v>
      </c>
      <c r="S1959" s="1" t="s">
        <v>6127</v>
      </c>
      <c r="T1959" t="b">
        <v>1</v>
      </c>
    </row>
    <row r="1960" spans="1:20" x14ac:dyDescent="0.25">
      <c r="A1960" s="1" t="s">
        <v>6128</v>
      </c>
      <c r="B1960" s="1" t="s">
        <v>185</v>
      </c>
      <c r="C1960" s="1" t="s">
        <v>1497</v>
      </c>
      <c r="D1960" s="1" t="s">
        <v>336</v>
      </c>
      <c r="E1960" s="1" t="s">
        <v>24</v>
      </c>
      <c r="F1960" s="1" t="s">
        <v>25</v>
      </c>
      <c r="G1960" s="2">
        <v>45158</v>
      </c>
      <c r="H1960" s="2">
        <v>45162</v>
      </c>
      <c r="I1960">
        <v>3</v>
      </c>
      <c r="J1960">
        <v>4</v>
      </c>
      <c r="K1960">
        <v>1</v>
      </c>
      <c r="L1960" s="1" t="s">
        <v>26</v>
      </c>
      <c r="M1960">
        <v>33.6</v>
      </c>
      <c r="N1960">
        <v>113060.39</v>
      </c>
      <c r="O1960">
        <v>695397.5</v>
      </c>
      <c r="P1960">
        <v>152074.1</v>
      </c>
      <c r="Q1960" s="1" t="s">
        <v>6129</v>
      </c>
      <c r="R1960">
        <v>64</v>
      </c>
      <c r="S1960" s="1" t="s">
        <v>6130</v>
      </c>
      <c r="T1960" t="b">
        <v>1</v>
      </c>
    </row>
    <row r="1961" spans="1:20" x14ac:dyDescent="0.25">
      <c r="A1961" s="1" t="s">
        <v>6131</v>
      </c>
      <c r="B1961" s="1" t="s">
        <v>99</v>
      </c>
      <c r="C1961" s="1" t="s">
        <v>77</v>
      </c>
      <c r="D1961" s="1" t="s">
        <v>410</v>
      </c>
      <c r="E1961" s="1" t="s">
        <v>24</v>
      </c>
      <c r="F1961" s="1" t="s">
        <v>25</v>
      </c>
      <c r="G1961" s="2">
        <v>45435</v>
      </c>
      <c r="H1961" s="2">
        <v>45437</v>
      </c>
      <c r="I1961">
        <v>3</v>
      </c>
      <c r="J1961">
        <v>2</v>
      </c>
      <c r="K1961">
        <v>0</v>
      </c>
      <c r="L1961" s="1" t="s">
        <v>26</v>
      </c>
      <c r="M1961">
        <v>24.7</v>
      </c>
      <c r="N1961">
        <v>61603.97</v>
      </c>
      <c r="O1961">
        <v>4084682.4</v>
      </c>
      <c r="P1961">
        <v>556697.51</v>
      </c>
      <c r="Q1961" s="1" t="s">
        <v>2250</v>
      </c>
      <c r="R1961">
        <v>36</v>
      </c>
      <c r="S1961" s="1" t="s">
        <v>6132</v>
      </c>
      <c r="T1961" t="b">
        <v>0</v>
      </c>
    </row>
    <row r="1962" spans="1:20" x14ac:dyDescent="0.25">
      <c r="A1962" s="1" t="s">
        <v>6133</v>
      </c>
      <c r="B1962" s="1" t="s">
        <v>418</v>
      </c>
      <c r="C1962" s="1" t="s">
        <v>191</v>
      </c>
      <c r="D1962" s="1" t="s">
        <v>595</v>
      </c>
      <c r="E1962" s="1" t="s">
        <v>49</v>
      </c>
      <c r="F1962" s="1" t="s">
        <v>66</v>
      </c>
      <c r="G1962" s="2">
        <v>45575</v>
      </c>
      <c r="H1962" s="2"/>
      <c r="I1962">
        <v>25</v>
      </c>
      <c r="J1962">
        <v>18</v>
      </c>
      <c r="K1962">
        <v>0</v>
      </c>
      <c r="L1962" s="1" t="s">
        <v>26</v>
      </c>
      <c r="M1962">
        <v>75</v>
      </c>
      <c r="N1962">
        <v>135729.71</v>
      </c>
      <c r="O1962">
        <v>3487420.99</v>
      </c>
      <c r="P1962">
        <v>581876.47999999998</v>
      </c>
      <c r="Q1962" s="1" t="s">
        <v>6134</v>
      </c>
      <c r="R1962">
        <v>25</v>
      </c>
      <c r="S1962" s="1" t="s">
        <v>6135</v>
      </c>
      <c r="T1962" t="b">
        <v>1</v>
      </c>
    </row>
    <row r="1963" spans="1:20" x14ac:dyDescent="0.25">
      <c r="A1963" s="1" t="s">
        <v>6136</v>
      </c>
      <c r="B1963" s="1" t="s">
        <v>334</v>
      </c>
      <c r="C1963" s="1" t="s">
        <v>946</v>
      </c>
      <c r="D1963" s="1" t="s">
        <v>713</v>
      </c>
      <c r="E1963" s="1" t="s">
        <v>49</v>
      </c>
      <c r="F1963" s="1" t="s">
        <v>66</v>
      </c>
      <c r="G1963" s="2">
        <v>45614</v>
      </c>
      <c r="H1963" s="2"/>
      <c r="I1963">
        <v>25</v>
      </c>
      <c r="J1963">
        <v>24</v>
      </c>
      <c r="K1963">
        <v>0</v>
      </c>
      <c r="L1963" s="1" t="s">
        <v>26</v>
      </c>
      <c r="M1963">
        <v>370.6</v>
      </c>
      <c r="N1963">
        <v>820328.13</v>
      </c>
      <c r="O1963">
        <v>1538511.4</v>
      </c>
      <c r="P1963">
        <v>329974.65000000002</v>
      </c>
      <c r="Q1963" s="1" t="s">
        <v>6137</v>
      </c>
      <c r="R1963">
        <v>45</v>
      </c>
      <c r="S1963" s="1" t="s">
        <v>6138</v>
      </c>
      <c r="T1963" t="b">
        <v>1</v>
      </c>
    </row>
    <row r="1964" spans="1:20" x14ac:dyDescent="0.25">
      <c r="A1964" s="1" t="s">
        <v>6139</v>
      </c>
      <c r="B1964" s="1" t="s">
        <v>228</v>
      </c>
      <c r="C1964" s="1" t="s">
        <v>349</v>
      </c>
      <c r="D1964" s="1" t="s">
        <v>124</v>
      </c>
      <c r="E1964" s="1" t="s">
        <v>24</v>
      </c>
      <c r="F1964" s="1" t="s">
        <v>25</v>
      </c>
      <c r="G1964" s="2">
        <v>45335</v>
      </c>
      <c r="H1964" s="2">
        <v>45339</v>
      </c>
      <c r="I1964">
        <v>3</v>
      </c>
      <c r="J1964">
        <v>4</v>
      </c>
      <c r="K1964">
        <v>1</v>
      </c>
      <c r="L1964" s="1" t="s">
        <v>26</v>
      </c>
      <c r="M1964">
        <v>17.3</v>
      </c>
      <c r="N1964">
        <v>47096.14</v>
      </c>
      <c r="O1964">
        <v>4329776.8</v>
      </c>
      <c r="P1964">
        <v>470308.92</v>
      </c>
      <c r="Q1964" s="1" t="s">
        <v>6140</v>
      </c>
      <c r="R1964">
        <v>65</v>
      </c>
      <c r="S1964" s="1" t="s">
        <v>6141</v>
      </c>
      <c r="T1964" t="b">
        <v>0</v>
      </c>
    </row>
    <row r="1965" spans="1:20" x14ac:dyDescent="0.25">
      <c r="A1965" s="1" t="s">
        <v>6142</v>
      </c>
      <c r="B1965" s="1" t="s">
        <v>185</v>
      </c>
      <c r="C1965" s="1" t="s">
        <v>3385</v>
      </c>
      <c r="D1965" s="1" t="s">
        <v>95</v>
      </c>
      <c r="E1965" s="1" t="s">
        <v>33</v>
      </c>
      <c r="F1965" s="1" t="s">
        <v>50</v>
      </c>
      <c r="G1965" s="2">
        <v>45617</v>
      </c>
      <c r="H1965" s="2"/>
      <c r="I1965">
        <v>12</v>
      </c>
      <c r="J1965">
        <v>9</v>
      </c>
      <c r="K1965">
        <v>0</v>
      </c>
      <c r="L1965" s="1" t="s">
        <v>26</v>
      </c>
      <c r="M1965">
        <v>44</v>
      </c>
      <c r="N1965">
        <v>178912.4</v>
      </c>
      <c r="O1965">
        <v>3209904.28</v>
      </c>
      <c r="P1965">
        <v>466978.56</v>
      </c>
      <c r="Q1965" s="1" t="s">
        <v>6143</v>
      </c>
      <c r="R1965">
        <v>24</v>
      </c>
      <c r="S1965" s="1" t="s">
        <v>6144</v>
      </c>
      <c r="T1965" t="b">
        <v>1</v>
      </c>
    </row>
    <row r="1966" spans="1:20" x14ac:dyDescent="0.25">
      <c r="A1966" s="1" t="s">
        <v>6145</v>
      </c>
      <c r="B1966" s="1" t="s">
        <v>629</v>
      </c>
      <c r="C1966" s="1" t="s">
        <v>982</v>
      </c>
      <c r="D1966" s="1" t="s">
        <v>89</v>
      </c>
      <c r="E1966" s="1" t="s">
        <v>49</v>
      </c>
      <c r="F1966" s="1" t="s">
        <v>66</v>
      </c>
      <c r="G1966" s="2">
        <v>45516</v>
      </c>
      <c r="H1966" s="2"/>
      <c r="I1966">
        <v>25</v>
      </c>
      <c r="J1966">
        <v>16</v>
      </c>
      <c r="K1966">
        <v>0</v>
      </c>
      <c r="L1966" s="1" t="s">
        <v>26</v>
      </c>
      <c r="M1966">
        <v>236.3</v>
      </c>
      <c r="N1966">
        <v>986863.63</v>
      </c>
      <c r="O1966">
        <v>3807237.71</v>
      </c>
      <c r="P1966">
        <v>957242.39</v>
      </c>
      <c r="Q1966" s="1" t="s">
        <v>6146</v>
      </c>
      <c r="R1966">
        <v>63</v>
      </c>
      <c r="S1966" s="1" t="s">
        <v>6147</v>
      </c>
      <c r="T1966" t="b">
        <v>0</v>
      </c>
    </row>
    <row r="1967" spans="1:20" x14ac:dyDescent="0.25">
      <c r="A1967" s="1" t="s">
        <v>6148</v>
      </c>
      <c r="B1967" s="1" t="s">
        <v>169</v>
      </c>
      <c r="C1967" s="1" t="s">
        <v>1671</v>
      </c>
      <c r="D1967" s="1" t="s">
        <v>297</v>
      </c>
      <c r="E1967" s="1" t="s">
        <v>65</v>
      </c>
      <c r="F1967" s="1" t="s">
        <v>50</v>
      </c>
      <c r="G1967" s="2">
        <v>44732</v>
      </c>
      <c r="H1967" s="2"/>
      <c r="I1967">
        <v>4</v>
      </c>
      <c r="J1967">
        <v>1</v>
      </c>
      <c r="K1967">
        <v>0</v>
      </c>
      <c r="L1967" s="1" t="s">
        <v>26</v>
      </c>
      <c r="M1967">
        <v>5</v>
      </c>
      <c r="N1967">
        <v>17153.060000000001</v>
      </c>
      <c r="O1967">
        <v>4885749.54</v>
      </c>
      <c r="P1967">
        <v>763071.53</v>
      </c>
      <c r="Q1967" s="1" t="s">
        <v>6149</v>
      </c>
      <c r="R1967">
        <v>64</v>
      </c>
      <c r="S1967" s="1" t="s">
        <v>6150</v>
      </c>
      <c r="T1967" t="b">
        <v>1</v>
      </c>
    </row>
    <row r="1968" spans="1:20" x14ac:dyDescent="0.25">
      <c r="A1968" s="1" t="s">
        <v>6151</v>
      </c>
      <c r="B1968" s="1" t="s">
        <v>418</v>
      </c>
      <c r="C1968" s="1" t="s">
        <v>734</v>
      </c>
      <c r="D1968" s="1" t="s">
        <v>124</v>
      </c>
      <c r="E1968" s="1" t="s">
        <v>33</v>
      </c>
      <c r="F1968" s="1" t="s">
        <v>34</v>
      </c>
      <c r="G1968" s="2">
        <v>45527</v>
      </c>
      <c r="H1968" s="2"/>
      <c r="I1968">
        <v>12</v>
      </c>
      <c r="J1968">
        <v>14</v>
      </c>
      <c r="K1968">
        <v>2</v>
      </c>
      <c r="L1968" s="1" t="s">
        <v>26</v>
      </c>
      <c r="M1968">
        <v>186.9</v>
      </c>
      <c r="N1968">
        <v>682169.74</v>
      </c>
      <c r="O1968">
        <v>2434635.38</v>
      </c>
      <c r="P1968">
        <v>591698.05000000005</v>
      </c>
      <c r="Q1968" s="1" t="s">
        <v>6152</v>
      </c>
      <c r="R1968">
        <v>80</v>
      </c>
      <c r="S1968" s="1" t="s">
        <v>6153</v>
      </c>
      <c r="T1968" t="b">
        <v>1</v>
      </c>
    </row>
    <row r="1969" spans="1:20" x14ac:dyDescent="0.25">
      <c r="A1969" s="1" t="s">
        <v>6154</v>
      </c>
      <c r="B1969" s="1" t="s">
        <v>471</v>
      </c>
      <c r="C1969" s="1" t="s">
        <v>229</v>
      </c>
      <c r="D1969" s="1" t="s">
        <v>113</v>
      </c>
      <c r="E1969" s="1" t="s">
        <v>24</v>
      </c>
      <c r="F1969" s="1" t="s">
        <v>25</v>
      </c>
      <c r="G1969" s="2">
        <v>45527</v>
      </c>
      <c r="H1969" s="2">
        <v>45530</v>
      </c>
      <c r="I1969">
        <v>3</v>
      </c>
      <c r="J1969">
        <v>3</v>
      </c>
      <c r="K1969">
        <v>0</v>
      </c>
      <c r="L1969" s="1" t="s">
        <v>26</v>
      </c>
      <c r="M1969">
        <v>20.100000000000001</v>
      </c>
      <c r="N1969">
        <v>59225.69</v>
      </c>
      <c r="O1969">
        <v>2744379.45</v>
      </c>
      <c r="P1969">
        <v>384932.21</v>
      </c>
      <c r="Q1969" s="1" t="s">
        <v>6155</v>
      </c>
      <c r="R1969">
        <v>25</v>
      </c>
      <c r="S1969" s="1" t="s">
        <v>6156</v>
      </c>
      <c r="T1969" t="b">
        <v>1</v>
      </c>
    </row>
    <row r="1970" spans="1:20" x14ac:dyDescent="0.25">
      <c r="A1970" s="1" t="s">
        <v>6157</v>
      </c>
      <c r="B1970" s="1" t="s">
        <v>99</v>
      </c>
      <c r="C1970" s="1" t="s">
        <v>669</v>
      </c>
      <c r="D1970" s="1" t="s">
        <v>505</v>
      </c>
      <c r="E1970" s="1" t="s">
        <v>33</v>
      </c>
      <c r="F1970" s="1" t="s">
        <v>25</v>
      </c>
      <c r="G1970" s="2">
        <v>45232</v>
      </c>
      <c r="H1970" s="2">
        <v>45238</v>
      </c>
      <c r="I1970">
        <v>12</v>
      </c>
      <c r="J1970">
        <v>6</v>
      </c>
      <c r="K1970">
        <v>0</v>
      </c>
      <c r="L1970" s="1" t="s">
        <v>26</v>
      </c>
      <c r="M1970">
        <v>90.7</v>
      </c>
      <c r="N1970">
        <v>303006.46000000002</v>
      </c>
      <c r="O1970">
        <v>12513.86</v>
      </c>
      <c r="P1970">
        <v>52890.22</v>
      </c>
      <c r="Q1970" s="1" t="s">
        <v>6158</v>
      </c>
      <c r="R1970">
        <v>66</v>
      </c>
      <c r="S1970" s="1" t="s">
        <v>6159</v>
      </c>
      <c r="T1970" t="b">
        <v>1</v>
      </c>
    </row>
    <row r="1971" spans="1:20" x14ac:dyDescent="0.25">
      <c r="A1971" s="1" t="s">
        <v>6160</v>
      </c>
      <c r="B1971" s="1" t="s">
        <v>253</v>
      </c>
      <c r="C1971" s="1" t="s">
        <v>354</v>
      </c>
      <c r="D1971" s="1" t="s">
        <v>582</v>
      </c>
      <c r="E1971" s="1" t="s">
        <v>24</v>
      </c>
      <c r="F1971" s="1" t="s">
        <v>25</v>
      </c>
      <c r="G1971" s="2">
        <v>44586</v>
      </c>
      <c r="H1971" s="2">
        <v>44588</v>
      </c>
      <c r="I1971">
        <v>3</v>
      </c>
      <c r="J1971">
        <v>2</v>
      </c>
      <c r="K1971">
        <v>0</v>
      </c>
      <c r="L1971" s="1" t="s">
        <v>26</v>
      </c>
      <c r="M1971">
        <v>16.399999999999999</v>
      </c>
      <c r="N1971">
        <v>42319.57</v>
      </c>
      <c r="O1971">
        <v>2373041.23</v>
      </c>
      <c r="P1971">
        <v>407248.57</v>
      </c>
      <c r="Q1971" s="1" t="s">
        <v>6161</v>
      </c>
      <c r="R1971">
        <v>25</v>
      </c>
      <c r="S1971" s="1" t="s">
        <v>6162</v>
      </c>
      <c r="T1971" t="b">
        <v>1</v>
      </c>
    </row>
    <row r="1972" spans="1:20" x14ac:dyDescent="0.25">
      <c r="A1972" s="1" t="s">
        <v>6163</v>
      </c>
      <c r="B1972" s="1" t="s">
        <v>228</v>
      </c>
      <c r="C1972" s="1" t="s">
        <v>363</v>
      </c>
      <c r="D1972" s="1" t="s">
        <v>32</v>
      </c>
      <c r="E1972" s="1" t="s">
        <v>49</v>
      </c>
      <c r="F1972" s="1" t="s">
        <v>25</v>
      </c>
      <c r="G1972" s="2">
        <v>44914</v>
      </c>
      <c r="H1972" s="2">
        <v>44935</v>
      </c>
      <c r="I1972">
        <v>25</v>
      </c>
      <c r="J1972">
        <v>21</v>
      </c>
      <c r="K1972">
        <v>0</v>
      </c>
      <c r="L1972" s="1" t="s">
        <v>26</v>
      </c>
      <c r="M1972">
        <v>311.89999999999998</v>
      </c>
      <c r="N1972">
        <v>1227170.81</v>
      </c>
      <c r="O1972">
        <v>2372121.37</v>
      </c>
      <c r="P1972">
        <v>593315.31999999995</v>
      </c>
      <c r="Q1972" s="1" t="s">
        <v>6164</v>
      </c>
      <c r="R1972">
        <v>58</v>
      </c>
      <c r="S1972" s="1" t="s">
        <v>6165</v>
      </c>
      <c r="T1972" t="b">
        <v>0</v>
      </c>
    </row>
    <row r="1973" spans="1:20" x14ac:dyDescent="0.25">
      <c r="A1973" s="1" t="s">
        <v>6166</v>
      </c>
      <c r="B1973" s="1" t="s">
        <v>253</v>
      </c>
      <c r="C1973" s="1" t="s">
        <v>428</v>
      </c>
      <c r="D1973" s="1" t="s">
        <v>187</v>
      </c>
      <c r="E1973" s="1" t="s">
        <v>49</v>
      </c>
      <c r="F1973" s="1" t="s">
        <v>50</v>
      </c>
      <c r="G1973" s="2">
        <v>45220</v>
      </c>
      <c r="H1973" s="2"/>
      <c r="I1973">
        <v>25</v>
      </c>
      <c r="J1973">
        <v>33</v>
      </c>
      <c r="K1973">
        <v>8</v>
      </c>
      <c r="L1973" s="1" t="s">
        <v>101</v>
      </c>
      <c r="M1973">
        <v>523.20000000000005</v>
      </c>
      <c r="N1973">
        <v>1998649.35</v>
      </c>
      <c r="O1973">
        <v>1279480.57</v>
      </c>
      <c r="P1973">
        <v>576978.39</v>
      </c>
      <c r="Q1973" s="1" t="s">
        <v>6167</v>
      </c>
      <c r="R1973">
        <v>61</v>
      </c>
      <c r="S1973" s="1" t="s">
        <v>6168</v>
      </c>
      <c r="T1973" t="b">
        <v>1</v>
      </c>
    </row>
    <row r="1974" spans="1:20" x14ac:dyDescent="0.25">
      <c r="A1974" s="1" t="s">
        <v>6169</v>
      </c>
      <c r="B1974" s="1" t="s">
        <v>348</v>
      </c>
      <c r="C1974" s="1" t="s">
        <v>749</v>
      </c>
      <c r="D1974" s="1" t="s">
        <v>713</v>
      </c>
      <c r="E1974" s="1" t="s">
        <v>24</v>
      </c>
      <c r="F1974" s="1" t="s">
        <v>25</v>
      </c>
      <c r="G1974" s="2">
        <v>44677</v>
      </c>
      <c r="H1974" s="2">
        <v>44681</v>
      </c>
      <c r="I1974">
        <v>3</v>
      </c>
      <c r="J1974">
        <v>4</v>
      </c>
      <c r="K1974">
        <v>1</v>
      </c>
      <c r="L1974" s="1" t="s">
        <v>26</v>
      </c>
      <c r="M1974">
        <v>29.6</v>
      </c>
      <c r="N1974">
        <v>81189.820000000007</v>
      </c>
      <c r="O1974">
        <v>3596805.58</v>
      </c>
      <c r="P1974">
        <v>529928.68999999994</v>
      </c>
      <c r="Q1974" s="1" t="s">
        <v>6170</v>
      </c>
      <c r="R1974">
        <v>77</v>
      </c>
      <c r="S1974" s="1" t="s">
        <v>6171</v>
      </c>
      <c r="T1974" t="b">
        <v>1</v>
      </c>
    </row>
    <row r="1975" spans="1:20" x14ac:dyDescent="0.25">
      <c r="A1975" s="1" t="s">
        <v>6172</v>
      </c>
      <c r="B1975" s="1" t="s">
        <v>566</v>
      </c>
      <c r="C1975" s="1" t="s">
        <v>2113</v>
      </c>
      <c r="D1975" s="1" t="s">
        <v>293</v>
      </c>
      <c r="E1975" s="1" t="s">
        <v>65</v>
      </c>
      <c r="F1975" s="1" t="s">
        <v>50</v>
      </c>
      <c r="G1975" s="2">
        <v>45050</v>
      </c>
      <c r="H1975" s="2"/>
      <c r="I1975">
        <v>4</v>
      </c>
      <c r="J1975">
        <v>4</v>
      </c>
      <c r="K1975">
        <v>0</v>
      </c>
      <c r="L1975" s="1" t="s">
        <v>26</v>
      </c>
      <c r="M1975">
        <v>57.7</v>
      </c>
      <c r="N1975">
        <v>226842.92</v>
      </c>
      <c r="O1975">
        <v>3983144.58</v>
      </c>
      <c r="P1975">
        <v>587490.99</v>
      </c>
      <c r="Q1975" s="1" t="s">
        <v>722</v>
      </c>
      <c r="R1975">
        <v>54</v>
      </c>
      <c r="S1975" s="1" t="s">
        <v>6173</v>
      </c>
      <c r="T1975" t="b">
        <v>1</v>
      </c>
    </row>
    <row r="1976" spans="1:20" x14ac:dyDescent="0.25">
      <c r="A1976" s="1" t="s">
        <v>6174</v>
      </c>
      <c r="B1976" s="1" t="s">
        <v>348</v>
      </c>
      <c r="C1976" s="1" t="s">
        <v>517</v>
      </c>
      <c r="D1976" s="1" t="s">
        <v>78</v>
      </c>
      <c r="E1976" s="1" t="s">
        <v>33</v>
      </c>
      <c r="F1976" s="1" t="s">
        <v>50</v>
      </c>
      <c r="G1976" s="2">
        <v>45333</v>
      </c>
      <c r="H1976" s="2"/>
      <c r="I1976">
        <v>12</v>
      </c>
      <c r="J1976">
        <v>14</v>
      </c>
      <c r="K1976">
        <v>2</v>
      </c>
      <c r="L1976" s="1" t="s">
        <v>26</v>
      </c>
      <c r="M1976">
        <v>109.8</v>
      </c>
      <c r="N1976">
        <v>344804.08</v>
      </c>
      <c r="O1976">
        <v>451133.98</v>
      </c>
      <c r="P1976">
        <v>142927.79999999999</v>
      </c>
      <c r="Q1976" s="1" t="s">
        <v>6175</v>
      </c>
      <c r="R1976">
        <v>59</v>
      </c>
      <c r="S1976" s="1" t="s">
        <v>6176</v>
      </c>
      <c r="T1976" t="b">
        <v>0</v>
      </c>
    </row>
    <row r="1977" spans="1:20" x14ac:dyDescent="0.25">
      <c r="A1977" s="1" t="s">
        <v>6177</v>
      </c>
      <c r="B1977" s="1" t="s">
        <v>21</v>
      </c>
      <c r="C1977" s="1" t="s">
        <v>903</v>
      </c>
      <c r="D1977" s="1" t="s">
        <v>238</v>
      </c>
      <c r="E1977" s="1" t="s">
        <v>49</v>
      </c>
      <c r="F1977" s="1" t="s">
        <v>25</v>
      </c>
      <c r="G1977" s="2">
        <v>45619</v>
      </c>
      <c r="H1977" s="2">
        <v>45637</v>
      </c>
      <c r="I1977">
        <v>25</v>
      </c>
      <c r="J1977">
        <v>18</v>
      </c>
      <c r="K1977">
        <v>0</v>
      </c>
      <c r="L1977" s="1" t="s">
        <v>26</v>
      </c>
      <c r="M1977">
        <v>130.9</v>
      </c>
      <c r="N1977">
        <v>452016.17</v>
      </c>
      <c r="O1977">
        <v>2582385.2000000002</v>
      </c>
      <c r="P1977">
        <v>367599.18</v>
      </c>
      <c r="Q1977" s="1" t="s">
        <v>6178</v>
      </c>
      <c r="R1977">
        <v>67</v>
      </c>
      <c r="S1977" s="1" t="s">
        <v>6179</v>
      </c>
      <c r="T1977" t="b">
        <v>1</v>
      </c>
    </row>
    <row r="1978" spans="1:20" x14ac:dyDescent="0.25">
      <c r="A1978" s="1" t="s">
        <v>6180</v>
      </c>
      <c r="B1978" s="1" t="s">
        <v>629</v>
      </c>
      <c r="C1978" s="1" t="s">
        <v>3623</v>
      </c>
      <c r="D1978" s="1" t="s">
        <v>306</v>
      </c>
      <c r="E1978" s="1" t="s">
        <v>65</v>
      </c>
      <c r="F1978" s="1" t="s">
        <v>25</v>
      </c>
      <c r="G1978" s="2">
        <v>45290</v>
      </c>
      <c r="H1978" s="2">
        <v>45295</v>
      </c>
      <c r="I1978">
        <v>4</v>
      </c>
      <c r="J1978">
        <v>5</v>
      </c>
      <c r="K1978">
        <v>0.5</v>
      </c>
      <c r="L1978" s="1" t="s">
        <v>26</v>
      </c>
      <c r="M1978">
        <v>39.799999999999997</v>
      </c>
      <c r="N1978">
        <v>132348.18</v>
      </c>
      <c r="O1978">
        <v>2892018.47</v>
      </c>
      <c r="P1978">
        <v>434519.74</v>
      </c>
      <c r="Q1978" s="1" t="s">
        <v>6181</v>
      </c>
      <c r="R1978">
        <v>48</v>
      </c>
      <c r="S1978" s="1" t="s">
        <v>6182</v>
      </c>
      <c r="T1978" t="b">
        <v>1</v>
      </c>
    </row>
    <row r="1979" spans="1:20" x14ac:dyDescent="0.25">
      <c r="A1979" s="1" t="s">
        <v>6183</v>
      </c>
      <c r="B1979" s="1" t="s">
        <v>38</v>
      </c>
      <c r="C1979" s="1" t="s">
        <v>2232</v>
      </c>
      <c r="D1979" s="1" t="s">
        <v>713</v>
      </c>
      <c r="E1979" s="1" t="s">
        <v>33</v>
      </c>
      <c r="F1979" s="1" t="s">
        <v>25</v>
      </c>
      <c r="G1979" s="2">
        <v>44761</v>
      </c>
      <c r="H1979" s="2">
        <v>44778</v>
      </c>
      <c r="I1979">
        <v>12</v>
      </c>
      <c r="J1979">
        <v>17</v>
      </c>
      <c r="K1979">
        <v>5</v>
      </c>
      <c r="L1979" s="1" t="s">
        <v>330</v>
      </c>
      <c r="M1979">
        <v>264.39999999999998</v>
      </c>
      <c r="N1979">
        <v>1126296.1299999999</v>
      </c>
      <c r="O1979">
        <v>2595210.12</v>
      </c>
      <c r="P1979">
        <v>670124.5</v>
      </c>
      <c r="Q1979" s="1" t="s">
        <v>6184</v>
      </c>
      <c r="R1979">
        <v>52</v>
      </c>
      <c r="S1979" s="1" t="s">
        <v>6185</v>
      </c>
      <c r="T1979" t="b">
        <v>0</v>
      </c>
    </row>
    <row r="1980" spans="1:20" x14ac:dyDescent="0.25">
      <c r="A1980" s="1" t="s">
        <v>6186</v>
      </c>
      <c r="B1980" s="1" t="s">
        <v>111</v>
      </c>
      <c r="C1980" s="1" t="s">
        <v>804</v>
      </c>
      <c r="D1980" s="1" t="s">
        <v>410</v>
      </c>
      <c r="E1980" s="1" t="s">
        <v>57</v>
      </c>
      <c r="F1980" s="1" t="s">
        <v>25</v>
      </c>
      <c r="G1980" s="2">
        <v>45017</v>
      </c>
      <c r="H1980" s="2">
        <v>45052</v>
      </c>
      <c r="I1980">
        <v>40</v>
      </c>
      <c r="J1980">
        <v>35</v>
      </c>
      <c r="K1980">
        <v>0</v>
      </c>
      <c r="L1980" s="1" t="s">
        <v>26</v>
      </c>
      <c r="M1980">
        <v>289.89999999999998</v>
      </c>
      <c r="N1980">
        <v>973357.36</v>
      </c>
      <c r="O1980">
        <v>597744.41</v>
      </c>
      <c r="P1980">
        <v>261746.88</v>
      </c>
      <c r="Q1980" s="1" t="s">
        <v>6187</v>
      </c>
      <c r="R1980">
        <v>79</v>
      </c>
      <c r="S1980" s="1" t="s">
        <v>6188</v>
      </c>
      <c r="T1980" t="b">
        <v>1</v>
      </c>
    </row>
    <row r="1981" spans="1:20" x14ac:dyDescent="0.25">
      <c r="A1981" s="1" t="s">
        <v>6189</v>
      </c>
      <c r="B1981" s="1" t="s">
        <v>228</v>
      </c>
      <c r="C1981" s="1" t="s">
        <v>153</v>
      </c>
      <c r="D1981" s="1" t="s">
        <v>282</v>
      </c>
      <c r="E1981" s="1" t="s">
        <v>57</v>
      </c>
      <c r="F1981" s="1" t="s">
        <v>25</v>
      </c>
      <c r="G1981" s="2">
        <v>44643</v>
      </c>
      <c r="H1981" s="2">
        <v>44689</v>
      </c>
      <c r="I1981">
        <v>40</v>
      </c>
      <c r="J1981">
        <v>46</v>
      </c>
      <c r="K1981">
        <v>6</v>
      </c>
      <c r="L1981" s="1" t="s">
        <v>42</v>
      </c>
      <c r="M1981">
        <v>330.1</v>
      </c>
      <c r="N1981">
        <v>902706.82</v>
      </c>
      <c r="O1981">
        <v>4839350.1399999997</v>
      </c>
      <c r="P1981">
        <v>858632.79</v>
      </c>
      <c r="Q1981" s="1" t="s">
        <v>6190</v>
      </c>
      <c r="R1981">
        <v>72</v>
      </c>
      <c r="S1981" s="1" t="s">
        <v>6191</v>
      </c>
      <c r="T1981" t="b">
        <v>1</v>
      </c>
    </row>
    <row r="1982" spans="1:20" x14ac:dyDescent="0.25">
      <c r="A1982" s="1" t="s">
        <v>6192</v>
      </c>
      <c r="B1982" s="1" t="s">
        <v>242</v>
      </c>
      <c r="C1982" s="1" t="s">
        <v>277</v>
      </c>
      <c r="D1982" s="1" t="s">
        <v>84</v>
      </c>
      <c r="E1982" s="1" t="s">
        <v>65</v>
      </c>
      <c r="F1982" s="1" t="s">
        <v>50</v>
      </c>
      <c r="G1982" s="2">
        <v>45620</v>
      </c>
      <c r="H1982" s="2"/>
      <c r="I1982">
        <v>4</v>
      </c>
      <c r="J1982">
        <v>2</v>
      </c>
      <c r="K1982">
        <v>0</v>
      </c>
      <c r="L1982" s="1" t="s">
        <v>26</v>
      </c>
      <c r="M1982">
        <v>25.2</v>
      </c>
      <c r="N1982">
        <v>54947.27</v>
      </c>
      <c r="O1982">
        <v>330546.21999999997</v>
      </c>
      <c r="P1982">
        <v>67796.59</v>
      </c>
      <c r="Q1982" s="1" t="s">
        <v>6193</v>
      </c>
      <c r="R1982">
        <v>48</v>
      </c>
      <c r="S1982" s="1" t="s">
        <v>6194</v>
      </c>
      <c r="T1982" t="b">
        <v>0</v>
      </c>
    </row>
    <row r="1983" spans="1:20" x14ac:dyDescent="0.25">
      <c r="A1983" s="1" t="s">
        <v>6195</v>
      </c>
      <c r="B1983" s="1" t="s">
        <v>451</v>
      </c>
      <c r="C1983" s="1" t="s">
        <v>512</v>
      </c>
      <c r="D1983" s="1" t="s">
        <v>670</v>
      </c>
      <c r="E1983" s="1" t="s">
        <v>33</v>
      </c>
      <c r="F1983" s="1" t="s">
        <v>25</v>
      </c>
      <c r="G1983" s="2">
        <v>45353</v>
      </c>
      <c r="H1983" s="2">
        <v>45361</v>
      </c>
      <c r="I1983">
        <v>12</v>
      </c>
      <c r="J1983">
        <v>8</v>
      </c>
      <c r="K1983">
        <v>0</v>
      </c>
      <c r="L1983" s="1" t="s">
        <v>26</v>
      </c>
      <c r="M1983">
        <v>88.1</v>
      </c>
      <c r="N1983">
        <v>381101.53</v>
      </c>
      <c r="O1983">
        <v>4792469.4800000004</v>
      </c>
      <c r="P1983">
        <v>766608.87</v>
      </c>
      <c r="Q1983" s="1" t="s">
        <v>6196</v>
      </c>
      <c r="R1983">
        <v>36</v>
      </c>
      <c r="S1983" s="1" t="s">
        <v>6197</v>
      </c>
      <c r="T1983" t="b">
        <v>0</v>
      </c>
    </row>
    <row r="1984" spans="1:20" x14ac:dyDescent="0.25">
      <c r="A1984" s="1" t="s">
        <v>6198</v>
      </c>
      <c r="B1984" s="1" t="s">
        <v>169</v>
      </c>
      <c r="C1984" s="1" t="s">
        <v>258</v>
      </c>
      <c r="D1984" s="1" t="s">
        <v>320</v>
      </c>
      <c r="E1984" s="1" t="s">
        <v>65</v>
      </c>
      <c r="F1984" s="1" t="s">
        <v>25</v>
      </c>
      <c r="G1984" s="2">
        <v>44722</v>
      </c>
      <c r="H1984" s="2">
        <v>44730</v>
      </c>
      <c r="I1984">
        <v>4</v>
      </c>
      <c r="J1984">
        <v>8</v>
      </c>
      <c r="K1984">
        <v>3.5</v>
      </c>
      <c r="L1984" s="1" t="s">
        <v>26</v>
      </c>
      <c r="M1984">
        <v>64.3</v>
      </c>
      <c r="N1984">
        <v>123972.46</v>
      </c>
      <c r="O1984">
        <v>1364404.9</v>
      </c>
      <c r="P1984">
        <v>267998.67</v>
      </c>
      <c r="Q1984" s="1" t="s">
        <v>6199</v>
      </c>
      <c r="R1984">
        <v>78</v>
      </c>
      <c r="S1984" s="1" t="s">
        <v>6200</v>
      </c>
      <c r="T1984" t="b">
        <v>0</v>
      </c>
    </row>
    <row r="1985" spans="1:20" x14ac:dyDescent="0.25">
      <c r="A1985" s="1" t="s">
        <v>6201</v>
      </c>
      <c r="B1985" s="1" t="s">
        <v>117</v>
      </c>
      <c r="C1985" s="1" t="s">
        <v>1013</v>
      </c>
      <c r="D1985" s="1" t="s">
        <v>1022</v>
      </c>
      <c r="E1985" s="1" t="s">
        <v>65</v>
      </c>
      <c r="F1985" s="1" t="s">
        <v>25</v>
      </c>
      <c r="G1985" s="2">
        <v>45636</v>
      </c>
      <c r="H1985" s="2">
        <v>45642</v>
      </c>
      <c r="I1985">
        <v>4</v>
      </c>
      <c r="J1985">
        <v>6</v>
      </c>
      <c r="K1985">
        <v>1.5</v>
      </c>
      <c r="L1985" s="1" t="s">
        <v>26</v>
      </c>
      <c r="M1985">
        <v>45.1</v>
      </c>
      <c r="N1985">
        <v>121289.75</v>
      </c>
      <c r="O1985">
        <v>1297332.3400000001</v>
      </c>
      <c r="P1985">
        <v>205972.45</v>
      </c>
      <c r="Q1985" s="1" t="s">
        <v>6202</v>
      </c>
      <c r="R1985">
        <v>78</v>
      </c>
      <c r="S1985" s="1" t="s">
        <v>6203</v>
      </c>
      <c r="T1985" t="b">
        <v>1</v>
      </c>
    </row>
    <row r="1986" spans="1:20" x14ac:dyDescent="0.25">
      <c r="A1986" s="1" t="s">
        <v>6204</v>
      </c>
      <c r="B1986" s="1" t="s">
        <v>220</v>
      </c>
      <c r="C1986" s="1" t="s">
        <v>1574</v>
      </c>
      <c r="D1986" s="1" t="s">
        <v>144</v>
      </c>
      <c r="E1986" s="1" t="s">
        <v>65</v>
      </c>
      <c r="F1986" s="1" t="s">
        <v>25</v>
      </c>
      <c r="G1986" s="2">
        <v>44998</v>
      </c>
      <c r="H1986" s="2">
        <v>45004</v>
      </c>
      <c r="I1986">
        <v>4</v>
      </c>
      <c r="J1986">
        <v>6</v>
      </c>
      <c r="K1986">
        <v>1.5</v>
      </c>
      <c r="L1986" s="1" t="s">
        <v>26</v>
      </c>
      <c r="M1986">
        <v>93.3</v>
      </c>
      <c r="N1986">
        <v>277511.83</v>
      </c>
      <c r="O1986">
        <v>3479943.63</v>
      </c>
      <c r="P1986">
        <v>500820.47</v>
      </c>
      <c r="Q1986" s="1" t="s">
        <v>6205</v>
      </c>
      <c r="R1986">
        <v>44</v>
      </c>
      <c r="S1986" s="1" t="s">
        <v>6206</v>
      </c>
      <c r="T1986" t="b">
        <v>1</v>
      </c>
    </row>
    <row r="1987" spans="1:20" x14ac:dyDescent="0.25">
      <c r="A1987" s="1" t="s">
        <v>6207</v>
      </c>
      <c r="B1987" s="1" t="s">
        <v>286</v>
      </c>
      <c r="C1987" s="1" t="s">
        <v>267</v>
      </c>
      <c r="D1987" s="1" t="s">
        <v>113</v>
      </c>
      <c r="E1987" s="1" t="s">
        <v>49</v>
      </c>
      <c r="F1987" s="1" t="s">
        <v>25</v>
      </c>
      <c r="G1987" s="2">
        <v>45618</v>
      </c>
      <c r="H1987" s="2">
        <v>45631</v>
      </c>
      <c r="I1987">
        <v>25</v>
      </c>
      <c r="J1987">
        <v>13</v>
      </c>
      <c r="K1987">
        <v>0</v>
      </c>
      <c r="L1987" s="1" t="s">
        <v>26</v>
      </c>
      <c r="M1987">
        <v>75.900000000000006</v>
      </c>
      <c r="N1987">
        <v>193754.49</v>
      </c>
      <c r="O1987">
        <v>4887495.29</v>
      </c>
      <c r="P1987">
        <v>653622.89</v>
      </c>
      <c r="Q1987" s="1" t="s">
        <v>6208</v>
      </c>
      <c r="R1987">
        <v>27</v>
      </c>
      <c r="S1987" s="1" t="s">
        <v>6209</v>
      </c>
      <c r="T1987" t="b">
        <v>1</v>
      </c>
    </row>
    <row r="1988" spans="1:20" x14ac:dyDescent="0.25">
      <c r="A1988" s="1" t="s">
        <v>6210</v>
      </c>
      <c r="B1988" s="1" t="s">
        <v>418</v>
      </c>
      <c r="C1988" s="1" t="s">
        <v>999</v>
      </c>
      <c r="D1988" s="1" t="s">
        <v>187</v>
      </c>
      <c r="E1988" s="1" t="s">
        <v>65</v>
      </c>
      <c r="F1988" s="1" t="s">
        <v>66</v>
      </c>
      <c r="G1988" s="2">
        <v>45299</v>
      </c>
      <c r="H1988" s="2"/>
      <c r="I1988">
        <v>4</v>
      </c>
      <c r="J1988">
        <v>7</v>
      </c>
      <c r="K1988">
        <v>2.5</v>
      </c>
      <c r="L1988" s="1" t="s">
        <v>26</v>
      </c>
      <c r="M1988">
        <v>39.4</v>
      </c>
      <c r="N1988">
        <v>84995.45</v>
      </c>
      <c r="O1988">
        <v>4608763.18</v>
      </c>
      <c r="P1988">
        <v>876705.58</v>
      </c>
      <c r="Q1988" s="1" t="s">
        <v>3820</v>
      </c>
      <c r="R1988">
        <v>46</v>
      </c>
      <c r="S1988" s="1" t="s">
        <v>6211</v>
      </c>
      <c r="T1988" t="b">
        <v>0</v>
      </c>
    </row>
    <row r="1989" spans="1:20" x14ac:dyDescent="0.25">
      <c r="A1989" s="1" t="s">
        <v>6212</v>
      </c>
      <c r="B1989" s="1" t="s">
        <v>629</v>
      </c>
      <c r="C1989" s="1" t="s">
        <v>2880</v>
      </c>
      <c r="D1989" s="1" t="s">
        <v>107</v>
      </c>
      <c r="E1989" s="1" t="s">
        <v>49</v>
      </c>
      <c r="F1989" s="1" t="s">
        <v>25</v>
      </c>
      <c r="G1989" s="2">
        <v>45078</v>
      </c>
      <c r="H1989" s="2">
        <v>45115</v>
      </c>
      <c r="I1989">
        <v>25</v>
      </c>
      <c r="J1989">
        <v>37</v>
      </c>
      <c r="K1989">
        <v>12</v>
      </c>
      <c r="L1989" s="1" t="s">
        <v>330</v>
      </c>
      <c r="M1989">
        <v>288.3</v>
      </c>
      <c r="N1989">
        <v>699582.18</v>
      </c>
      <c r="O1989">
        <v>1900049.15</v>
      </c>
      <c r="P1989">
        <v>294101.40999999997</v>
      </c>
      <c r="Q1989" s="1" t="s">
        <v>607</v>
      </c>
      <c r="R1989">
        <v>33</v>
      </c>
      <c r="S1989" s="1" t="s">
        <v>6213</v>
      </c>
      <c r="T1989" t="b">
        <v>0</v>
      </c>
    </row>
    <row r="1990" spans="1:20" x14ac:dyDescent="0.25">
      <c r="A1990" s="1" t="s">
        <v>6214</v>
      </c>
      <c r="B1990" s="1" t="s">
        <v>358</v>
      </c>
      <c r="C1990" s="1" t="s">
        <v>1126</v>
      </c>
      <c r="D1990" s="1" t="s">
        <v>513</v>
      </c>
      <c r="E1990" s="1" t="s">
        <v>41</v>
      </c>
      <c r="F1990" s="1" t="s">
        <v>34</v>
      </c>
      <c r="G1990" s="2">
        <v>44922</v>
      </c>
      <c r="H1990" s="2"/>
      <c r="I1990">
        <v>9</v>
      </c>
      <c r="J1990">
        <v>15</v>
      </c>
      <c r="K1990">
        <v>6</v>
      </c>
      <c r="L1990" s="1" t="s">
        <v>42</v>
      </c>
      <c r="M1990">
        <v>223.5</v>
      </c>
      <c r="N1990">
        <v>442976.02</v>
      </c>
      <c r="O1990">
        <v>2075143.28</v>
      </c>
      <c r="P1990">
        <v>415162.37</v>
      </c>
      <c r="Q1990" s="1" t="s">
        <v>6215</v>
      </c>
      <c r="R1990">
        <v>75</v>
      </c>
      <c r="S1990" s="1" t="s">
        <v>6216</v>
      </c>
      <c r="T1990" t="b">
        <v>1</v>
      </c>
    </row>
    <row r="1991" spans="1:20" x14ac:dyDescent="0.25">
      <c r="A1991" s="1" t="s">
        <v>6217</v>
      </c>
      <c r="B1991" s="1" t="s">
        <v>62</v>
      </c>
      <c r="C1991" s="1" t="s">
        <v>476</v>
      </c>
      <c r="D1991" s="1" t="s">
        <v>113</v>
      </c>
      <c r="E1991" s="1" t="s">
        <v>57</v>
      </c>
      <c r="F1991" s="1" t="s">
        <v>34</v>
      </c>
      <c r="G1991" s="2">
        <v>44777</v>
      </c>
      <c r="H1991" s="2"/>
      <c r="I1991">
        <v>40</v>
      </c>
      <c r="J1991">
        <v>24</v>
      </c>
      <c r="K1991">
        <v>0</v>
      </c>
      <c r="L1991" s="1" t="s">
        <v>26</v>
      </c>
      <c r="M1991">
        <v>156.4</v>
      </c>
      <c r="N1991">
        <v>576494.62</v>
      </c>
      <c r="O1991">
        <v>2462798.23</v>
      </c>
      <c r="P1991">
        <v>561489.88</v>
      </c>
      <c r="Q1991" s="1" t="s">
        <v>6218</v>
      </c>
      <c r="R1991">
        <v>24</v>
      </c>
      <c r="S1991" s="1" t="s">
        <v>6219</v>
      </c>
      <c r="T1991" t="b">
        <v>0</v>
      </c>
    </row>
    <row r="1992" spans="1:20" x14ac:dyDescent="0.25">
      <c r="A1992" s="1" t="s">
        <v>6220</v>
      </c>
      <c r="B1992" s="1" t="s">
        <v>403</v>
      </c>
      <c r="C1992" s="1" t="s">
        <v>999</v>
      </c>
      <c r="D1992" s="1" t="s">
        <v>154</v>
      </c>
      <c r="E1992" s="1" t="s">
        <v>24</v>
      </c>
      <c r="F1992" s="1" t="s">
        <v>66</v>
      </c>
      <c r="G1992" s="2">
        <v>45173</v>
      </c>
      <c r="H1992" s="2"/>
      <c r="I1992">
        <v>3</v>
      </c>
      <c r="J1992">
        <v>5</v>
      </c>
      <c r="K1992">
        <v>2</v>
      </c>
      <c r="L1992" s="1" t="s">
        <v>26</v>
      </c>
      <c r="M1992">
        <v>39.9</v>
      </c>
      <c r="N1992">
        <v>115056.34</v>
      </c>
      <c r="O1992">
        <v>1165917.5</v>
      </c>
      <c r="P1992">
        <v>183564.63</v>
      </c>
      <c r="Q1992" s="1" t="s">
        <v>5138</v>
      </c>
      <c r="R1992">
        <v>60</v>
      </c>
      <c r="S1992" s="1" t="s">
        <v>6221</v>
      </c>
      <c r="T1992" t="b">
        <v>1</v>
      </c>
    </row>
    <row r="1993" spans="1:20" x14ac:dyDescent="0.25">
      <c r="A1993" s="1" t="s">
        <v>6222</v>
      </c>
      <c r="B1993" s="1" t="s">
        <v>253</v>
      </c>
      <c r="C1993" s="1" t="s">
        <v>738</v>
      </c>
      <c r="D1993" s="1" t="s">
        <v>293</v>
      </c>
      <c r="E1993" s="1" t="s">
        <v>57</v>
      </c>
      <c r="F1993" s="1" t="s">
        <v>25</v>
      </c>
      <c r="G1993" s="2">
        <v>45255</v>
      </c>
      <c r="H1993" s="2">
        <v>45285</v>
      </c>
      <c r="I1993">
        <v>40</v>
      </c>
      <c r="J1993">
        <v>30</v>
      </c>
      <c r="K1993">
        <v>0</v>
      </c>
      <c r="L1993" s="1" t="s">
        <v>26</v>
      </c>
      <c r="M1993">
        <v>449.4</v>
      </c>
      <c r="N1993">
        <v>1443895.8</v>
      </c>
      <c r="O1993">
        <v>2706069.49</v>
      </c>
      <c r="P1993">
        <v>594603.41</v>
      </c>
      <c r="Q1993" s="1" t="s">
        <v>6223</v>
      </c>
      <c r="R1993">
        <v>57</v>
      </c>
      <c r="S1993" s="1" t="s">
        <v>6224</v>
      </c>
      <c r="T1993" t="b">
        <v>0</v>
      </c>
    </row>
    <row r="1994" spans="1:20" x14ac:dyDescent="0.25">
      <c r="A1994" s="1" t="s">
        <v>6225</v>
      </c>
      <c r="B1994" s="1" t="s">
        <v>629</v>
      </c>
      <c r="C1994" s="1" t="s">
        <v>554</v>
      </c>
      <c r="D1994" s="1" t="s">
        <v>187</v>
      </c>
      <c r="E1994" s="1" t="s">
        <v>49</v>
      </c>
      <c r="F1994" s="1" t="s">
        <v>66</v>
      </c>
      <c r="G1994" s="2">
        <v>44921</v>
      </c>
      <c r="H1994" s="2"/>
      <c r="I1994">
        <v>25</v>
      </c>
      <c r="J1994">
        <v>38</v>
      </c>
      <c r="K1994">
        <v>13</v>
      </c>
      <c r="L1994" s="1" t="s">
        <v>58</v>
      </c>
      <c r="M1994">
        <v>223.3</v>
      </c>
      <c r="N1994">
        <v>819563.13</v>
      </c>
      <c r="O1994">
        <v>2667752.15</v>
      </c>
      <c r="P1994">
        <v>448663.5</v>
      </c>
      <c r="Q1994" s="1" t="s">
        <v>6226</v>
      </c>
      <c r="R1994">
        <v>34</v>
      </c>
      <c r="S1994" s="1" t="s">
        <v>6227</v>
      </c>
      <c r="T1994" t="b">
        <v>1</v>
      </c>
    </row>
    <row r="1995" spans="1:20" x14ac:dyDescent="0.25">
      <c r="A1995" s="1" t="s">
        <v>6228</v>
      </c>
      <c r="B1995" s="1" t="s">
        <v>403</v>
      </c>
      <c r="C1995" s="1" t="s">
        <v>497</v>
      </c>
      <c r="D1995" s="1" t="s">
        <v>238</v>
      </c>
      <c r="E1995" s="1" t="s">
        <v>33</v>
      </c>
      <c r="F1995" s="1" t="s">
        <v>50</v>
      </c>
      <c r="G1995" s="2">
        <v>45504</v>
      </c>
      <c r="H1995" s="2"/>
      <c r="I1995">
        <v>12</v>
      </c>
      <c r="J1995">
        <v>17</v>
      </c>
      <c r="K1995">
        <v>5</v>
      </c>
      <c r="L1995" s="1" t="s">
        <v>26</v>
      </c>
      <c r="M1995">
        <v>221.9</v>
      </c>
      <c r="N1995">
        <v>499826.41</v>
      </c>
      <c r="O1995">
        <v>3731502.84</v>
      </c>
      <c r="P1995">
        <v>811553.79</v>
      </c>
      <c r="Q1995" s="1" t="s">
        <v>6229</v>
      </c>
      <c r="R1995">
        <v>28</v>
      </c>
      <c r="S1995" s="1" t="s">
        <v>6230</v>
      </c>
      <c r="T1995" t="b">
        <v>0</v>
      </c>
    </row>
    <row r="1996" spans="1:20" x14ac:dyDescent="0.25">
      <c r="A1996" s="1" t="s">
        <v>6231</v>
      </c>
      <c r="B1996" s="1" t="s">
        <v>128</v>
      </c>
      <c r="C1996" s="1" t="s">
        <v>999</v>
      </c>
      <c r="D1996" s="1" t="s">
        <v>124</v>
      </c>
      <c r="E1996" s="1" t="s">
        <v>49</v>
      </c>
      <c r="F1996" s="1" t="s">
        <v>25</v>
      </c>
      <c r="G1996" s="2">
        <v>45546</v>
      </c>
      <c r="H1996" s="2">
        <v>45560</v>
      </c>
      <c r="I1996">
        <v>25</v>
      </c>
      <c r="J1996">
        <v>14</v>
      </c>
      <c r="K1996">
        <v>0</v>
      </c>
      <c r="L1996" s="1" t="s">
        <v>26</v>
      </c>
      <c r="M1996">
        <v>127.8</v>
      </c>
      <c r="N1996">
        <v>416917.09</v>
      </c>
      <c r="O1996">
        <v>3320377.34</v>
      </c>
      <c r="P1996">
        <v>500021.65</v>
      </c>
      <c r="Q1996" s="1" t="s">
        <v>6232</v>
      </c>
      <c r="R1996">
        <v>35</v>
      </c>
      <c r="S1996" s="1" t="s">
        <v>6233</v>
      </c>
      <c r="T1996" t="b">
        <v>1</v>
      </c>
    </row>
    <row r="1997" spans="1:20" x14ac:dyDescent="0.25">
      <c r="A1997" s="1" t="s">
        <v>6234</v>
      </c>
      <c r="B1997" s="1" t="s">
        <v>122</v>
      </c>
      <c r="C1997" s="1" t="s">
        <v>2334</v>
      </c>
      <c r="D1997" s="1" t="s">
        <v>336</v>
      </c>
      <c r="E1997" s="1" t="s">
        <v>49</v>
      </c>
      <c r="F1997" s="1" t="s">
        <v>25</v>
      </c>
      <c r="G1997" s="2">
        <v>44574</v>
      </c>
      <c r="H1997" s="2">
        <v>44598</v>
      </c>
      <c r="I1997">
        <v>25</v>
      </c>
      <c r="J1997">
        <v>24</v>
      </c>
      <c r="K1997">
        <v>0</v>
      </c>
      <c r="L1997" s="1" t="s">
        <v>26</v>
      </c>
      <c r="M1997">
        <v>257.60000000000002</v>
      </c>
      <c r="N1997">
        <v>1041769.68</v>
      </c>
      <c r="O1997">
        <v>2193781.31</v>
      </c>
      <c r="P1997">
        <v>349437.42</v>
      </c>
      <c r="Q1997" s="1" t="s">
        <v>6235</v>
      </c>
      <c r="R1997">
        <v>34</v>
      </c>
      <c r="S1997" s="1" t="s">
        <v>6236</v>
      </c>
      <c r="T1997" t="b">
        <v>0</v>
      </c>
    </row>
    <row r="1998" spans="1:20" x14ac:dyDescent="0.25">
      <c r="A1998" s="1" t="s">
        <v>6237</v>
      </c>
      <c r="B1998" s="1" t="s">
        <v>169</v>
      </c>
      <c r="C1998" s="1" t="s">
        <v>1072</v>
      </c>
      <c r="D1998" s="1" t="s">
        <v>315</v>
      </c>
      <c r="E1998" s="1" t="s">
        <v>41</v>
      </c>
      <c r="F1998" s="1" t="s">
        <v>34</v>
      </c>
      <c r="G1998" s="2">
        <v>45272</v>
      </c>
      <c r="H1998" s="2"/>
      <c r="I1998">
        <v>9</v>
      </c>
      <c r="J1998">
        <v>8</v>
      </c>
      <c r="K1998">
        <v>0</v>
      </c>
      <c r="L1998" s="1" t="s">
        <v>26</v>
      </c>
      <c r="M1998">
        <v>78.099999999999994</v>
      </c>
      <c r="N1998">
        <v>212723.5</v>
      </c>
      <c r="O1998">
        <v>2132161.3199999998</v>
      </c>
      <c r="P1998">
        <v>279716.11</v>
      </c>
      <c r="Q1998" s="1" t="s">
        <v>6238</v>
      </c>
      <c r="R1998">
        <v>65</v>
      </c>
      <c r="S1998" s="1" t="s">
        <v>6239</v>
      </c>
      <c r="T1998" t="b">
        <v>1</v>
      </c>
    </row>
    <row r="1999" spans="1:20" x14ac:dyDescent="0.25">
      <c r="A1999" s="1" t="s">
        <v>6240</v>
      </c>
      <c r="B1999" s="1" t="s">
        <v>93</v>
      </c>
      <c r="C1999" s="1" t="s">
        <v>877</v>
      </c>
      <c r="D1999" s="1" t="s">
        <v>154</v>
      </c>
      <c r="E1999" s="1" t="s">
        <v>24</v>
      </c>
      <c r="F1999" s="1" t="s">
        <v>25</v>
      </c>
      <c r="G1999" s="2">
        <v>44676</v>
      </c>
      <c r="H1999" s="2">
        <v>44678</v>
      </c>
      <c r="I1999">
        <v>3</v>
      </c>
      <c r="J1999">
        <v>2</v>
      </c>
      <c r="K1999">
        <v>0</v>
      </c>
      <c r="L1999" s="1" t="s">
        <v>26</v>
      </c>
      <c r="M1999">
        <v>16.2</v>
      </c>
      <c r="N1999">
        <v>44751.25</v>
      </c>
      <c r="O1999">
        <v>2924216.15</v>
      </c>
      <c r="P1999">
        <v>361716.43</v>
      </c>
      <c r="Q1999" s="1" t="s">
        <v>6241</v>
      </c>
      <c r="R1999">
        <v>55</v>
      </c>
      <c r="S1999" s="1" t="s">
        <v>6242</v>
      </c>
      <c r="T1999" t="b">
        <v>0</v>
      </c>
    </row>
    <row r="2000" spans="1:20" x14ac:dyDescent="0.25">
      <c r="A2000" s="1" t="s">
        <v>6243</v>
      </c>
      <c r="B2000" s="1" t="s">
        <v>403</v>
      </c>
      <c r="C2000" s="1" t="s">
        <v>186</v>
      </c>
      <c r="D2000" s="1" t="s">
        <v>130</v>
      </c>
      <c r="E2000" s="1" t="s">
        <v>33</v>
      </c>
      <c r="F2000" s="1" t="s">
        <v>25</v>
      </c>
      <c r="G2000" s="2">
        <v>45479</v>
      </c>
      <c r="H2000" s="2">
        <v>45496</v>
      </c>
      <c r="I2000">
        <v>12</v>
      </c>
      <c r="J2000">
        <v>17</v>
      </c>
      <c r="K2000">
        <v>5</v>
      </c>
      <c r="L2000" s="1" t="s">
        <v>26</v>
      </c>
      <c r="M2000">
        <v>101.3</v>
      </c>
      <c r="N2000">
        <v>251968.47</v>
      </c>
      <c r="O2000">
        <v>3818877.89</v>
      </c>
      <c r="P2000">
        <v>802346.97</v>
      </c>
      <c r="Q2000" s="1" t="s">
        <v>6244</v>
      </c>
      <c r="R2000">
        <v>70</v>
      </c>
      <c r="S2000" s="1" t="s">
        <v>6245</v>
      </c>
      <c r="T2000" t="b">
        <v>0</v>
      </c>
    </row>
    <row r="2001" spans="1:20" x14ac:dyDescent="0.25">
      <c r="A2001" s="1" t="s">
        <v>6246</v>
      </c>
      <c r="B2001" s="1" t="s">
        <v>220</v>
      </c>
      <c r="C2001" s="1" t="s">
        <v>2485</v>
      </c>
      <c r="D2001" s="1" t="s">
        <v>95</v>
      </c>
      <c r="E2001" s="1" t="s">
        <v>41</v>
      </c>
      <c r="F2001" s="1" t="s">
        <v>25</v>
      </c>
      <c r="G2001" s="2">
        <v>45500</v>
      </c>
      <c r="H2001" s="2">
        <v>45507</v>
      </c>
      <c r="I2001">
        <v>9</v>
      </c>
      <c r="J2001">
        <v>7</v>
      </c>
      <c r="K2001">
        <v>0</v>
      </c>
      <c r="L2001" s="1" t="s">
        <v>26</v>
      </c>
      <c r="M2001">
        <v>36.799999999999997</v>
      </c>
      <c r="N2001">
        <v>107530.94</v>
      </c>
      <c r="O2001">
        <v>4855619.28</v>
      </c>
      <c r="P2001">
        <v>763053.09</v>
      </c>
      <c r="Q2001" s="1" t="s">
        <v>1956</v>
      </c>
      <c r="R2001">
        <v>70</v>
      </c>
      <c r="S2001" s="1" t="s">
        <v>6247</v>
      </c>
      <c r="T200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006AC-2290-4D14-8B28-1D813F2AC765}">
  <sheetPr codeName="Sheet2"/>
  <dimension ref="A1:C14"/>
  <sheetViews>
    <sheetView workbookViewId="0">
      <selection activeCell="C20" sqref="C20"/>
    </sheetView>
  </sheetViews>
  <sheetFormatPr defaultRowHeight="15" x14ac:dyDescent="0.25"/>
  <cols>
    <col min="1" max="1" width="32.140625" bestFit="1" customWidth="1"/>
    <col min="2" max="2" width="29.85546875" customWidth="1"/>
    <col min="3" max="3" width="44.28515625" bestFit="1" customWidth="1"/>
  </cols>
  <sheetData>
    <row r="1" spans="1:3" x14ac:dyDescent="0.25">
      <c r="A1" t="s">
        <v>6248</v>
      </c>
    </row>
    <row r="2" spans="1:3" x14ac:dyDescent="0.25">
      <c r="A2" t="s">
        <v>6249</v>
      </c>
    </row>
    <row r="4" spans="1:3" ht="15.75" x14ac:dyDescent="0.3">
      <c r="A4" s="4" t="s">
        <v>6250</v>
      </c>
      <c r="B4" s="5" t="s">
        <v>6251</v>
      </c>
      <c r="C4" s="5" t="s">
        <v>6252</v>
      </c>
    </row>
    <row r="5" spans="1:3" ht="15.75" x14ac:dyDescent="0.3">
      <c r="A5" s="6" t="s">
        <v>6253</v>
      </c>
      <c r="B5" s="7">
        <f>COUNTA(Raw_Data[work_order_id])</f>
        <v>2000</v>
      </c>
      <c r="C5" s="7" t="s">
        <v>6263</v>
      </c>
    </row>
    <row r="6" spans="1:3" ht="15.75" x14ac:dyDescent="0.3">
      <c r="A6" s="7" t="s">
        <v>6254</v>
      </c>
      <c r="B6" s="8">
        <f>SUM(Raw_Data[labour_cost_inr])</f>
        <v>958632346.41000021</v>
      </c>
      <c r="C6" s="6" t="s">
        <v>6264</v>
      </c>
    </row>
    <row r="7" spans="1:3" ht="15.75" x14ac:dyDescent="0.3">
      <c r="A7" s="7" t="s">
        <v>6255</v>
      </c>
      <c r="B7" s="9">
        <f>SUMPRODUCT(ISNUMBER(Raw_Data[parts_cost_inr])*IF(ISNUMBER(Raw_Data[parts_cost_inr]),Raw_Data[parts_cost_inr],0))</f>
        <v>4959691642.1399927</v>
      </c>
      <c r="C7" s="6" t="s">
        <v>6265</v>
      </c>
    </row>
    <row r="8" spans="1:3" ht="15.75" x14ac:dyDescent="0.3">
      <c r="A8" s="7" t="s">
        <v>6256</v>
      </c>
      <c r="B8" s="9">
        <f>SUM(Raw_Data[overhead_cost_inr])</f>
        <v>887383251.28999889</v>
      </c>
      <c r="C8" s="6" t="s">
        <v>6266</v>
      </c>
    </row>
    <row r="9" spans="1:3" ht="15.75" x14ac:dyDescent="0.3">
      <c r="A9" s="6" t="s">
        <v>6257</v>
      </c>
      <c r="B9" s="9">
        <f>B6+B7+B8</f>
        <v>6805707239.8399916</v>
      </c>
      <c r="C9" s="6" t="s">
        <v>6267</v>
      </c>
    </row>
    <row r="10" spans="1:3" ht="15.75" x14ac:dyDescent="0.3">
      <c r="A10" s="7" t="s">
        <v>6258</v>
      </c>
      <c r="B10" s="7">
        <f>AVERAGE(Raw_Data[delay_days])</f>
        <v>2.28125</v>
      </c>
      <c r="C10" s="6" t="s">
        <v>6268</v>
      </c>
    </row>
    <row r="11" spans="1:3" ht="15.75" x14ac:dyDescent="0.3">
      <c r="A11" s="7" t="s">
        <v>6259</v>
      </c>
      <c r="B11" s="7">
        <f>MAX(Raw_Data[delay_days])</f>
        <v>20</v>
      </c>
      <c r="C11" s="6" t="s">
        <v>6269</v>
      </c>
    </row>
    <row r="12" spans="1:3" ht="15.75" x14ac:dyDescent="0.3">
      <c r="A12" s="7" t="s">
        <v>6260</v>
      </c>
      <c r="B12" s="7">
        <f>COUNTIF(Raw_Data[status],"Closed")</f>
        <v>1127</v>
      </c>
      <c r="C12" s="6" t="s">
        <v>6270</v>
      </c>
    </row>
    <row r="13" spans="1:3" ht="15.75" x14ac:dyDescent="0.3">
      <c r="A13" s="6" t="s">
        <v>6261</v>
      </c>
      <c r="B13" s="6">
        <f>COUNTIF(Raw_Data[wo_type],"Unscheduled AOG")</f>
        <v>323</v>
      </c>
      <c r="C13" s="6" t="s">
        <v>6271</v>
      </c>
    </row>
    <row r="14" spans="1:3" x14ac:dyDescent="0.25">
      <c r="A14" s="7" t="s">
        <v>6262</v>
      </c>
      <c r="B14" s="10">
        <f>AVERAGE(Raw_Data[actual_duration_days]-Raw_Data[planned_duration_days])/AVERAGE(Raw_Data[planned_duration_days])*100</f>
        <v>-40.144520272982739</v>
      </c>
      <c r="C14" s="7" t="s">
        <v>6272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67BB-1B93-4A2C-B079-58ADA156B965}">
  <sheetPr codeName="Sheet3"/>
  <dimension ref="A1:E18"/>
  <sheetViews>
    <sheetView workbookViewId="0">
      <selection activeCell="G19" sqref="G19"/>
    </sheetView>
  </sheetViews>
  <sheetFormatPr defaultRowHeight="15" x14ac:dyDescent="0.25"/>
  <cols>
    <col min="1" max="1" width="46.7109375" bestFit="1" customWidth="1"/>
    <col min="2" max="3" width="15" bestFit="1" customWidth="1"/>
    <col min="4" max="4" width="34.5703125" bestFit="1" customWidth="1"/>
    <col min="5" max="5" width="15" bestFit="1" customWidth="1"/>
  </cols>
  <sheetData>
    <row r="1" spans="1:5" ht="15.75" x14ac:dyDescent="0.3">
      <c r="A1" s="3" t="s">
        <v>6273</v>
      </c>
    </row>
    <row r="2" spans="1:5" x14ac:dyDescent="0.25">
      <c r="A2" t="s">
        <v>6274</v>
      </c>
    </row>
    <row r="3" spans="1:5" ht="15.75" thickBot="1" x14ac:dyDescent="0.3"/>
    <row r="4" spans="1:5" ht="16.5" thickBot="1" x14ac:dyDescent="0.35">
      <c r="A4" s="16" t="s">
        <v>6275</v>
      </c>
      <c r="B4" s="17"/>
      <c r="C4" s="15"/>
      <c r="D4" s="18" t="s">
        <v>6282</v>
      </c>
      <c r="E4" s="19"/>
    </row>
    <row r="5" spans="1:5" ht="15.75" x14ac:dyDescent="0.3">
      <c r="A5" s="13" t="s">
        <v>6276</v>
      </c>
      <c r="B5" s="13">
        <v>2000000</v>
      </c>
      <c r="C5" s="14"/>
      <c r="D5" s="13" t="s">
        <v>6283</v>
      </c>
      <c r="E5" s="13">
        <f>B5*B6</f>
        <v>24000000</v>
      </c>
    </row>
    <row r="6" spans="1:5" ht="15.75" x14ac:dyDescent="0.3">
      <c r="A6" s="6" t="s">
        <v>6277</v>
      </c>
      <c r="B6" s="6">
        <v>12</v>
      </c>
      <c r="C6" s="7"/>
      <c r="D6" s="7" t="s">
        <v>6284</v>
      </c>
      <c r="E6" s="6">
        <f>B7*B8</f>
        <v>5000000</v>
      </c>
    </row>
    <row r="7" spans="1:5" ht="15.75" x14ac:dyDescent="0.3">
      <c r="A7" s="7" t="s">
        <v>6278</v>
      </c>
      <c r="B7" s="6">
        <v>500000</v>
      </c>
      <c r="C7" s="7"/>
      <c r="D7" s="7" t="s">
        <v>6285</v>
      </c>
      <c r="E7" s="6">
        <f>E5-E6</f>
        <v>19000000</v>
      </c>
    </row>
    <row r="8" spans="1:5" ht="15.75" x14ac:dyDescent="0.3">
      <c r="A8" s="7" t="s">
        <v>6279</v>
      </c>
      <c r="B8" s="6">
        <v>10</v>
      </c>
      <c r="C8" s="7"/>
      <c r="D8" s="7" t="s">
        <v>6286</v>
      </c>
      <c r="E8" s="11">
        <f>NPV(B9,E7,E7,E7)</f>
        <v>47250187.828700215</v>
      </c>
    </row>
    <row r="9" spans="1:5" ht="15.75" x14ac:dyDescent="0.3">
      <c r="A9" s="6" t="s">
        <v>6280</v>
      </c>
      <c r="B9" s="6">
        <v>0.1</v>
      </c>
      <c r="C9" s="7"/>
      <c r="D9" s="7" t="s">
        <v>6287</v>
      </c>
      <c r="E9" s="6">
        <f>B7/B5</f>
        <v>0.25</v>
      </c>
    </row>
    <row r="10" spans="1:5" ht="15.75" x14ac:dyDescent="0.3">
      <c r="A10" s="6" t="s">
        <v>6281</v>
      </c>
      <c r="B10" s="7">
        <v>3</v>
      </c>
      <c r="C10" s="7"/>
      <c r="D10" s="12" t="s">
        <v>6288</v>
      </c>
      <c r="E10" s="7">
        <f>(E7/E6)*100</f>
        <v>380</v>
      </c>
    </row>
    <row r="13" spans="1:5" ht="15.75" x14ac:dyDescent="0.3">
      <c r="A13" s="3" t="s">
        <v>6289</v>
      </c>
    </row>
    <row r="14" spans="1:5" x14ac:dyDescent="0.25">
      <c r="A14" t="s">
        <v>6290</v>
      </c>
    </row>
    <row r="15" spans="1:5" ht="15.75" x14ac:dyDescent="0.3">
      <c r="A15" s="7"/>
      <c r="B15" s="20">
        <v>0.08</v>
      </c>
      <c r="C15" s="21">
        <v>0.1</v>
      </c>
      <c r="D15" s="20">
        <v>0.12</v>
      </c>
      <c r="E15" s="22">
        <f>NPV(B9,E7,E7,E7)</f>
        <v>47250187.828700215</v>
      </c>
    </row>
    <row r="16" spans="1:5" ht="15.75" x14ac:dyDescent="0.3">
      <c r="A16" s="6" t="s">
        <v>6291</v>
      </c>
      <c r="B16" s="22">
        <f>NPV(0.08,(B5*8-E6),(B5*8-E6),(B5*8-E6))</f>
        <v>28348066.859726667</v>
      </c>
      <c r="C16" s="11">
        <f>NPV(0.1,(B5*8-E6),(B5*8-E6),(B5*8-E6))</f>
        <v>27355371.900826443</v>
      </c>
      <c r="D16" s="22">
        <f>NPV(0.12,(B5*8-E6),(B5*8-E6),(B5*8-E6))</f>
        <v>26420143.950437311</v>
      </c>
      <c r="E16" s="7"/>
    </row>
    <row r="17" spans="1:5" ht="15.75" x14ac:dyDescent="0.3">
      <c r="A17" s="6" t="s">
        <v>6292</v>
      </c>
      <c r="B17" s="11">
        <f>NPV(0.08,(B5*12-E6),(B5*12-E6),(B5*12-E6))</f>
        <v>48964842.757709697</v>
      </c>
      <c r="C17" s="22">
        <f>NPV(0.1,(B5*12-E6),(B5*12-E6),(B5*12-E6))</f>
        <v>47250187.828700215</v>
      </c>
      <c r="D17" s="22">
        <f>NPV(0.12,(B5*12-E6),(B5*12-E6),(B5*12-E6))</f>
        <v>45634794.096209906</v>
      </c>
      <c r="E17" s="7"/>
    </row>
    <row r="18" spans="1:5" ht="15.75" x14ac:dyDescent="0.3">
      <c r="A18" s="6" t="s">
        <v>6293</v>
      </c>
      <c r="B18" s="22">
        <f>NPV(0.08,(B5*16-E6),(B5*16-E6),(B5*16-E6))</f>
        <v>69581618.655692726</v>
      </c>
      <c r="C18" s="11">
        <f>NPV(0.1,(B5*16-E6),(B5*16-E6),(B5*16-E6))</f>
        <v>67145003.75657399</v>
      </c>
      <c r="D18" s="11">
        <f>NPV(0.12,(B5*16-E6),(B5*16-E6),(B5*16-E6))</f>
        <v>64849444.24198249</v>
      </c>
      <c r="E18" s="7"/>
    </row>
  </sheetData>
  <mergeCells count="2">
    <mergeCell ref="A4:B4"/>
    <mergeCell ref="D4:E4"/>
  </mergeCells>
  <conditionalFormatting sqref="B16:D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10F0-A1BC-4A55-BB8F-D23DB19B3CE7}">
  <sheetPr codeName="Sheet4"/>
  <dimension ref="A1:E11"/>
  <sheetViews>
    <sheetView tabSelected="1" workbookViewId="0">
      <selection activeCell="D15" sqref="D15"/>
    </sheetView>
  </sheetViews>
  <sheetFormatPr defaultRowHeight="15" x14ac:dyDescent="0.25"/>
  <cols>
    <col min="1" max="1" width="52.42578125" bestFit="1" customWidth="1"/>
    <col min="4" max="4" width="38.85546875" bestFit="1" customWidth="1"/>
  </cols>
  <sheetData>
    <row r="1" spans="1:5" ht="15.75" x14ac:dyDescent="0.3">
      <c r="A1" s="3" t="s">
        <v>6294</v>
      </c>
    </row>
    <row r="2" spans="1:5" x14ac:dyDescent="0.25">
      <c r="A2" t="s">
        <v>6295</v>
      </c>
    </row>
    <row r="4" spans="1:5" x14ac:dyDescent="0.25">
      <c r="A4" s="24" t="s">
        <v>6296</v>
      </c>
      <c r="B4" s="25"/>
      <c r="C4" s="23"/>
      <c r="D4" s="24" t="s">
        <v>6301</v>
      </c>
      <c r="E4" s="25"/>
    </row>
    <row r="5" spans="1:5" ht="15.75" x14ac:dyDescent="0.3">
      <c r="A5" s="6" t="s">
        <v>6297</v>
      </c>
      <c r="B5" s="7">
        <v>500000</v>
      </c>
      <c r="C5" s="7"/>
      <c r="D5" s="7" t="s">
        <v>6302</v>
      </c>
      <c r="E5" s="7">
        <f>B5*B9</f>
        <v>5000000</v>
      </c>
    </row>
    <row r="6" spans="1:5" x14ac:dyDescent="0.25">
      <c r="A6" s="7" t="s">
        <v>6276</v>
      </c>
      <c r="B6" s="7">
        <v>2000000</v>
      </c>
      <c r="C6" s="7"/>
      <c r="D6" s="7" t="s">
        <v>6303</v>
      </c>
      <c r="E6" s="7">
        <f>B6*B7*B8</f>
        <v>4500000</v>
      </c>
    </row>
    <row r="7" spans="1:5" ht="15.75" x14ac:dyDescent="0.3">
      <c r="A7" s="6" t="s">
        <v>6298</v>
      </c>
      <c r="B7" s="7">
        <v>3</v>
      </c>
      <c r="C7" s="7"/>
      <c r="D7" s="7" t="s">
        <v>6304</v>
      </c>
      <c r="E7" s="6">
        <f>E6*B9</f>
        <v>45000000</v>
      </c>
    </row>
    <row r="8" spans="1:5" ht="15.75" x14ac:dyDescent="0.3">
      <c r="A8" s="7" t="s">
        <v>6299</v>
      </c>
      <c r="B8" s="7">
        <v>0.75</v>
      </c>
      <c r="C8" s="7"/>
      <c r="D8" s="6" t="s">
        <v>6305</v>
      </c>
      <c r="E8" s="6">
        <f>E7-E5</f>
        <v>40000000</v>
      </c>
    </row>
    <row r="9" spans="1:5" ht="15.75" x14ac:dyDescent="0.3">
      <c r="A9" s="7" t="s">
        <v>6300</v>
      </c>
      <c r="B9" s="7">
        <v>10</v>
      </c>
      <c r="C9" s="7"/>
      <c r="D9" s="7" t="s">
        <v>6306</v>
      </c>
      <c r="E9" s="6">
        <f>B5/E6</f>
        <v>0.1111111111111111</v>
      </c>
    </row>
    <row r="10" spans="1:5" ht="15.75" x14ac:dyDescent="0.3">
      <c r="A10" s="7"/>
      <c r="B10" s="7"/>
      <c r="C10" s="7"/>
      <c r="D10" s="6" t="s">
        <v>6307</v>
      </c>
      <c r="E10" s="6">
        <f>B5/(B6*B8)</f>
        <v>0.33333333333333331</v>
      </c>
    </row>
    <row r="11" spans="1:5" ht="15.75" x14ac:dyDescent="0.3">
      <c r="A11" s="7"/>
      <c r="B11" s="7"/>
      <c r="C11" s="7"/>
      <c r="D11" s="6" t="s">
        <v>6308</v>
      </c>
      <c r="E11" s="6">
        <f>(E5/E7)*12</f>
        <v>1.3333333333333333</v>
      </c>
    </row>
  </sheetData>
  <mergeCells count="2">
    <mergeCell ref="A4:B4"/>
    <mergeCell ref="D4:E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39D7AB-3BAC-4B90-9EF0-931BE1779B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KPI_Dashboard</vt:lpstr>
      <vt:lpstr>Scenario_Model</vt:lpstr>
      <vt:lpstr>Break_Even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2026-05-22T06:01:29Z</dcterms:modified>
</cp:coreProperties>
</file>